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as" sheetId="1" state="visible" r:id="rId1"/>
    <sheet name="Listas" sheetId="2" state="visible" r:id="rId2"/>
    <sheet name="Jogos" sheetId="3" state="visible" r:id="rId3"/>
    <sheet name="Participantes" sheetId="4" state="visible" r:id="rId4"/>
    <sheet name="Palpites" sheetId="5" state="visible" r:id="rId5"/>
    <sheet name="Ranking" sheetId="6" state="visible" r:id="rId6"/>
  </sheets>
  <definedNames>
    <definedName name="_xlnm._FilterDatabase" localSheetId="2" hidden="1">'Jogos'!$A$1:$L$105</definedName>
    <definedName name="_xlnm._FilterDatabase" localSheetId="3" hidden="1">'Participantes'!$A$1:$G$101</definedName>
    <definedName name="_xlnm._FilterDatabase" localSheetId="4" hidden="1">'Palpites'!$A$1:$I$2501</definedName>
    <definedName name="_xlnm._FilterDatabase" localSheetId="5" hidden="1">'Ranking'!$A$1:$F$101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hh:mm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  <font>
      <i val="1"/>
      <color rgb="006B7280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F9C3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Regras do Bolão – Copa do Mundo 2026</t>
        </is>
      </c>
    </row>
    <row r="3">
      <c r="A3" s="2" t="inlineStr">
        <is>
          <t>Pontuação (por jogo)</t>
        </is>
      </c>
    </row>
    <row r="4">
      <c r="A4" t="inlineStr">
        <is>
          <t>• 3 pontos: placar exato</t>
        </is>
      </c>
    </row>
    <row r="5">
      <c r="A5" t="inlineStr">
        <is>
          <t>• 1 ponto: resultado correto (vitória/empate/derrota), sem placar exato</t>
        </is>
      </c>
    </row>
    <row r="6">
      <c r="A6" t="inlineStr">
        <is>
          <t>• 0 ponto: erro</t>
        </is>
      </c>
    </row>
    <row r="8">
      <c r="A8" s="2" t="inlineStr">
        <is>
          <t>Prêmio</t>
        </is>
      </c>
    </row>
    <row r="9">
      <c r="A9" t="inlineStr">
        <is>
          <t>• O prêmio será um sorvete, pago pelo perdedor. Local a critério do vencedor.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3" max="3"/>
  </cols>
  <sheetData>
    <row r="1">
      <c r="A1" s="3" t="inlineStr">
        <is>
          <t>Seleções</t>
        </is>
      </c>
      <c r="C1" s="3" t="inlineStr">
        <is>
          <t>SimNao</t>
        </is>
      </c>
    </row>
    <row r="2">
      <c r="A2" t="inlineStr">
        <is>
          <t>TBD</t>
        </is>
      </c>
      <c r="C2" t="inlineStr">
        <is>
          <t>Sim</t>
        </is>
      </c>
    </row>
    <row r="3">
      <c r="A3" t="inlineStr">
        <is>
          <t>Alemanha</t>
        </is>
      </c>
      <c r="C3" t="inlineStr">
        <is>
          <t>Não</t>
        </is>
      </c>
    </row>
    <row r="4">
      <c r="A4" t="inlineStr">
        <is>
          <t>Argentina</t>
        </is>
      </c>
    </row>
    <row r="5">
      <c r="A5" t="inlineStr">
        <is>
          <t>Argélia</t>
        </is>
      </c>
    </row>
    <row r="6">
      <c r="A6" t="inlineStr">
        <is>
          <t>Arábia</t>
        </is>
      </c>
    </row>
    <row r="7">
      <c r="A7" t="inlineStr">
        <is>
          <t>Arábia Saudita</t>
        </is>
      </c>
    </row>
    <row r="8">
      <c r="A8" t="inlineStr">
        <is>
          <t>Austrália</t>
        </is>
      </c>
    </row>
    <row r="9">
      <c r="A9" t="inlineStr">
        <is>
          <t>Brasil</t>
        </is>
      </c>
    </row>
    <row r="10">
      <c r="A10" t="inlineStr">
        <is>
          <t>Bélgica</t>
        </is>
      </c>
    </row>
    <row r="11">
      <c r="A11" t="inlineStr">
        <is>
          <t>Bósnia</t>
        </is>
      </c>
    </row>
    <row r="12">
      <c r="A12" t="inlineStr">
        <is>
          <t>Bósnia e Herzegovina</t>
        </is>
      </c>
    </row>
    <row r="13">
      <c r="A13" t="inlineStr">
        <is>
          <t>Cabo</t>
        </is>
      </c>
    </row>
    <row r="14">
      <c r="A14" t="inlineStr">
        <is>
          <t>Cabo Verde</t>
        </is>
      </c>
    </row>
    <row r="15">
      <c r="A15" t="inlineStr">
        <is>
          <t>Canadá</t>
        </is>
      </c>
    </row>
    <row r="16">
      <c r="A16" t="inlineStr">
        <is>
          <t>Catar</t>
        </is>
      </c>
    </row>
    <row r="17">
      <c r="A17" t="inlineStr">
        <is>
          <t>Colômbia</t>
        </is>
      </c>
    </row>
    <row r="18">
      <c r="A18" t="inlineStr">
        <is>
          <t>Costa</t>
        </is>
      </c>
    </row>
    <row r="19">
      <c r="A19" t="inlineStr">
        <is>
          <t>Costa do Marfim</t>
        </is>
      </c>
    </row>
    <row r="20">
      <c r="A20" t="inlineStr">
        <is>
          <t>Croácia</t>
        </is>
      </c>
    </row>
    <row r="21">
      <c r="A21" t="inlineStr">
        <is>
          <t>Curaçau</t>
        </is>
      </c>
    </row>
    <row r="22">
      <c r="A22" t="inlineStr">
        <is>
          <t>Egito</t>
        </is>
      </c>
    </row>
    <row r="23">
      <c r="A23" t="inlineStr">
        <is>
          <t>Equador</t>
        </is>
      </c>
    </row>
    <row r="24">
      <c r="A24" t="inlineStr">
        <is>
          <t>Escócia</t>
        </is>
      </c>
    </row>
    <row r="25">
      <c r="A25" t="inlineStr">
        <is>
          <t>Espanha</t>
        </is>
      </c>
    </row>
    <row r="26">
      <c r="A26" t="inlineStr">
        <is>
          <t>Estados</t>
        </is>
      </c>
    </row>
    <row r="27">
      <c r="A27" t="inlineStr">
        <is>
          <t>Estados Unidos</t>
        </is>
      </c>
    </row>
    <row r="28">
      <c r="A28" t="inlineStr">
        <is>
          <t>França</t>
        </is>
      </c>
    </row>
    <row r="29">
      <c r="A29" t="inlineStr">
        <is>
          <t>Gana</t>
        </is>
      </c>
    </row>
    <row r="30">
      <c r="A30" t="inlineStr">
        <is>
          <t>Haiti</t>
        </is>
      </c>
    </row>
    <row r="31">
      <c r="A31" t="inlineStr">
        <is>
          <t>Holanda</t>
        </is>
      </c>
    </row>
    <row r="32">
      <c r="A32" t="inlineStr">
        <is>
          <t>Inglaterra</t>
        </is>
      </c>
    </row>
    <row r="33">
      <c r="A33" t="inlineStr">
        <is>
          <t>Iraque</t>
        </is>
      </c>
    </row>
    <row r="34">
      <c r="A34" t="inlineStr">
        <is>
          <t>Irã</t>
        </is>
      </c>
    </row>
    <row r="35">
      <c r="A35" t="inlineStr">
        <is>
          <t>Japão</t>
        </is>
      </c>
    </row>
    <row r="36">
      <c r="A36" t="inlineStr">
        <is>
          <t>Jordânia</t>
        </is>
      </c>
    </row>
    <row r="37">
      <c r="A37" t="inlineStr">
        <is>
          <t>Marrocos</t>
        </is>
      </c>
    </row>
    <row r="38">
      <c r="A38" t="inlineStr">
        <is>
          <t>México</t>
        </is>
      </c>
    </row>
    <row r="39">
      <c r="A39" t="inlineStr">
        <is>
          <t>Noruega</t>
        </is>
      </c>
    </row>
    <row r="40">
      <c r="A40" t="inlineStr">
        <is>
          <t>Nova</t>
        </is>
      </c>
    </row>
    <row r="41">
      <c r="A41" t="inlineStr">
        <is>
          <t>Nova Zelândia</t>
        </is>
      </c>
    </row>
    <row r="42">
      <c r="A42" t="inlineStr">
        <is>
          <t>Panamá</t>
        </is>
      </c>
    </row>
    <row r="43">
      <c r="A43" t="inlineStr">
        <is>
          <t>Paraguai</t>
        </is>
      </c>
    </row>
    <row r="44">
      <c r="A44" t="inlineStr">
        <is>
          <t>Portugal</t>
        </is>
      </c>
    </row>
    <row r="45">
      <c r="A45" t="inlineStr">
        <is>
          <t>República</t>
        </is>
      </c>
    </row>
    <row r="46">
      <c r="A46" t="inlineStr">
        <is>
          <t>República Democrática do Congo</t>
        </is>
      </c>
    </row>
    <row r="47">
      <c r="A47" t="inlineStr">
        <is>
          <t>República Tcheca</t>
        </is>
      </c>
    </row>
    <row r="48">
      <c r="A48" t="inlineStr">
        <is>
          <t>República da Coreia</t>
        </is>
      </c>
    </row>
    <row r="49">
      <c r="A49" t="inlineStr">
        <is>
          <t>Senegal</t>
        </is>
      </c>
    </row>
    <row r="50">
      <c r="A50" t="inlineStr">
        <is>
          <t>Suécia</t>
        </is>
      </c>
    </row>
    <row r="51">
      <c r="A51" t="inlineStr">
        <is>
          <t>Suíça</t>
        </is>
      </c>
    </row>
    <row r="52">
      <c r="A52" t="inlineStr">
        <is>
          <t>Tunísia</t>
        </is>
      </c>
    </row>
    <row r="53">
      <c r="A53" t="inlineStr">
        <is>
          <t>Turquia</t>
        </is>
      </c>
    </row>
    <row r="54">
      <c r="A54" t="inlineStr">
        <is>
          <t>Uruguai</t>
        </is>
      </c>
    </row>
    <row r="55">
      <c r="A55" t="inlineStr">
        <is>
          <t>Uzbequistão</t>
        </is>
      </c>
    </row>
    <row r="56">
      <c r="A56" t="inlineStr">
        <is>
          <t>África</t>
        </is>
      </c>
    </row>
    <row r="57">
      <c r="A57" t="inlineStr">
        <is>
          <t>África do Sul</t>
        </is>
      </c>
    </row>
    <row r="58">
      <c r="A58" t="inlineStr">
        <is>
          <t>Áustria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12" customWidth="1" min="4" max="4"/>
    <col width="11" customWidth="1" min="5" max="5"/>
    <col width="14" customWidth="1" min="6" max="6"/>
    <col width="30" customWidth="1" min="7" max="7"/>
    <col width="18" customWidth="1" min="8" max="8"/>
    <col width="7" customWidth="1" min="9" max="9"/>
    <col width="18" customWidth="1" min="10" max="10"/>
    <col width="7" customWidth="1" min="11" max="11"/>
    <col width="22" customWidth="1" min="12" max="12"/>
  </cols>
  <sheetData>
    <row r="1">
      <c r="A1" s="4" t="inlineStr">
        <is>
          <t>ID</t>
        </is>
      </c>
      <c r="B1" s="4" t="inlineStr">
        <is>
          <t>Fase</t>
        </is>
      </c>
      <c r="C1" s="4" t="inlineStr">
        <is>
          <t>Grupo</t>
        </is>
      </c>
      <c r="D1" s="4" t="inlineStr">
        <is>
          <t>Data</t>
        </is>
      </c>
      <c r="E1" s="4" t="inlineStr">
        <is>
          <t>Hora local</t>
        </is>
      </c>
      <c r="F1" s="4" t="inlineStr">
        <is>
          <t>Hora (Brasília)</t>
        </is>
      </c>
      <c r="G1" s="4" t="inlineStr">
        <is>
          <t>Local</t>
        </is>
      </c>
      <c r="H1" s="4" t="inlineStr">
        <is>
          <t>Seleção A</t>
        </is>
      </c>
      <c r="I1" s="4" t="inlineStr">
        <is>
          <t>Gols A</t>
        </is>
      </c>
      <c r="J1" s="4" t="inlineStr">
        <is>
          <t>Seleção B</t>
        </is>
      </c>
      <c r="K1" s="4" t="inlineStr">
        <is>
          <t>Gols B</t>
        </is>
      </c>
      <c r="L1" s="4" t="inlineStr">
        <is>
          <t>Observações</t>
        </is>
      </c>
    </row>
    <row r="2">
      <c r="A2" s="5" t="n">
        <v>1</v>
      </c>
      <c r="B2" s="5" t="inlineStr">
        <is>
          <t>Fase de Grupos</t>
        </is>
      </c>
      <c r="C2" s="5" t="inlineStr">
        <is>
          <t>A</t>
        </is>
      </c>
      <c r="D2" s="6" t="n">
        <v>46184</v>
      </c>
      <c r="E2" s="7" t="n">
        <v>0.5416666666666666</v>
      </c>
      <c r="F2" s="7" t="n">
        <v>0.6666666666666666</v>
      </c>
      <c r="G2" s="8" t="inlineStr">
        <is>
          <t>do Sul Cidade do México, no México</t>
        </is>
      </c>
      <c r="H2" s="8" t="inlineStr">
        <is>
          <t>México</t>
        </is>
      </c>
      <c r="I2" s="5" t="inlineStr"/>
      <c r="J2" s="8" t="inlineStr">
        <is>
          <t>África</t>
        </is>
      </c>
      <c r="K2" s="5" t="inlineStr"/>
      <c r="L2" s="8" t="inlineStr"/>
    </row>
    <row r="3">
      <c r="A3" s="5" t="n">
        <v>2</v>
      </c>
      <c r="B3" s="5" t="inlineStr">
        <is>
          <t>Fase de Grupos</t>
        </is>
      </c>
      <c r="C3" s="5" t="inlineStr">
        <is>
          <t>A</t>
        </is>
      </c>
      <c r="D3" s="6" t="n">
        <v>46184</v>
      </c>
      <c r="E3" s="7" t="n">
        <v>0.8333333333333334</v>
      </c>
      <c r="F3" s="7" t="n">
        <v>0.9583333333333334</v>
      </c>
      <c r="G3" s="8" t="inlineStr">
        <is>
          <t>Tcheca Guadalajara</t>
        </is>
      </c>
      <c r="H3" s="8" t="inlineStr">
        <is>
          <t>República da Coreia</t>
        </is>
      </c>
      <c r="I3" s="5" t="inlineStr"/>
      <c r="J3" s="8" t="inlineStr">
        <is>
          <t>República</t>
        </is>
      </c>
      <c r="K3" s="5" t="inlineStr"/>
      <c r="L3" s="8" t="inlineStr"/>
    </row>
    <row r="4">
      <c r="A4" s="5" t="n">
        <v>3</v>
      </c>
      <c r="B4" s="5" t="inlineStr">
        <is>
          <t>Fase de Grupos</t>
        </is>
      </c>
      <c r="C4" s="5" t="inlineStr">
        <is>
          <t>B</t>
        </is>
      </c>
      <c r="D4" s="6" t="n">
        <v>46185</v>
      </c>
      <c r="E4" s="7" t="n">
        <v>0.625</v>
      </c>
      <c r="F4" s="7" t="n">
        <v>0.6666666666666666</v>
      </c>
      <c r="G4" s="8" t="inlineStr">
        <is>
          <t>e Herzegovina Toronto, no Canadá</t>
        </is>
      </c>
      <c r="H4" s="8" t="inlineStr">
        <is>
          <t>Canadá</t>
        </is>
      </c>
      <c r="I4" s="5" t="inlineStr"/>
      <c r="J4" s="8" t="inlineStr">
        <is>
          <t>Bósnia</t>
        </is>
      </c>
      <c r="K4" s="5" t="inlineStr"/>
      <c r="L4" s="8" t="inlineStr"/>
    </row>
    <row r="5">
      <c r="A5" s="5" t="n">
        <v>4</v>
      </c>
      <c r="B5" s="5" t="inlineStr">
        <is>
          <t>Fase de Grupos</t>
        </is>
      </c>
      <c r="C5" s="5" t="inlineStr">
        <is>
          <t>D</t>
        </is>
      </c>
      <c r="D5" s="6" t="n">
        <v>46185</v>
      </c>
      <c r="E5" s="7" t="n">
        <v>0.75</v>
      </c>
      <c r="F5" s="7" t="n">
        <v>0.9166666666666666</v>
      </c>
      <c r="G5" s="8" t="inlineStr">
        <is>
          <t>Los Angeles, nos EUA</t>
        </is>
      </c>
      <c r="H5" s="8" t="inlineStr">
        <is>
          <t>Estados Unidos</t>
        </is>
      </c>
      <c r="I5" s="5" t="inlineStr"/>
      <c r="J5" s="8" t="inlineStr">
        <is>
          <t>Paraguai</t>
        </is>
      </c>
      <c r="K5" s="5" t="inlineStr"/>
      <c r="L5" s="8" t="inlineStr"/>
    </row>
    <row r="6">
      <c r="A6" s="5" t="n">
        <v>5</v>
      </c>
      <c r="B6" s="5" t="inlineStr">
        <is>
          <t>Fase de Grupos</t>
        </is>
      </c>
      <c r="C6" s="5" t="inlineStr">
        <is>
          <t>B</t>
        </is>
      </c>
      <c r="D6" s="6" t="n">
        <v>46186</v>
      </c>
      <c r="E6" s="7" t="n">
        <v>0.5</v>
      </c>
      <c r="F6" s="7" t="n">
        <v>0.6666666666666666</v>
      </c>
      <c r="G6" s="8" t="inlineStr">
        <is>
          <t>Santa Clara (região da Baía de San Francisco), nos EUA</t>
        </is>
      </c>
      <c r="H6" s="8" t="inlineStr">
        <is>
          <t>Catar</t>
        </is>
      </c>
      <c r="I6" s="5" t="inlineStr"/>
      <c r="J6" s="8" t="inlineStr">
        <is>
          <t>Suíça</t>
        </is>
      </c>
      <c r="K6" s="5" t="inlineStr"/>
      <c r="L6" s="8" t="inlineStr"/>
    </row>
    <row r="7">
      <c r="A7" s="5" t="n">
        <v>6</v>
      </c>
      <c r="B7" s="5" t="inlineStr">
        <is>
          <t>Fase de Grupos</t>
        </is>
      </c>
      <c r="C7" s="5" t="inlineStr">
        <is>
          <t>C</t>
        </is>
      </c>
      <c r="D7" s="6" t="n">
        <v>46186</v>
      </c>
      <c r="E7" s="7" t="n">
        <v>0.75</v>
      </c>
      <c r="F7" s="7" t="n">
        <v>0.7916666666666666</v>
      </c>
      <c r="G7" s="8" t="inlineStr">
        <is>
          <t>Nova York/Nova Jersey, nos EUA</t>
        </is>
      </c>
      <c r="H7" s="8" t="inlineStr">
        <is>
          <t>Brasil</t>
        </is>
      </c>
      <c r="I7" s="5" t="inlineStr"/>
      <c r="J7" s="8" t="inlineStr">
        <is>
          <t>Marrocos</t>
        </is>
      </c>
      <c r="K7" s="5" t="inlineStr"/>
      <c r="L7" s="8" t="inlineStr"/>
    </row>
    <row r="8">
      <c r="A8" s="5" t="n">
        <v>7</v>
      </c>
      <c r="B8" s="5" t="inlineStr">
        <is>
          <t>Fase de Grupos</t>
        </is>
      </c>
      <c r="C8" s="5" t="inlineStr">
        <is>
          <t>C</t>
        </is>
      </c>
      <c r="D8" s="6" t="n">
        <v>46186</v>
      </c>
      <c r="E8" s="7" t="n">
        <v>0.875</v>
      </c>
      <c r="F8" s="7" t="n">
        <v>0.9166666666666666</v>
      </c>
      <c r="G8" s="8" t="inlineStr">
        <is>
          <t>Boston, nos EUA</t>
        </is>
      </c>
      <c r="H8" s="8" t="inlineStr">
        <is>
          <t>Haiti</t>
        </is>
      </c>
      <c r="I8" s="5" t="inlineStr"/>
      <c r="J8" s="8" t="inlineStr">
        <is>
          <t>Escócia</t>
        </is>
      </c>
      <c r="K8" s="5" t="inlineStr"/>
      <c r="L8" s="8" t="inlineStr"/>
    </row>
    <row r="9">
      <c r="A9" s="5" t="n">
        <v>8</v>
      </c>
      <c r="B9" s="5" t="inlineStr">
        <is>
          <t>Fase de Grupos</t>
        </is>
      </c>
      <c r="C9" s="5" t="inlineStr">
        <is>
          <t>D</t>
        </is>
      </c>
      <c r="D9" s="6" t="n">
        <v>46186</v>
      </c>
      <c r="E9" s="7" t="n">
        <v>0.875</v>
      </c>
      <c r="F9" s="7" t="n">
        <v>0.04166666666666666</v>
      </c>
      <c r="G9" s="8" t="inlineStr">
        <is>
          <t>Vancouver, no Canadá</t>
        </is>
      </c>
      <c r="H9" s="8" t="inlineStr">
        <is>
          <t>Austrália</t>
        </is>
      </c>
      <c r="I9" s="5" t="inlineStr"/>
      <c r="J9" s="8" t="inlineStr">
        <is>
          <t>Turquia</t>
        </is>
      </c>
      <c r="K9" s="5" t="inlineStr"/>
      <c r="L9" s="8" t="inlineStr"/>
    </row>
    <row r="10">
      <c r="A10" s="5" t="n">
        <v>9</v>
      </c>
      <c r="B10" s="5" t="inlineStr">
        <is>
          <t>Fase de Grupos</t>
        </is>
      </c>
      <c r="C10" s="5" t="inlineStr">
        <is>
          <t>E</t>
        </is>
      </c>
      <c r="D10" s="6" t="n">
        <v>46187</v>
      </c>
      <c r="E10" s="7" t="n">
        <v>0.5</v>
      </c>
      <c r="F10" s="7" t="n">
        <v>0.5833333333333334</v>
      </c>
      <c r="G10" s="8" t="inlineStr">
        <is>
          <t>Houston, nos EUA</t>
        </is>
      </c>
      <c r="H10" s="8" t="inlineStr">
        <is>
          <t>Alemanha</t>
        </is>
      </c>
      <c r="I10" s="5" t="inlineStr"/>
      <c r="J10" s="8" t="inlineStr">
        <is>
          <t>Curaçau</t>
        </is>
      </c>
      <c r="K10" s="5" t="inlineStr"/>
      <c r="L10" s="8" t="inlineStr"/>
    </row>
    <row r="11">
      <c r="A11" s="5" t="n">
        <v>10</v>
      </c>
      <c r="B11" s="5" t="inlineStr">
        <is>
          <t>Fase de Grupos</t>
        </is>
      </c>
      <c r="C11" s="5" t="inlineStr">
        <is>
          <t>E</t>
        </is>
      </c>
      <c r="D11" s="6" t="n">
        <v>46187</v>
      </c>
      <c r="E11" s="7" t="n">
        <v>0.7916666666666666</v>
      </c>
      <c r="F11" s="7" t="n">
        <v>0.8333333333333334</v>
      </c>
      <c r="G11" s="8" t="inlineStr">
        <is>
          <t>Filadélfia, nos EUA</t>
        </is>
      </c>
      <c r="H11" s="8" t="inlineStr">
        <is>
          <t>Costa do Marfim</t>
        </is>
      </c>
      <c r="I11" s="5" t="inlineStr"/>
      <c r="J11" s="8" t="inlineStr">
        <is>
          <t>Equador</t>
        </is>
      </c>
      <c r="K11" s="5" t="inlineStr"/>
      <c r="L11" s="8" t="inlineStr"/>
    </row>
    <row r="12">
      <c r="A12" s="5" t="n">
        <v>11</v>
      </c>
      <c r="B12" s="5" t="inlineStr">
        <is>
          <t>Fase de Grupos</t>
        </is>
      </c>
      <c r="C12" s="5" t="inlineStr">
        <is>
          <t>F</t>
        </is>
      </c>
      <c r="D12" s="6" t="n">
        <v>46187</v>
      </c>
      <c r="E12" s="7" t="n">
        <v>0.625</v>
      </c>
      <c r="F12" s="7" t="n">
        <v>0.7083333333333334</v>
      </c>
      <c r="G12" s="8" t="inlineStr">
        <is>
          <t>Dallas, nos EUA</t>
        </is>
      </c>
      <c r="H12" s="8" t="inlineStr">
        <is>
          <t>Holanda</t>
        </is>
      </c>
      <c r="I12" s="5" t="inlineStr"/>
      <c r="J12" s="8" t="inlineStr">
        <is>
          <t>Japão</t>
        </is>
      </c>
      <c r="K12" s="5" t="inlineStr"/>
      <c r="L12" s="8" t="inlineStr"/>
    </row>
    <row r="13">
      <c r="A13" s="5" t="n">
        <v>12</v>
      </c>
      <c r="B13" s="5" t="inlineStr">
        <is>
          <t>Fase de Grupos</t>
        </is>
      </c>
      <c r="C13" s="5" t="inlineStr">
        <is>
          <t>F</t>
        </is>
      </c>
      <c r="D13" s="6" t="n">
        <v>46187</v>
      </c>
      <c r="E13" s="7" t="n">
        <v>0.8333333333333334</v>
      </c>
      <c r="F13" s="7" t="n">
        <v>0.9583333333333334</v>
      </c>
      <c r="G13" s="8" t="inlineStr">
        <is>
          <t>Monterrey, no México</t>
        </is>
      </c>
      <c r="H13" s="8" t="inlineStr">
        <is>
          <t>Suécia</t>
        </is>
      </c>
      <c r="I13" s="5" t="inlineStr"/>
      <c r="J13" s="8" t="inlineStr">
        <is>
          <t>Tunísia</t>
        </is>
      </c>
      <c r="K13" s="5" t="inlineStr"/>
      <c r="L13" s="8" t="inlineStr"/>
    </row>
    <row r="14">
      <c r="A14" s="5" t="n">
        <v>13</v>
      </c>
      <c r="B14" s="5" t="inlineStr">
        <is>
          <t>Fase de Grupos</t>
        </is>
      </c>
      <c r="C14" s="5" t="inlineStr">
        <is>
          <t>H</t>
        </is>
      </c>
      <c r="D14" s="6" t="n">
        <v>46188</v>
      </c>
      <c r="E14" s="7" t="n">
        <v>0.5</v>
      </c>
      <c r="F14" s="7" t="n">
        <v>0.5416666666666666</v>
      </c>
      <c r="G14" s="8" t="inlineStr">
        <is>
          <t>Verde Atlanta, nos EUA</t>
        </is>
      </c>
      <c r="H14" s="8" t="inlineStr">
        <is>
          <t>Espanha</t>
        </is>
      </c>
      <c r="I14" s="5" t="inlineStr"/>
      <c r="J14" s="8" t="inlineStr">
        <is>
          <t>Cabo</t>
        </is>
      </c>
      <c r="K14" s="5" t="inlineStr"/>
      <c r="L14" s="8" t="inlineStr"/>
    </row>
    <row r="15">
      <c r="A15" s="5" t="n">
        <v>14</v>
      </c>
      <c r="B15" s="5" t="inlineStr">
        <is>
          <t>Fase de Grupos</t>
        </is>
      </c>
      <c r="C15" s="5" t="inlineStr">
        <is>
          <t>H</t>
        </is>
      </c>
      <c r="D15" s="6" t="n">
        <v>46188</v>
      </c>
      <c r="E15" s="7" t="n">
        <v>0.75</v>
      </c>
      <c r="F15" s="7" t="n">
        <v>0.7916666666666666</v>
      </c>
      <c r="G15" s="8" t="inlineStr">
        <is>
          <t>Miami, nos EUA</t>
        </is>
      </c>
      <c r="H15" s="8" t="inlineStr">
        <is>
          <t>Arábia Saudita</t>
        </is>
      </c>
      <c r="I15" s="5" t="inlineStr"/>
      <c r="J15" s="8" t="inlineStr">
        <is>
          <t>Uruguai</t>
        </is>
      </c>
      <c r="K15" s="5" t="inlineStr"/>
      <c r="L15" s="8" t="inlineStr"/>
    </row>
    <row r="16">
      <c r="A16" s="5" t="n">
        <v>15</v>
      </c>
      <c r="B16" s="5" t="inlineStr">
        <is>
          <t>Fase de Grupos</t>
        </is>
      </c>
      <c r="C16" s="5" t="inlineStr">
        <is>
          <t>G</t>
        </is>
      </c>
      <c r="D16" s="6" t="n">
        <v>46188</v>
      </c>
      <c r="E16" s="7" t="n">
        <v>0.5</v>
      </c>
      <c r="F16" s="7" t="n">
        <v>0.6666666666666666</v>
      </c>
      <c r="G16" s="8" t="inlineStr">
        <is>
          <t>Seattle, nos EUA</t>
        </is>
      </c>
      <c r="H16" s="8" t="inlineStr">
        <is>
          <t>Bélgica</t>
        </is>
      </c>
      <c r="I16" s="5" t="inlineStr"/>
      <c r="J16" s="8" t="inlineStr">
        <is>
          <t>Egito</t>
        </is>
      </c>
      <c r="K16" s="5" t="inlineStr"/>
      <c r="L16" s="8" t="inlineStr"/>
    </row>
    <row r="17">
      <c r="A17" s="5" t="n">
        <v>16</v>
      </c>
      <c r="B17" s="5" t="inlineStr">
        <is>
          <t>Fase de Grupos</t>
        </is>
      </c>
      <c r="C17" s="5" t="inlineStr">
        <is>
          <t>G</t>
        </is>
      </c>
      <c r="D17" s="6" t="n">
        <v>46188</v>
      </c>
      <c r="E17" s="7" t="n">
        <v>0.75</v>
      </c>
      <c r="F17" s="7" t="n">
        <v>0.9166666666666666</v>
      </c>
      <c r="G17" s="8" t="inlineStr">
        <is>
          <t>Zelândia Los Angeles, nos EUA</t>
        </is>
      </c>
      <c r="H17" s="8" t="inlineStr">
        <is>
          <t>Irã</t>
        </is>
      </c>
      <c r="I17" s="5" t="inlineStr"/>
      <c r="J17" s="8" t="inlineStr">
        <is>
          <t>Nova</t>
        </is>
      </c>
      <c r="K17" s="5" t="inlineStr"/>
      <c r="L17" s="8" t="inlineStr"/>
    </row>
    <row r="18">
      <c r="A18" s="5" t="n">
        <v>17</v>
      </c>
      <c r="B18" s="5" t="inlineStr">
        <is>
          <t>Fase de Grupos</t>
        </is>
      </c>
      <c r="C18" s="5" t="inlineStr">
        <is>
          <t>J</t>
        </is>
      </c>
      <c r="D18" s="6" t="n">
        <v>46189</v>
      </c>
      <c r="E18" s="7" t="n">
        <v>0.875</v>
      </c>
      <c r="F18" s="7" t="n">
        <v>0.04166666666666666</v>
      </c>
      <c r="G18" s="8" t="inlineStr">
        <is>
          <t>Santa Clara (região da Baía de San Francisco), nos EUA</t>
        </is>
      </c>
      <c r="H18" s="8" t="inlineStr">
        <is>
          <t>Áustria</t>
        </is>
      </c>
      <c r="I18" s="5" t="inlineStr"/>
      <c r="J18" s="8" t="inlineStr">
        <is>
          <t>Jordânia</t>
        </is>
      </c>
      <c r="K18" s="5" t="inlineStr"/>
      <c r="L18" s="8" t="inlineStr"/>
    </row>
    <row r="19">
      <c r="A19" s="5" t="n">
        <v>18</v>
      </c>
      <c r="B19" s="5" t="inlineStr">
        <is>
          <t>Fase de Grupos</t>
        </is>
      </c>
      <c r="C19" s="5" t="inlineStr">
        <is>
          <t>I</t>
        </is>
      </c>
      <c r="D19" s="6" t="n">
        <v>46189</v>
      </c>
      <c r="E19" s="7" t="n">
        <v>0.625</v>
      </c>
      <c r="F19" s="7" t="n">
        <v>0.6666666666666666</v>
      </c>
      <c r="G19" s="8" t="inlineStr">
        <is>
          <t>Nova York/Nova Jersey, nos EUA</t>
        </is>
      </c>
      <c r="H19" s="8" t="inlineStr">
        <is>
          <t>França</t>
        </is>
      </c>
      <c r="I19" s="5" t="inlineStr"/>
      <c r="J19" s="8" t="inlineStr">
        <is>
          <t>Senegal</t>
        </is>
      </c>
      <c r="K19" s="5" t="inlineStr"/>
      <c r="L19" s="8" t="inlineStr"/>
    </row>
    <row r="20">
      <c r="A20" s="5" t="n">
        <v>19</v>
      </c>
      <c r="B20" s="5" t="inlineStr">
        <is>
          <t>Fase de Grupos</t>
        </is>
      </c>
      <c r="C20" s="5" t="inlineStr">
        <is>
          <t>I</t>
        </is>
      </c>
      <c r="D20" s="6" t="n">
        <v>46189</v>
      </c>
      <c r="E20" s="7" t="n">
        <v>0.75</v>
      </c>
      <c r="F20" s="7" t="n">
        <v>0.7916666666666666</v>
      </c>
      <c r="G20" s="8" t="inlineStr">
        <is>
          <t>Boston, nos EUA</t>
        </is>
      </c>
      <c r="H20" s="8" t="inlineStr">
        <is>
          <t>Iraque</t>
        </is>
      </c>
      <c r="I20" s="5" t="inlineStr"/>
      <c r="J20" s="8" t="inlineStr">
        <is>
          <t>Noruega</t>
        </is>
      </c>
      <c r="K20" s="5" t="inlineStr"/>
      <c r="L20" s="8" t="inlineStr"/>
    </row>
    <row r="21">
      <c r="A21" s="5" t="n">
        <v>20</v>
      </c>
      <c r="B21" s="5" t="inlineStr">
        <is>
          <t>Fase de Grupos</t>
        </is>
      </c>
      <c r="C21" s="5" t="inlineStr">
        <is>
          <t>J</t>
        </is>
      </c>
      <c r="D21" s="6" t="n">
        <v>46189</v>
      </c>
      <c r="E21" s="7" t="n">
        <v>0.8333333333333334</v>
      </c>
      <c r="F21" s="7" t="n">
        <v>0.9166666666666666</v>
      </c>
      <c r="G21" s="8" t="inlineStr">
        <is>
          <t>Kansas City, nos EUA</t>
        </is>
      </c>
      <c r="H21" s="8" t="inlineStr">
        <is>
          <t>Argentina</t>
        </is>
      </c>
      <c r="I21" s="5" t="inlineStr"/>
      <c r="J21" s="8" t="inlineStr">
        <is>
          <t>Argélia</t>
        </is>
      </c>
      <c r="K21" s="5" t="inlineStr"/>
      <c r="L21" s="8" t="inlineStr"/>
    </row>
    <row r="22">
      <c r="A22" s="5" t="n">
        <v>21</v>
      </c>
      <c r="B22" s="5" t="inlineStr">
        <is>
          <t>Fase de Grupos</t>
        </is>
      </c>
      <c r="C22" s="5" t="inlineStr">
        <is>
          <t>K</t>
        </is>
      </c>
      <c r="D22" s="6" t="n">
        <v>46190</v>
      </c>
      <c r="E22" s="7" t="n">
        <v>0.5</v>
      </c>
      <c r="F22" s="7" t="n">
        <v>0.5833333333333334</v>
      </c>
      <c r="G22" s="8" t="inlineStr">
        <is>
          <t>Democrática do Congo Houston, nos EUA</t>
        </is>
      </c>
      <c r="H22" s="8" t="inlineStr">
        <is>
          <t>Portugal</t>
        </is>
      </c>
      <c r="I22" s="5" t="inlineStr"/>
      <c r="J22" s="8" t="inlineStr">
        <is>
          <t>República</t>
        </is>
      </c>
      <c r="K22" s="5" t="inlineStr"/>
      <c r="L22" s="8" t="inlineStr"/>
    </row>
    <row r="23">
      <c r="A23" s="5" t="n">
        <v>22</v>
      </c>
      <c r="B23" s="5" t="inlineStr">
        <is>
          <t>Fase de Grupos</t>
        </is>
      </c>
      <c r="C23" s="5" t="inlineStr">
        <is>
          <t>L</t>
        </is>
      </c>
      <c r="D23" s="6" t="n">
        <v>46190</v>
      </c>
      <c r="E23" s="7" t="n">
        <v>0.625</v>
      </c>
      <c r="F23" s="7" t="n">
        <v>0.7083333333333334</v>
      </c>
      <c r="G23" s="8" t="inlineStr">
        <is>
          <t>Dallas, nos EUA</t>
        </is>
      </c>
      <c r="H23" s="8" t="inlineStr">
        <is>
          <t>Inglaterra</t>
        </is>
      </c>
      <c r="I23" s="5" t="inlineStr"/>
      <c r="J23" s="8" t="inlineStr">
        <is>
          <t>Croácia</t>
        </is>
      </c>
      <c r="K23" s="5" t="inlineStr"/>
      <c r="L23" s="8" t="inlineStr"/>
    </row>
    <row r="24">
      <c r="A24" s="5" t="n">
        <v>23</v>
      </c>
      <c r="B24" s="5" t="inlineStr">
        <is>
          <t>Fase de Grupos</t>
        </is>
      </c>
      <c r="C24" s="5" t="inlineStr">
        <is>
          <t>L</t>
        </is>
      </c>
      <c r="D24" s="6" t="n">
        <v>46190</v>
      </c>
      <c r="E24" s="7" t="n">
        <v>0.7916666666666666</v>
      </c>
      <c r="F24" s="7" t="n">
        <v>0.8333333333333334</v>
      </c>
      <c r="G24" s="8" t="inlineStr">
        <is>
          <t>Toronto, no Canadá</t>
        </is>
      </c>
      <c r="H24" s="8" t="inlineStr">
        <is>
          <t>Gana</t>
        </is>
      </c>
      <c r="I24" s="5" t="inlineStr"/>
      <c r="J24" s="8" t="inlineStr">
        <is>
          <t>Panamá</t>
        </is>
      </c>
      <c r="K24" s="5" t="inlineStr"/>
      <c r="L24" s="8" t="inlineStr"/>
    </row>
    <row r="25">
      <c r="A25" s="5" t="n">
        <v>24</v>
      </c>
      <c r="B25" s="5" t="inlineStr">
        <is>
          <t>Fase de Grupos</t>
        </is>
      </c>
      <c r="C25" s="5" t="inlineStr">
        <is>
          <t>K</t>
        </is>
      </c>
      <c r="D25" s="6" t="n">
        <v>46190</v>
      </c>
      <c r="E25" s="7" t="n">
        <v>0.8333333333333334</v>
      </c>
      <c r="F25" s="7" t="n">
        <v>0.875</v>
      </c>
      <c r="G25" s="8" t="inlineStr">
        <is>
          <t>Cidade do México, no México</t>
        </is>
      </c>
      <c r="H25" s="8" t="inlineStr">
        <is>
          <t>Uzbequistão</t>
        </is>
      </c>
      <c r="I25" s="5" t="inlineStr"/>
      <c r="J25" s="8" t="inlineStr">
        <is>
          <t>Colômbia</t>
        </is>
      </c>
      <c r="K25" s="5" t="inlineStr"/>
      <c r="L25" s="8" t="inlineStr"/>
    </row>
    <row r="26">
      <c r="A26" s="5" t="n">
        <v>25</v>
      </c>
      <c r="B26" s="5" t="inlineStr">
        <is>
          <t>Fase de Grupos</t>
        </is>
      </c>
      <c r="C26" s="5" t="inlineStr">
        <is>
          <t>A</t>
        </is>
      </c>
      <c r="D26" s="6" t="n">
        <v>46191</v>
      </c>
      <c r="E26" s="7" t="n">
        <v>0.5</v>
      </c>
      <c r="F26" s="7" t="n">
        <v>0.5416666666666666</v>
      </c>
      <c r="G26" s="8" t="inlineStr">
        <is>
          <t>do Sul Atlanta, nos EUA</t>
        </is>
      </c>
      <c r="H26" s="8" t="inlineStr">
        <is>
          <t>República Tcheca</t>
        </is>
      </c>
      <c r="I26" s="5" t="inlineStr"/>
      <c r="J26" s="8" t="inlineStr">
        <is>
          <t>África</t>
        </is>
      </c>
      <c r="K26" s="5" t="inlineStr"/>
      <c r="L26" s="8" t="inlineStr"/>
    </row>
    <row r="27">
      <c r="A27" s="5" t="n">
        <v>26</v>
      </c>
      <c r="B27" s="5" t="inlineStr">
        <is>
          <t>Fase de Grupos</t>
        </is>
      </c>
      <c r="C27" s="5" t="inlineStr">
        <is>
          <t>B</t>
        </is>
      </c>
      <c r="D27" s="6" t="n">
        <v>46191</v>
      </c>
      <c r="E27" s="7" t="n">
        <v>0.5</v>
      </c>
      <c r="F27" s="7" t="n">
        <v>0.6666666666666666</v>
      </c>
      <c r="G27" s="8" t="inlineStr">
        <is>
          <t>e Herzegovina Los Angeles, nos EUA</t>
        </is>
      </c>
      <c r="H27" s="8" t="inlineStr">
        <is>
          <t>Suíça</t>
        </is>
      </c>
      <c r="I27" s="5" t="inlineStr"/>
      <c r="J27" s="8" t="inlineStr">
        <is>
          <t>Bósnia</t>
        </is>
      </c>
      <c r="K27" s="5" t="inlineStr"/>
      <c r="L27" s="8" t="inlineStr"/>
    </row>
    <row r="28">
      <c r="A28" s="5" t="n">
        <v>27</v>
      </c>
      <c r="B28" s="5" t="inlineStr">
        <is>
          <t>Fase de Grupos</t>
        </is>
      </c>
      <c r="C28" s="5" t="inlineStr">
        <is>
          <t>B</t>
        </is>
      </c>
      <c r="D28" s="6" t="n">
        <v>46191</v>
      </c>
      <c r="E28" s="7" t="n">
        <v>0.625</v>
      </c>
      <c r="F28" s="7" t="n">
        <v>0.7916666666666666</v>
      </c>
      <c r="G28" s="8" t="inlineStr">
        <is>
          <t>Vancouver, no Canadá</t>
        </is>
      </c>
      <c r="H28" s="8" t="inlineStr">
        <is>
          <t>Canadá</t>
        </is>
      </c>
      <c r="I28" s="5" t="inlineStr"/>
      <c r="J28" s="8" t="inlineStr">
        <is>
          <t>Catar</t>
        </is>
      </c>
      <c r="K28" s="5" t="inlineStr"/>
      <c r="L28" s="8" t="inlineStr"/>
    </row>
    <row r="29">
      <c r="A29" s="5" t="n">
        <v>28</v>
      </c>
      <c r="B29" s="5" t="inlineStr">
        <is>
          <t>Fase de Grupos</t>
        </is>
      </c>
      <c r="C29" s="5" t="inlineStr">
        <is>
          <t>A</t>
        </is>
      </c>
      <c r="D29" s="6" t="n">
        <v>46191</v>
      </c>
      <c r="E29" s="7" t="n">
        <v>0.7916666666666666</v>
      </c>
      <c r="F29" s="7" t="n">
        <v>0.9166666666666666</v>
      </c>
      <c r="G29" s="8" t="inlineStr">
        <is>
          <t>da Coreia Guadalajara, no México</t>
        </is>
      </c>
      <c r="H29" s="8" t="inlineStr">
        <is>
          <t>México</t>
        </is>
      </c>
      <c r="I29" s="5" t="inlineStr"/>
      <c r="J29" s="8" t="inlineStr">
        <is>
          <t>República</t>
        </is>
      </c>
      <c r="K29" s="5" t="inlineStr"/>
      <c r="L29" s="8" t="inlineStr"/>
    </row>
    <row r="30">
      <c r="A30" s="5" t="n">
        <v>29</v>
      </c>
      <c r="B30" s="5" t="inlineStr">
        <is>
          <t>Fase de Grupos</t>
        </is>
      </c>
      <c r="C30" s="5" t="inlineStr">
        <is>
          <t>D</t>
        </is>
      </c>
      <c r="D30" s="6" t="n">
        <v>46192</v>
      </c>
      <c r="E30" s="7" t="n">
        <v>0.8333333333333334</v>
      </c>
      <c r="F30" s="7" t="n">
        <v>0</v>
      </c>
      <c r="G30" s="8" t="inlineStr">
        <is>
          <t>Santa Clara (região da Baía de San Francisco), nos EUA</t>
        </is>
      </c>
      <c r="H30" s="8" t="inlineStr">
        <is>
          <t>Turquia</t>
        </is>
      </c>
      <c r="I30" s="5" t="inlineStr"/>
      <c r="J30" s="8" t="inlineStr">
        <is>
          <t>Paraguai</t>
        </is>
      </c>
      <c r="K30" s="5" t="inlineStr"/>
      <c r="L30" s="8" t="inlineStr"/>
    </row>
    <row r="31">
      <c r="A31" s="5" t="n">
        <v>30</v>
      </c>
      <c r="B31" s="5" t="inlineStr">
        <is>
          <t>Fase de Grupos</t>
        </is>
      </c>
      <c r="C31" s="5" t="inlineStr">
        <is>
          <t>D</t>
        </is>
      </c>
      <c r="D31" s="6" t="n">
        <v>46192</v>
      </c>
      <c r="E31" s="7" t="n">
        <v>0.5</v>
      </c>
      <c r="F31" s="7" t="n">
        <v>0.6666666666666666</v>
      </c>
      <c r="G31" s="8" t="inlineStr">
        <is>
          <t>Seattle, nos EUA</t>
        </is>
      </c>
      <c r="H31" s="8" t="inlineStr">
        <is>
          <t>Estados Unidos</t>
        </is>
      </c>
      <c r="I31" s="5" t="inlineStr"/>
      <c r="J31" s="8" t="inlineStr">
        <is>
          <t>Austrália</t>
        </is>
      </c>
      <c r="K31" s="5" t="inlineStr"/>
      <c r="L31" s="8" t="inlineStr"/>
    </row>
    <row r="32">
      <c r="A32" s="5" t="n">
        <v>31</v>
      </c>
      <c r="B32" s="5" t="inlineStr">
        <is>
          <t>Fase de Grupos</t>
        </is>
      </c>
      <c r="C32" s="5" t="inlineStr">
        <is>
          <t>C</t>
        </is>
      </c>
      <c r="D32" s="6" t="n">
        <v>46192</v>
      </c>
      <c r="E32" s="7" t="n">
        <v>0.75</v>
      </c>
      <c r="F32" s="7" t="n">
        <v>0.7916666666666666</v>
      </c>
      <c r="G32" s="8" t="inlineStr">
        <is>
          <t>Boston, nos EUA</t>
        </is>
      </c>
      <c r="H32" s="8" t="inlineStr">
        <is>
          <t>Escócia</t>
        </is>
      </c>
      <c r="I32" s="5" t="inlineStr"/>
      <c r="J32" s="8" t="inlineStr">
        <is>
          <t>Marrocos</t>
        </is>
      </c>
      <c r="K32" s="5" t="inlineStr"/>
      <c r="L32" s="8" t="inlineStr"/>
    </row>
    <row r="33">
      <c r="A33" s="5" t="n">
        <v>32</v>
      </c>
      <c r="B33" s="5" t="inlineStr">
        <is>
          <t>Fase de Grupos</t>
        </is>
      </c>
      <c r="C33" s="5" t="inlineStr">
        <is>
          <t>C</t>
        </is>
      </c>
      <c r="D33" s="6" t="n">
        <v>46192</v>
      </c>
      <c r="E33" s="7" t="n">
        <v>0.8541666666666666</v>
      </c>
      <c r="F33" s="7" t="n">
        <v>0.8958333333333334</v>
      </c>
      <c r="G33" s="8" t="inlineStr">
        <is>
          <t>Filadélfia, nos EUA</t>
        </is>
      </c>
      <c r="H33" s="8" t="inlineStr">
        <is>
          <t>Brasil</t>
        </is>
      </c>
      <c r="I33" s="5" t="inlineStr"/>
      <c r="J33" s="8" t="inlineStr">
        <is>
          <t>Haiti</t>
        </is>
      </c>
      <c r="K33" s="5" t="inlineStr"/>
      <c r="L33" s="8" t="inlineStr"/>
    </row>
    <row r="34">
      <c r="A34" s="5" t="n">
        <v>33</v>
      </c>
      <c r="B34" s="5" t="inlineStr">
        <is>
          <t>Fase de Grupos</t>
        </is>
      </c>
      <c r="C34" s="5" t="inlineStr">
        <is>
          <t>F</t>
        </is>
      </c>
      <c r="D34" s="6" t="n">
        <v>46193</v>
      </c>
      <c r="E34" s="7" t="n">
        <v>0.8333333333333334</v>
      </c>
      <c r="F34" s="7" t="n">
        <v>0.9583333333333334</v>
      </c>
      <c r="G34" s="8" t="inlineStr">
        <is>
          <t>Monterrey, no México</t>
        </is>
      </c>
      <c r="H34" s="8" t="inlineStr">
        <is>
          <t>Tunísia</t>
        </is>
      </c>
      <c r="I34" s="5" t="inlineStr"/>
      <c r="J34" s="8" t="inlineStr">
        <is>
          <t>Japão</t>
        </is>
      </c>
      <c r="K34" s="5" t="inlineStr"/>
      <c r="L34" s="8" t="inlineStr"/>
    </row>
    <row r="35">
      <c r="A35" s="5" t="n">
        <v>34</v>
      </c>
      <c r="B35" s="5" t="inlineStr">
        <is>
          <t>Fase de Grupos</t>
        </is>
      </c>
      <c r="C35" s="5" t="inlineStr">
        <is>
          <t>F</t>
        </is>
      </c>
      <c r="D35" s="6" t="n">
        <v>46193</v>
      </c>
      <c r="E35" s="7" t="n">
        <v>0.5</v>
      </c>
      <c r="F35" s="7" t="n">
        <v>0.5833333333333334</v>
      </c>
      <c r="G35" s="8" t="inlineStr">
        <is>
          <t>Houston, nos EUA</t>
        </is>
      </c>
      <c r="H35" s="8" t="inlineStr">
        <is>
          <t>Holanda</t>
        </is>
      </c>
      <c r="I35" s="5" t="inlineStr"/>
      <c r="J35" s="8" t="inlineStr">
        <is>
          <t>Suécia</t>
        </is>
      </c>
      <c r="K35" s="5" t="inlineStr"/>
      <c r="L35" s="8" t="inlineStr"/>
    </row>
    <row r="36">
      <c r="A36" s="5" t="n">
        <v>35</v>
      </c>
      <c r="B36" s="5" t="inlineStr">
        <is>
          <t>Fase de Grupos</t>
        </is>
      </c>
      <c r="C36" s="5" t="inlineStr">
        <is>
          <t>E</t>
        </is>
      </c>
      <c r="D36" s="6" t="n">
        <v>46193</v>
      </c>
      <c r="E36" s="7" t="n">
        <v>0.6666666666666666</v>
      </c>
      <c r="F36" s="7" t="n">
        <v>0.7083333333333334</v>
      </c>
      <c r="G36" s="8" t="inlineStr">
        <is>
          <t>do Marfim Toronto, no Canadá</t>
        </is>
      </c>
      <c r="H36" s="8" t="inlineStr">
        <is>
          <t>Alemanha</t>
        </is>
      </c>
      <c r="I36" s="5" t="inlineStr"/>
      <c r="J36" s="8" t="inlineStr">
        <is>
          <t>Costa</t>
        </is>
      </c>
      <c r="K36" s="5" t="inlineStr"/>
      <c r="L36" s="8" t="inlineStr"/>
    </row>
    <row r="37">
      <c r="A37" s="5" t="n">
        <v>36</v>
      </c>
      <c r="B37" s="5" t="inlineStr">
        <is>
          <t>Fase de Grupos</t>
        </is>
      </c>
      <c r="C37" s="5" t="inlineStr">
        <is>
          <t>E</t>
        </is>
      </c>
      <c r="D37" s="6" t="n">
        <v>46193</v>
      </c>
      <c r="E37" s="7" t="n">
        <v>0.7916666666666666</v>
      </c>
      <c r="F37" s="7" t="n">
        <v>0.875</v>
      </c>
      <c r="G37" s="8" t="inlineStr">
        <is>
          <t>Kansas City, nos EUA</t>
        </is>
      </c>
      <c r="H37" s="8" t="inlineStr">
        <is>
          <t>Equador</t>
        </is>
      </c>
      <c r="I37" s="5" t="inlineStr"/>
      <c r="J37" s="8" t="inlineStr">
        <is>
          <t>Curaçau</t>
        </is>
      </c>
      <c r="K37" s="5" t="inlineStr"/>
      <c r="L37" s="8" t="inlineStr"/>
    </row>
    <row r="38">
      <c r="A38" s="5" t="n">
        <v>37</v>
      </c>
      <c r="B38" s="5" t="inlineStr">
        <is>
          <t>Fase de Grupos</t>
        </is>
      </c>
      <c r="C38" s="5" t="inlineStr">
        <is>
          <t>H</t>
        </is>
      </c>
      <c r="D38" s="6" t="n">
        <v>46194</v>
      </c>
      <c r="E38" s="7" t="n">
        <v>0.5</v>
      </c>
      <c r="F38" s="7" t="n">
        <v>0.5416666666666666</v>
      </c>
      <c r="G38" s="8" t="inlineStr">
        <is>
          <t>Saudita Atlanta, nos EUA</t>
        </is>
      </c>
      <c r="H38" s="8" t="inlineStr">
        <is>
          <t>Espanha</t>
        </is>
      </c>
      <c r="I38" s="5" t="inlineStr"/>
      <c r="J38" s="8" t="inlineStr">
        <is>
          <t>Arábia</t>
        </is>
      </c>
      <c r="K38" s="5" t="inlineStr"/>
      <c r="L38" s="8" t="inlineStr"/>
    </row>
    <row r="39">
      <c r="A39" s="5" t="n">
        <v>38</v>
      </c>
      <c r="B39" s="5" t="inlineStr">
        <is>
          <t>Fase de Grupos</t>
        </is>
      </c>
      <c r="C39" s="5" t="inlineStr">
        <is>
          <t>G</t>
        </is>
      </c>
      <c r="D39" s="6" t="n">
        <v>46194</v>
      </c>
      <c r="E39" s="7" t="n">
        <v>0.5</v>
      </c>
      <c r="F39" s="7" t="n">
        <v>0.6666666666666666</v>
      </c>
      <c r="G39" s="8" t="inlineStr">
        <is>
          <t>Los Angeles, nos EUA</t>
        </is>
      </c>
      <c r="H39" s="8" t="inlineStr">
        <is>
          <t>Bélgica</t>
        </is>
      </c>
      <c r="I39" s="5" t="inlineStr"/>
      <c r="J39" s="8" t="inlineStr">
        <is>
          <t>Irã</t>
        </is>
      </c>
      <c r="K39" s="5" t="inlineStr"/>
      <c r="L39" s="8" t="inlineStr"/>
    </row>
    <row r="40">
      <c r="A40" s="5" t="n">
        <v>39</v>
      </c>
      <c r="B40" s="5" t="inlineStr">
        <is>
          <t>Fase de Grupos</t>
        </is>
      </c>
      <c r="C40" s="5" t="inlineStr">
        <is>
          <t>H</t>
        </is>
      </c>
      <c r="D40" s="6" t="n">
        <v>46194</v>
      </c>
      <c r="E40" s="7" t="n">
        <v>0.75</v>
      </c>
      <c r="F40" s="7" t="n">
        <v>0.7916666666666666</v>
      </c>
      <c r="G40" s="8" t="inlineStr">
        <is>
          <t>Verde Miami, nos EUA</t>
        </is>
      </c>
      <c r="H40" s="8" t="inlineStr">
        <is>
          <t>Uruguai</t>
        </is>
      </c>
      <c r="I40" s="5" t="inlineStr"/>
      <c r="J40" s="8" t="inlineStr">
        <is>
          <t>Cabo</t>
        </is>
      </c>
      <c r="K40" s="5" t="inlineStr"/>
      <c r="L40" s="8" t="inlineStr"/>
    </row>
    <row r="41">
      <c r="A41" s="5" t="n">
        <v>40</v>
      </c>
      <c r="B41" s="5" t="inlineStr">
        <is>
          <t>Fase de Grupos</t>
        </is>
      </c>
      <c r="C41" s="5" t="inlineStr">
        <is>
          <t>G</t>
        </is>
      </c>
      <c r="D41" s="6" t="n">
        <v>46194</v>
      </c>
      <c r="E41" s="7" t="n">
        <v>0.75</v>
      </c>
      <c r="F41" s="7" t="n">
        <v>0.9166666666666666</v>
      </c>
      <c r="G41" s="8" t="inlineStr">
        <is>
          <t>Vancouver, no Canadá</t>
        </is>
      </c>
      <c r="H41" s="8" t="inlineStr">
        <is>
          <t>Nova Zelândia</t>
        </is>
      </c>
      <c r="I41" s="5" t="inlineStr"/>
      <c r="J41" s="8" t="inlineStr">
        <is>
          <t>Egito</t>
        </is>
      </c>
      <c r="K41" s="5" t="inlineStr"/>
      <c r="L41" s="8" t="inlineStr"/>
    </row>
    <row r="42">
      <c r="A42" s="5" t="n">
        <v>41</v>
      </c>
      <c r="B42" s="5" t="inlineStr">
        <is>
          <t>Fase de Grupos</t>
        </is>
      </c>
      <c r="C42" s="5" t="inlineStr">
        <is>
          <t>J</t>
        </is>
      </c>
      <c r="D42" s="6" t="n">
        <v>46195</v>
      </c>
      <c r="E42" s="7" t="n">
        <v>0.5</v>
      </c>
      <c r="F42" s="7" t="n">
        <v>0.5833333333333334</v>
      </c>
      <c r="G42" s="8" t="inlineStr">
        <is>
          <t>Dallas, nos EUA</t>
        </is>
      </c>
      <c r="H42" s="8" t="inlineStr">
        <is>
          <t>Argentina</t>
        </is>
      </c>
      <c r="I42" s="5" t="inlineStr"/>
      <c r="J42" s="8" t="inlineStr">
        <is>
          <t>Áustria</t>
        </is>
      </c>
      <c r="K42" s="5" t="inlineStr"/>
      <c r="L42" s="8" t="inlineStr"/>
    </row>
    <row r="43">
      <c r="A43" s="5" t="n">
        <v>42</v>
      </c>
      <c r="B43" s="5" t="inlineStr">
        <is>
          <t>Fase de Grupos</t>
        </is>
      </c>
      <c r="C43" s="5" t="inlineStr">
        <is>
          <t>I</t>
        </is>
      </c>
      <c r="D43" s="6" t="n">
        <v>46195</v>
      </c>
      <c r="E43" s="7" t="n">
        <v>0.7083333333333334</v>
      </c>
      <c r="F43" s="7" t="n">
        <v>0.75</v>
      </c>
      <c r="G43" s="8" t="inlineStr">
        <is>
          <t>Filadélfia, nos EUA</t>
        </is>
      </c>
      <c r="H43" s="8" t="inlineStr">
        <is>
          <t>França</t>
        </is>
      </c>
      <c r="I43" s="5" t="inlineStr"/>
      <c r="J43" s="8" t="inlineStr">
        <is>
          <t>Iraque</t>
        </is>
      </c>
      <c r="K43" s="5" t="inlineStr"/>
      <c r="L43" s="8" t="inlineStr"/>
    </row>
    <row r="44">
      <c r="A44" s="5" t="n">
        <v>43</v>
      </c>
      <c r="B44" s="5" t="inlineStr">
        <is>
          <t>Fase de Grupos</t>
        </is>
      </c>
      <c r="C44" s="5" t="inlineStr">
        <is>
          <t>I</t>
        </is>
      </c>
      <c r="D44" s="6" t="n">
        <v>46195</v>
      </c>
      <c r="E44" s="7" t="n">
        <v>0.8333333333333334</v>
      </c>
      <c r="F44" s="7" t="n">
        <v>0.875</v>
      </c>
      <c r="G44" s="8" t="inlineStr">
        <is>
          <t>Nova York/Nova Jersey, nos EUA</t>
        </is>
      </c>
      <c r="H44" s="8" t="inlineStr">
        <is>
          <t>Noruega</t>
        </is>
      </c>
      <c r="I44" s="5" t="inlineStr"/>
      <c r="J44" s="8" t="inlineStr">
        <is>
          <t>Senegal</t>
        </is>
      </c>
      <c r="K44" s="5" t="inlineStr"/>
      <c r="L44" s="8" t="inlineStr"/>
    </row>
    <row r="45">
      <c r="A45" s="5" t="n">
        <v>44</v>
      </c>
      <c r="B45" s="5" t="inlineStr">
        <is>
          <t>Fase de Grupos</t>
        </is>
      </c>
      <c r="C45" s="5" t="inlineStr">
        <is>
          <t>J</t>
        </is>
      </c>
      <c r="D45" s="6" t="n">
        <v>46195</v>
      </c>
      <c r="E45" s="7" t="n">
        <v>0.8333333333333334</v>
      </c>
      <c r="F45" s="7" t="n">
        <v>0</v>
      </c>
      <c r="G45" s="8" t="inlineStr">
        <is>
          <t>Santa Clara (região da Baía de San Francisco), nos EUA</t>
        </is>
      </c>
      <c r="H45" s="8" t="inlineStr">
        <is>
          <t>Jordânia</t>
        </is>
      </c>
      <c r="I45" s="5" t="inlineStr"/>
      <c r="J45" s="8" t="inlineStr">
        <is>
          <t>Argélia</t>
        </is>
      </c>
      <c r="K45" s="5" t="inlineStr"/>
      <c r="L45" s="8" t="inlineStr"/>
    </row>
    <row r="46">
      <c r="A46" s="5" t="n">
        <v>45</v>
      </c>
      <c r="B46" s="5" t="inlineStr">
        <is>
          <t>Fase de Grupos</t>
        </is>
      </c>
      <c r="C46" s="5" t="inlineStr">
        <is>
          <t>K</t>
        </is>
      </c>
      <c r="D46" s="6" t="n">
        <v>46196</v>
      </c>
      <c r="E46" s="7" t="n">
        <v>0.5</v>
      </c>
      <c r="F46" s="7" t="n">
        <v>0.5833333333333334</v>
      </c>
      <c r="G46" s="8" t="inlineStr">
        <is>
          <t>Houston, nos EUA</t>
        </is>
      </c>
      <c r="H46" s="8" t="inlineStr">
        <is>
          <t>Portugal</t>
        </is>
      </c>
      <c r="I46" s="5" t="inlineStr"/>
      <c r="J46" s="8" t="inlineStr">
        <is>
          <t>Uzbequistão</t>
        </is>
      </c>
      <c r="K46" s="5" t="inlineStr"/>
      <c r="L46" s="8" t="inlineStr"/>
    </row>
    <row r="47">
      <c r="A47" s="5" t="n">
        <v>46</v>
      </c>
      <c r="B47" s="5" t="inlineStr">
        <is>
          <t>Fase de Grupos</t>
        </is>
      </c>
      <c r="C47" s="5" t="inlineStr">
        <is>
          <t>L</t>
        </is>
      </c>
      <c r="D47" s="6" t="n">
        <v>46196</v>
      </c>
      <c r="E47" s="7" t="n">
        <v>0.6666666666666666</v>
      </c>
      <c r="F47" s="7" t="n">
        <v>0.7083333333333334</v>
      </c>
      <c r="G47" s="8" t="inlineStr">
        <is>
          <t>Boston, nos EUA</t>
        </is>
      </c>
      <c r="H47" s="8" t="inlineStr">
        <is>
          <t>Inglaterra</t>
        </is>
      </c>
      <c r="I47" s="5" t="inlineStr"/>
      <c r="J47" s="8" t="inlineStr">
        <is>
          <t>Gana</t>
        </is>
      </c>
      <c r="K47" s="5" t="inlineStr"/>
      <c r="L47" s="8" t="inlineStr"/>
    </row>
    <row r="48">
      <c r="A48" s="5" t="n">
        <v>47</v>
      </c>
      <c r="B48" s="5" t="inlineStr">
        <is>
          <t>Fase de Grupos</t>
        </is>
      </c>
      <c r="C48" s="5" t="inlineStr">
        <is>
          <t>L</t>
        </is>
      </c>
      <c r="D48" s="6" t="n">
        <v>46196</v>
      </c>
      <c r="E48" s="7" t="n">
        <v>0.7916666666666666</v>
      </c>
      <c r="F48" s="7" t="n">
        <v>0.8333333333333334</v>
      </c>
      <c r="G48" s="8" t="inlineStr">
        <is>
          <t>Toronto, no Canadá</t>
        </is>
      </c>
      <c r="H48" s="8" t="inlineStr">
        <is>
          <t>Panamá</t>
        </is>
      </c>
      <c r="I48" s="5" t="inlineStr"/>
      <c r="J48" s="8" t="inlineStr">
        <is>
          <t>Croácia</t>
        </is>
      </c>
      <c r="K48" s="5" t="inlineStr"/>
      <c r="L48" s="8" t="inlineStr"/>
    </row>
    <row r="49">
      <c r="A49" s="5" t="n">
        <v>48</v>
      </c>
      <c r="B49" s="5" t="inlineStr">
        <is>
          <t>Fase de Grupos</t>
        </is>
      </c>
      <c r="C49" s="5" t="inlineStr">
        <is>
          <t>K</t>
        </is>
      </c>
      <c r="D49" s="6" t="n">
        <v>46196</v>
      </c>
      <c r="E49" s="7" t="n">
        <v>0.8333333333333334</v>
      </c>
      <c r="F49" s="7" t="n">
        <v>0.9583333333333334</v>
      </c>
      <c r="G49" s="8" t="inlineStr">
        <is>
          <t>Democrática do Congo Guadalajara, no México</t>
        </is>
      </c>
      <c r="H49" s="8" t="inlineStr">
        <is>
          <t>Colômbia</t>
        </is>
      </c>
      <c r="I49" s="5" t="inlineStr"/>
      <c r="J49" s="8" t="inlineStr">
        <is>
          <t>República</t>
        </is>
      </c>
      <c r="K49" s="5" t="inlineStr"/>
      <c r="L49" s="8" t="inlineStr"/>
    </row>
    <row r="50">
      <c r="A50" s="5" t="n">
        <v>49</v>
      </c>
      <c r="B50" s="5" t="inlineStr">
        <is>
          <t>Fase de Grupos</t>
        </is>
      </c>
      <c r="C50" s="5" t="inlineStr">
        <is>
          <t>B</t>
        </is>
      </c>
      <c r="D50" s="6" t="n">
        <v>46197</v>
      </c>
      <c r="E50" s="7" t="n">
        <v>0.5</v>
      </c>
      <c r="F50" s="7" t="n">
        <v>0.6666666666666666</v>
      </c>
      <c r="G50" s="8" t="inlineStr">
        <is>
          <t>Vancouver, no Canadá</t>
        </is>
      </c>
      <c r="H50" s="8" t="inlineStr">
        <is>
          <t>Suíça</t>
        </is>
      </c>
      <c r="I50" s="5" t="inlineStr"/>
      <c r="J50" s="8" t="inlineStr">
        <is>
          <t>Canadá</t>
        </is>
      </c>
      <c r="K50" s="5" t="inlineStr"/>
      <c r="L50" s="8" t="inlineStr"/>
    </row>
    <row r="51">
      <c r="A51" s="5" t="n">
        <v>50</v>
      </c>
      <c r="B51" s="5" t="inlineStr">
        <is>
          <t>Fase de Grupos</t>
        </is>
      </c>
      <c r="C51" s="5" t="inlineStr">
        <is>
          <t>B</t>
        </is>
      </c>
      <c r="D51" s="6" t="n">
        <v>46197</v>
      </c>
      <c r="E51" s="7" t="n">
        <v>0.5</v>
      </c>
      <c r="F51" s="7" t="n">
        <v>0.6666666666666666</v>
      </c>
      <c r="G51" s="8" t="inlineStr">
        <is>
          <t>Seattle, nos EUA</t>
        </is>
      </c>
      <c r="H51" s="8" t="inlineStr">
        <is>
          <t>Bósnia e Herzegovina</t>
        </is>
      </c>
      <c r="I51" s="5" t="inlineStr"/>
      <c r="J51" s="8" t="inlineStr">
        <is>
          <t>Catar</t>
        </is>
      </c>
      <c r="K51" s="5" t="inlineStr"/>
      <c r="L51" s="8" t="inlineStr"/>
    </row>
    <row r="52">
      <c r="A52" s="5" t="n">
        <v>51</v>
      </c>
      <c r="B52" s="5" t="inlineStr">
        <is>
          <t>Fase de Grupos</t>
        </is>
      </c>
      <c r="C52" s="5" t="inlineStr">
        <is>
          <t>C</t>
        </is>
      </c>
      <c r="D52" s="6" t="n">
        <v>46197</v>
      </c>
      <c r="E52" s="7" t="n">
        <v>0.75</v>
      </c>
      <c r="F52" s="7" t="n">
        <v>0.7916666666666666</v>
      </c>
      <c r="G52" s="8" t="inlineStr">
        <is>
          <t>Miami, nos EUA</t>
        </is>
      </c>
      <c r="H52" s="8" t="inlineStr">
        <is>
          <t>Escócia</t>
        </is>
      </c>
      <c r="I52" s="5" t="inlineStr"/>
      <c r="J52" s="8" t="inlineStr">
        <is>
          <t>Brasil</t>
        </is>
      </c>
      <c r="K52" s="5" t="inlineStr"/>
      <c r="L52" s="8" t="inlineStr"/>
    </row>
    <row r="53">
      <c r="A53" s="5" t="n">
        <v>52</v>
      </c>
      <c r="B53" s="5" t="inlineStr">
        <is>
          <t>Fase de Grupos</t>
        </is>
      </c>
      <c r="C53" s="5" t="inlineStr">
        <is>
          <t>C</t>
        </is>
      </c>
      <c r="D53" s="6" t="n">
        <v>46197</v>
      </c>
      <c r="E53" s="7" t="n">
        <v>0.75</v>
      </c>
      <c r="F53" s="7" t="n">
        <v>0.7916666666666666</v>
      </c>
      <c r="G53" s="8" t="inlineStr">
        <is>
          <t>Atlanta, nos EUA</t>
        </is>
      </c>
      <c r="H53" s="8" t="inlineStr">
        <is>
          <t>Marrocos</t>
        </is>
      </c>
      <c r="I53" s="5" t="inlineStr"/>
      <c r="J53" s="8" t="inlineStr">
        <is>
          <t>Haiti</t>
        </is>
      </c>
      <c r="K53" s="5" t="inlineStr"/>
      <c r="L53" s="8" t="inlineStr"/>
    </row>
    <row r="54">
      <c r="A54" s="5" t="n">
        <v>53</v>
      </c>
      <c r="B54" s="5" t="inlineStr">
        <is>
          <t>Fase de Grupos</t>
        </is>
      </c>
      <c r="C54" s="5" t="inlineStr">
        <is>
          <t>A</t>
        </is>
      </c>
      <c r="D54" s="6" t="n">
        <v>46197</v>
      </c>
      <c r="E54" s="7" t="n">
        <v>0.7916666666666666</v>
      </c>
      <c r="F54" s="7" t="n">
        <v>0.9166666666666666</v>
      </c>
      <c r="G54" s="8" t="inlineStr">
        <is>
          <t>Cidade do México, no México</t>
        </is>
      </c>
      <c r="H54" s="8" t="inlineStr">
        <is>
          <t>República Tcheca</t>
        </is>
      </c>
      <c r="I54" s="5" t="inlineStr"/>
      <c r="J54" s="8" t="inlineStr">
        <is>
          <t>México</t>
        </is>
      </c>
      <c r="K54" s="5" t="inlineStr"/>
      <c r="L54" s="8" t="inlineStr"/>
    </row>
    <row r="55">
      <c r="A55" s="5" t="n">
        <v>54</v>
      </c>
      <c r="B55" s="5" t="inlineStr">
        <is>
          <t>Fase de Grupos</t>
        </is>
      </c>
      <c r="C55" s="5" t="inlineStr">
        <is>
          <t>A</t>
        </is>
      </c>
      <c r="D55" s="6" t="n">
        <v>46197</v>
      </c>
      <c r="E55" s="7" t="n">
        <v>0.7916666666666666</v>
      </c>
      <c r="F55" s="7" t="n">
        <v>0.9166666666666666</v>
      </c>
      <c r="G55" s="8" t="inlineStr">
        <is>
          <t>da Coreia Monterrey, no México</t>
        </is>
      </c>
      <c r="H55" s="8" t="inlineStr">
        <is>
          <t>África do Sul</t>
        </is>
      </c>
      <c r="I55" s="5" t="inlineStr"/>
      <c r="J55" s="8" t="inlineStr">
        <is>
          <t>República</t>
        </is>
      </c>
      <c r="K55" s="5" t="inlineStr"/>
      <c r="L55" s="8" t="inlineStr"/>
    </row>
    <row r="56">
      <c r="A56" s="5" t="n">
        <v>55</v>
      </c>
      <c r="B56" s="5" t="inlineStr">
        <is>
          <t>Fase de Grupos</t>
        </is>
      </c>
      <c r="C56" s="5" t="inlineStr">
        <is>
          <t>E</t>
        </is>
      </c>
      <c r="D56" s="6" t="n">
        <v>46198</v>
      </c>
      <c r="E56" s="7" t="n">
        <v>0.6666666666666666</v>
      </c>
      <c r="F56" s="7" t="n">
        <v>0.7083333333333334</v>
      </c>
      <c r="G56" s="8" t="inlineStr">
        <is>
          <t>Nova York/Nova Jersey, nos EUA</t>
        </is>
      </c>
      <c r="H56" s="8" t="inlineStr">
        <is>
          <t>Equador</t>
        </is>
      </c>
      <c r="I56" s="5" t="inlineStr"/>
      <c r="J56" s="8" t="inlineStr">
        <is>
          <t>Alemanha</t>
        </is>
      </c>
      <c r="K56" s="5" t="inlineStr"/>
      <c r="L56" s="8" t="inlineStr"/>
    </row>
    <row r="57">
      <c r="A57" s="5" t="n">
        <v>56</v>
      </c>
      <c r="B57" s="5" t="inlineStr">
        <is>
          <t>Fase de Grupos</t>
        </is>
      </c>
      <c r="C57" s="5" t="inlineStr">
        <is>
          <t>E</t>
        </is>
      </c>
      <c r="D57" s="6" t="n">
        <v>46198</v>
      </c>
      <c r="E57" s="7" t="n">
        <v>0.6666666666666666</v>
      </c>
      <c r="F57" s="7" t="n">
        <v>0.7083333333333334</v>
      </c>
      <c r="G57" s="8" t="inlineStr">
        <is>
          <t>do Marfim Filadélfia, nos EUA</t>
        </is>
      </c>
      <c r="H57" s="8" t="inlineStr">
        <is>
          <t>Curaçau</t>
        </is>
      </c>
      <c r="I57" s="5" t="inlineStr"/>
      <c r="J57" s="8" t="inlineStr">
        <is>
          <t>Costa</t>
        </is>
      </c>
      <c r="K57" s="5" t="inlineStr"/>
      <c r="L57" s="8" t="inlineStr"/>
    </row>
    <row r="58">
      <c r="A58" s="5" t="n">
        <v>57</v>
      </c>
      <c r="B58" s="5" t="inlineStr">
        <is>
          <t>Fase de Grupos</t>
        </is>
      </c>
      <c r="C58" s="5" t="inlineStr">
        <is>
          <t>F</t>
        </is>
      </c>
      <c r="D58" s="6" t="n">
        <v>46198</v>
      </c>
      <c r="E58" s="7" t="n">
        <v>0.75</v>
      </c>
      <c r="F58" s="7" t="n">
        <v>0.8333333333333334</v>
      </c>
      <c r="G58" s="8" t="inlineStr">
        <is>
          <t>Dallas, nos EUA</t>
        </is>
      </c>
      <c r="H58" s="8" t="inlineStr">
        <is>
          <t>Japão</t>
        </is>
      </c>
      <c r="I58" s="5" t="inlineStr"/>
      <c r="J58" s="8" t="inlineStr">
        <is>
          <t>Suécia</t>
        </is>
      </c>
      <c r="K58" s="5" t="inlineStr"/>
      <c r="L58" s="8" t="inlineStr"/>
    </row>
    <row r="59">
      <c r="A59" s="5" t="n">
        <v>58</v>
      </c>
      <c r="B59" s="5" t="inlineStr">
        <is>
          <t>Fase de Grupos</t>
        </is>
      </c>
      <c r="C59" s="5" t="inlineStr">
        <is>
          <t>F</t>
        </is>
      </c>
      <c r="D59" s="6" t="n">
        <v>46198</v>
      </c>
      <c r="E59" s="7" t="n">
        <v>0.75</v>
      </c>
      <c r="F59" s="7" t="n">
        <v>0.8333333333333334</v>
      </c>
      <c r="G59" s="8" t="inlineStr">
        <is>
          <t>Kansas City, nos EUA</t>
        </is>
      </c>
      <c r="H59" s="8" t="inlineStr">
        <is>
          <t>Tunísia</t>
        </is>
      </c>
      <c r="I59" s="5" t="inlineStr"/>
      <c r="J59" s="8" t="inlineStr">
        <is>
          <t>Holanda</t>
        </is>
      </c>
      <c r="K59" s="5" t="inlineStr"/>
      <c r="L59" s="8" t="inlineStr"/>
    </row>
    <row r="60">
      <c r="A60" s="5" t="n">
        <v>59</v>
      </c>
      <c r="B60" s="5" t="inlineStr">
        <is>
          <t>Fase de Grupos</t>
        </is>
      </c>
      <c r="C60" s="5" t="inlineStr">
        <is>
          <t>D</t>
        </is>
      </c>
      <c r="D60" s="6" t="n">
        <v>46198</v>
      </c>
      <c r="E60" s="7" t="n">
        <v>0.7916666666666666</v>
      </c>
      <c r="F60" s="7" t="n">
        <v>0.9583333333333334</v>
      </c>
      <c r="G60" s="8" t="inlineStr">
        <is>
          <t>Unidos Los Angeles, nos EUA</t>
        </is>
      </c>
      <c r="H60" s="8" t="inlineStr">
        <is>
          <t>Turquia</t>
        </is>
      </c>
      <c r="I60" s="5" t="inlineStr"/>
      <c r="J60" s="8" t="inlineStr">
        <is>
          <t>Estados</t>
        </is>
      </c>
      <c r="K60" s="5" t="inlineStr"/>
      <c r="L60" s="8" t="inlineStr"/>
    </row>
    <row r="61">
      <c r="A61" s="5" t="n">
        <v>60</v>
      </c>
      <c r="B61" s="5" t="inlineStr">
        <is>
          <t>Fase de Grupos</t>
        </is>
      </c>
      <c r="C61" s="5" t="inlineStr">
        <is>
          <t>D</t>
        </is>
      </c>
      <c r="D61" s="6" t="n">
        <v>46198</v>
      </c>
      <c r="E61" s="7" t="n">
        <v>0.7916666666666666</v>
      </c>
      <c r="F61" s="7" t="n">
        <v>0.9583333333333334</v>
      </c>
      <c r="G61" s="8" t="inlineStr">
        <is>
          <t>Santa Clara (região da Baía de San Francisco), nos EUA</t>
        </is>
      </c>
      <c r="H61" s="8" t="inlineStr">
        <is>
          <t>Paraguai</t>
        </is>
      </c>
      <c r="I61" s="5" t="inlineStr"/>
      <c r="J61" s="8" t="inlineStr">
        <is>
          <t>Austrália</t>
        </is>
      </c>
      <c r="K61" s="5" t="inlineStr"/>
      <c r="L61" s="8" t="inlineStr"/>
    </row>
    <row r="62">
      <c r="A62" s="5" t="n">
        <v>61</v>
      </c>
      <c r="B62" s="5" t="inlineStr">
        <is>
          <t>Fase de Grupos</t>
        </is>
      </c>
      <c r="C62" s="5" t="inlineStr">
        <is>
          <t>I</t>
        </is>
      </c>
      <c r="D62" s="6" t="n">
        <v>46199</v>
      </c>
      <c r="E62" s="7" t="n">
        <v>0.625</v>
      </c>
      <c r="F62" s="7" t="n">
        <v>0.6666666666666666</v>
      </c>
      <c r="G62" s="8" t="inlineStr">
        <is>
          <t>Boston, nos EUA</t>
        </is>
      </c>
      <c r="H62" s="8" t="inlineStr">
        <is>
          <t>Noruega</t>
        </is>
      </c>
      <c r="I62" s="5" t="inlineStr"/>
      <c r="J62" s="8" t="inlineStr">
        <is>
          <t>França</t>
        </is>
      </c>
      <c r="K62" s="5" t="inlineStr"/>
      <c r="L62" s="8" t="inlineStr"/>
    </row>
    <row r="63">
      <c r="A63" s="5" t="n">
        <v>62</v>
      </c>
      <c r="B63" s="5" t="inlineStr">
        <is>
          <t>Fase de Grupos</t>
        </is>
      </c>
      <c r="C63" s="5" t="inlineStr">
        <is>
          <t>I</t>
        </is>
      </c>
      <c r="D63" s="6" t="n">
        <v>46199</v>
      </c>
      <c r="E63" s="7" t="n">
        <v>0.625</v>
      </c>
      <c r="F63" s="7" t="n">
        <v>0.6666666666666666</v>
      </c>
      <c r="G63" s="8" t="inlineStr">
        <is>
          <t>Toronto, no Canadá</t>
        </is>
      </c>
      <c r="H63" s="8" t="inlineStr">
        <is>
          <t>Senegal</t>
        </is>
      </c>
      <c r="I63" s="5" t="inlineStr"/>
      <c r="J63" s="8" t="inlineStr">
        <is>
          <t>Iraque</t>
        </is>
      </c>
      <c r="K63" s="5" t="inlineStr"/>
      <c r="L63" s="8" t="inlineStr"/>
    </row>
    <row r="64">
      <c r="A64" s="5" t="n">
        <v>63</v>
      </c>
      <c r="B64" s="5" t="inlineStr">
        <is>
          <t>Fase de Grupos</t>
        </is>
      </c>
      <c r="C64" s="5" t="inlineStr">
        <is>
          <t>H</t>
        </is>
      </c>
      <c r="D64" s="6" t="n">
        <v>46199</v>
      </c>
      <c r="E64" s="7" t="n">
        <v>0.7916666666666666</v>
      </c>
      <c r="F64" s="7" t="n">
        <v>0.875</v>
      </c>
      <c r="G64" s="8" t="inlineStr">
        <is>
          <t>Saudita Houston, nos EUA</t>
        </is>
      </c>
      <c r="H64" s="8" t="inlineStr">
        <is>
          <t>Cabo Verde</t>
        </is>
      </c>
      <c r="I64" s="5" t="inlineStr"/>
      <c r="J64" s="8" t="inlineStr">
        <is>
          <t>Arábia</t>
        </is>
      </c>
      <c r="K64" s="5" t="inlineStr"/>
      <c r="L64" s="8" t="inlineStr"/>
    </row>
    <row r="65">
      <c r="A65" s="5" t="n">
        <v>64</v>
      </c>
      <c r="B65" s="5" t="inlineStr">
        <is>
          <t>Fase de Grupos</t>
        </is>
      </c>
      <c r="C65" s="5" t="inlineStr">
        <is>
          <t>H</t>
        </is>
      </c>
      <c r="D65" s="6" t="n">
        <v>46199</v>
      </c>
      <c r="E65" s="7" t="n">
        <v>0.75</v>
      </c>
      <c r="F65" s="7" t="n">
        <v>0.875</v>
      </c>
      <c r="G65" s="8" t="inlineStr">
        <is>
          <t>Guadalajara, no México</t>
        </is>
      </c>
      <c r="H65" s="8" t="inlineStr">
        <is>
          <t>Uruguai</t>
        </is>
      </c>
      <c r="I65" s="5" t="inlineStr"/>
      <c r="J65" s="8" t="inlineStr">
        <is>
          <t>Espanha</t>
        </is>
      </c>
      <c r="K65" s="5" t="inlineStr"/>
      <c r="L65" s="8" t="inlineStr"/>
    </row>
    <row r="66">
      <c r="A66" s="5" t="n">
        <v>65</v>
      </c>
      <c r="B66" s="5" t="inlineStr">
        <is>
          <t>Fase de Grupos</t>
        </is>
      </c>
      <c r="C66" s="5" t="inlineStr">
        <is>
          <t>G</t>
        </is>
      </c>
      <c r="D66" s="6" t="n">
        <v>46199</v>
      </c>
      <c r="E66" s="7" t="n">
        <v>0.8333333333333334</v>
      </c>
      <c r="F66" s="7" t="n">
        <v>0</v>
      </c>
      <c r="G66" s="8" t="inlineStr">
        <is>
          <t>Seattle, nos EUA</t>
        </is>
      </c>
      <c r="H66" s="8" t="inlineStr">
        <is>
          <t>Egito</t>
        </is>
      </c>
      <c r="I66" s="5" t="inlineStr"/>
      <c r="J66" s="8" t="inlineStr">
        <is>
          <t>Irã</t>
        </is>
      </c>
      <c r="K66" s="5" t="inlineStr"/>
      <c r="L66" s="8" t="inlineStr"/>
    </row>
    <row r="67">
      <c r="A67" s="5" t="n">
        <v>66</v>
      </c>
      <c r="B67" s="5" t="inlineStr">
        <is>
          <t>Fase de Grupos</t>
        </is>
      </c>
      <c r="C67" s="5" t="inlineStr">
        <is>
          <t>G</t>
        </is>
      </c>
      <c r="D67" s="6" t="n">
        <v>46199</v>
      </c>
      <c r="E67" s="7" t="n">
        <v>0.8333333333333334</v>
      </c>
      <c r="F67" s="7" t="n">
        <v>0</v>
      </c>
      <c r="G67" s="8" t="inlineStr">
        <is>
          <t>Vancouver, no Canadá</t>
        </is>
      </c>
      <c r="H67" s="8" t="inlineStr">
        <is>
          <t>Nova Zelândia</t>
        </is>
      </c>
      <c r="I67" s="5" t="inlineStr"/>
      <c r="J67" s="8" t="inlineStr">
        <is>
          <t>Bélgica</t>
        </is>
      </c>
      <c r="K67" s="5" t="inlineStr"/>
      <c r="L67" s="8" t="inlineStr"/>
    </row>
    <row r="68">
      <c r="A68" s="5" t="n">
        <v>67</v>
      </c>
      <c r="B68" s="5" t="inlineStr">
        <is>
          <t>Fase de Grupos</t>
        </is>
      </c>
      <c r="C68" s="5" t="inlineStr">
        <is>
          <t>L</t>
        </is>
      </c>
      <c r="D68" s="6" t="n">
        <v>46200</v>
      </c>
      <c r="E68" s="7" t="n">
        <v>0.7083333333333334</v>
      </c>
      <c r="F68" s="7" t="n">
        <v>0.75</v>
      </c>
      <c r="G68" s="8" t="inlineStr">
        <is>
          <t>Nova York/Nova Jersey, nos EUA</t>
        </is>
      </c>
      <c r="H68" s="8" t="inlineStr">
        <is>
          <t>Panamá</t>
        </is>
      </c>
      <c r="I68" s="5" t="inlineStr"/>
      <c r="J68" s="8" t="inlineStr">
        <is>
          <t>Inglaterra</t>
        </is>
      </c>
      <c r="K68" s="5" t="inlineStr"/>
      <c r="L68" s="8" t="inlineStr"/>
    </row>
    <row r="69">
      <c r="A69" s="5" t="n">
        <v>68</v>
      </c>
      <c r="B69" s="5" t="inlineStr">
        <is>
          <t>Fase de Grupos</t>
        </is>
      </c>
      <c r="C69" s="5" t="inlineStr">
        <is>
          <t>L</t>
        </is>
      </c>
      <c r="D69" s="6" t="n">
        <v>46200</v>
      </c>
      <c r="E69" s="7" t="n">
        <v>0.7083333333333334</v>
      </c>
      <c r="F69" s="7" t="n">
        <v>0.75</v>
      </c>
      <c r="G69" s="8" t="inlineStr">
        <is>
          <t>Filadélfia, nos EUA</t>
        </is>
      </c>
      <c r="H69" s="8" t="inlineStr">
        <is>
          <t>Croácia</t>
        </is>
      </c>
      <c r="I69" s="5" t="inlineStr"/>
      <c r="J69" s="8" t="inlineStr">
        <is>
          <t>Gana</t>
        </is>
      </c>
      <c r="K69" s="5" t="inlineStr"/>
      <c r="L69" s="8" t="inlineStr"/>
    </row>
    <row r="70">
      <c r="A70" s="5" t="n">
        <v>69</v>
      </c>
      <c r="B70" s="5" t="inlineStr">
        <is>
          <t>Fase de Grupos</t>
        </is>
      </c>
      <c r="C70" s="5" t="inlineStr">
        <is>
          <t>K</t>
        </is>
      </c>
      <c r="D70" s="6" t="n">
        <v>46200</v>
      </c>
      <c r="E70" s="7" t="n">
        <v>0.8125</v>
      </c>
      <c r="F70" s="7" t="n">
        <v>0.8541666666666666</v>
      </c>
      <c r="G70" s="8" t="inlineStr">
        <is>
          <t>Miami, nos EUA</t>
        </is>
      </c>
      <c r="H70" s="8" t="inlineStr">
        <is>
          <t>Colômbia</t>
        </is>
      </c>
      <c r="I70" s="5" t="inlineStr"/>
      <c r="J70" s="8" t="inlineStr">
        <is>
          <t>Portugal</t>
        </is>
      </c>
      <c r="K70" s="5" t="inlineStr"/>
      <c r="L70" s="8" t="inlineStr"/>
    </row>
    <row r="71">
      <c r="A71" s="5" t="n">
        <v>70</v>
      </c>
      <c r="B71" s="5" t="inlineStr">
        <is>
          <t>Fase de Grupos</t>
        </is>
      </c>
      <c r="C71" s="5" t="inlineStr">
        <is>
          <t>K</t>
        </is>
      </c>
      <c r="D71" s="6" t="n">
        <v>46200</v>
      </c>
      <c r="E71" s="7" t="n">
        <v>0.8125</v>
      </c>
      <c r="F71" s="7" t="n">
        <v>0.8541666666666666</v>
      </c>
      <c r="G71" s="8" t="inlineStr">
        <is>
          <t>Atlanta, nos EUA</t>
        </is>
      </c>
      <c r="H71" s="8" t="inlineStr">
        <is>
          <t>República Democrática do Congo</t>
        </is>
      </c>
      <c r="I71" s="5" t="inlineStr"/>
      <c r="J71" s="8" t="inlineStr">
        <is>
          <t>Uzbequistão</t>
        </is>
      </c>
      <c r="K71" s="5" t="inlineStr"/>
      <c r="L71" s="8" t="inlineStr"/>
    </row>
    <row r="72">
      <c r="A72" s="5" t="n">
        <v>71</v>
      </c>
      <c r="B72" s="5" t="inlineStr">
        <is>
          <t>Fase de Grupos</t>
        </is>
      </c>
      <c r="C72" s="5" t="inlineStr">
        <is>
          <t>J</t>
        </is>
      </c>
      <c r="D72" s="6" t="n">
        <v>46200</v>
      </c>
      <c r="E72" s="7" t="n">
        <v>0.875</v>
      </c>
      <c r="F72" s="7" t="n">
        <v>0.9583333333333334</v>
      </c>
      <c r="G72" s="8" t="inlineStr">
        <is>
          <t>Kansas City, nos EUA</t>
        </is>
      </c>
      <c r="H72" s="8" t="inlineStr">
        <is>
          <t>Argélia</t>
        </is>
      </c>
      <c r="I72" s="5" t="inlineStr"/>
      <c r="J72" s="8" t="inlineStr">
        <is>
          <t>Áustria</t>
        </is>
      </c>
      <c r="K72" s="5" t="inlineStr"/>
      <c r="L72" s="8" t="inlineStr"/>
    </row>
    <row r="73">
      <c r="A73" s="5" t="n">
        <v>72</v>
      </c>
      <c r="B73" s="5" t="inlineStr">
        <is>
          <t>Fase de Grupos</t>
        </is>
      </c>
      <c r="C73" s="5" t="inlineStr">
        <is>
          <t>J</t>
        </is>
      </c>
      <c r="D73" s="6" t="n">
        <v>46200</v>
      </c>
      <c r="E73" s="7" t="n">
        <v>0.875</v>
      </c>
      <c r="F73" s="7" t="n">
        <v>0.9583333333333334</v>
      </c>
      <c r="G73" s="8" t="inlineStr">
        <is>
          <t>Dallas, nos EUA</t>
        </is>
      </c>
      <c r="H73" s="8" t="inlineStr">
        <is>
          <t>Jordânia</t>
        </is>
      </c>
      <c r="I73" s="5" t="inlineStr"/>
      <c r="J73" s="8" t="inlineStr">
        <is>
          <t>Argentina</t>
        </is>
      </c>
      <c r="K73" s="5" t="inlineStr"/>
      <c r="L73" s="8" t="inlineStr"/>
    </row>
    <row r="74">
      <c r="A74" s="5" t="n">
        <v>73</v>
      </c>
      <c r="B74" s="5" t="inlineStr">
        <is>
          <t>Rodada de 32 (16-avos)</t>
        </is>
      </c>
      <c r="C74" s="5" t="inlineStr"/>
      <c r="D74" s="6" t="n">
        <v>46201</v>
      </c>
      <c r="E74" s="7" t="inlineStr"/>
      <c r="F74" s="7" t="inlineStr"/>
      <c r="G74" s="8" t="inlineStr">
        <is>
          <t>Los Angeles, nos EUA</t>
        </is>
      </c>
      <c r="H74" s="8" t="inlineStr">
        <is>
          <t>Segundo colocado do Grupo A</t>
        </is>
      </c>
      <c r="I74" s="5" t="inlineStr"/>
      <c r="J74" s="8" t="inlineStr">
        <is>
          <t>Segundo colocado do Grupo B</t>
        </is>
      </c>
      <c r="K74" s="5" t="inlineStr"/>
      <c r="L74" s="8" t="inlineStr"/>
    </row>
    <row r="75">
      <c r="A75" s="5" t="n">
        <v>74</v>
      </c>
      <c r="B75" s="5" t="inlineStr">
        <is>
          <t>Rodada de 32 (16-avos)</t>
        </is>
      </c>
      <c r="C75" s="5" t="inlineStr"/>
      <c r="D75" s="6" t="n">
        <v>46202</v>
      </c>
      <c r="E75" s="7" t="inlineStr"/>
      <c r="F75" s="7" t="inlineStr"/>
      <c r="G75" s="8" t="inlineStr">
        <is>
          <t>Boston, nos EUA</t>
        </is>
      </c>
      <c r="H75" s="8" t="inlineStr">
        <is>
          <t>Vencedor do Grupo E</t>
        </is>
      </c>
      <c r="I75" s="5" t="inlineStr"/>
      <c r="J75" s="8" t="inlineStr">
        <is>
          <t>Terceiro colocado dos Grupos A/B/C/D/F</t>
        </is>
      </c>
      <c r="K75" s="5" t="inlineStr"/>
      <c r="L75" s="8" t="inlineStr"/>
    </row>
    <row r="76">
      <c r="A76" s="5" t="n">
        <v>75</v>
      </c>
      <c r="B76" s="5" t="inlineStr">
        <is>
          <t>Rodada de 32 (16-avos)</t>
        </is>
      </c>
      <c r="C76" s="5" t="inlineStr"/>
      <c r="D76" s="6" t="n">
        <v>46202</v>
      </c>
      <c r="E76" s="7" t="inlineStr"/>
      <c r="F76" s="7" t="inlineStr"/>
      <c r="G76" s="8" t="inlineStr">
        <is>
          <t>Monterrey, no México</t>
        </is>
      </c>
      <c r="H76" s="8" t="inlineStr">
        <is>
          <t>Vencedor do Grupo F</t>
        </is>
      </c>
      <c r="I76" s="5" t="inlineStr"/>
      <c r="J76" s="8" t="inlineStr">
        <is>
          <t>Segundo colocado do Grupo C</t>
        </is>
      </c>
      <c r="K76" s="5" t="inlineStr"/>
      <c r="L76" s="8" t="inlineStr"/>
    </row>
    <row r="77">
      <c r="A77" s="5" t="n">
        <v>76</v>
      </c>
      <c r="B77" s="5" t="inlineStr">
        <is>
          <t>Rodada de 32 (16-avos)</t>
        </is>
      </c>
      <c r="C77" s="5" t="inlineStr"/>
      <c r="D77" s="6" t="n">
        <v>46202</v>
      </c>
      <c r="E77" s="7" t="inlineStr"/>
      <c r="F77" s="7" t="inlineStr"/>
      <c r="G77" s="8" t="inlineStr">
        <is>
          <t>Houston, nos EUA</t>
        </is>
      </c>
      <c r="H77" s="8" t="inlineStr">
        <is>
          <t>Vencedor do Grupo C</t>
        </is>
      </c>
      <c r="I77" s="5" t="inlineStr"/>
      <c r="J77" s="8" t="inlineStr">
        <is>
          <t>Segundo colocado do Grupo F</t>
        </is>
      </c>
      <c r="K77" s="5" t="inlineStr"/>
      <c r="L77" s="8" t="inlineStr"/>
    </row>
    <row r="78">
      <c r="A78" s="5" t="n">
        <v>77</v>
      </c>
      <c r="B78" s="5" t="inlineStr">
        <is>
          <t>Rodada de 32 (16-avos)</t>
        </is>
      </c>
      <c r="C78" s="5" t="inlineStr"/>
      <c r="D78" s="6" t="n">
        <v>46203</v>
      </c>
      <c r="E78" s="7" t="inlineStr"/>
      <c r="F78" s="7" t="inlineStr"/>
      <c r="G78" s="8" t="inlineStr">
        <is>
          <t>Nova York/Nova Jersey, nos EUA</t>
        </is>
      </c>
      <c r="H78" s="8" t="inlineStr">
        <is>
          <t>Vencedor do Grupo I</t>
        </is>
      </c>
      <c r="I78" s="5" t="inlineStr"/>
      <c r="J78" s="8" t="inlineStr">
        <is>
          <t>Terceiro colocado dos Grupos C/D/F/G/H</t>
        </is>
      </c>
      <c r="K78" s="5" t="inlineStr"/>
      <c r="L78" s="8" t="inlineStr"/>
    </row>
    <row r="79">
      <c r="A79" s="5" t="n">
        <v>78</v>
      </c>
      <c r="B79" s="5" t="inlineStr">
        <is>
          <t>Rodada de 32 (16-avos)</t>
        </is>
      </c>
      <c r="C79" s="5" t="inlineStr"/>
      <c r="D79" s="6" t="n">
        <v>46203</v>
      </c>
      <c r="E79" s="7" t="inlineStr"/>
      <c r="F79" s="7" t="inlineStr"/>
      <c r="G79" s="8" t="inlineStr">
        <is>
          <t>Dallas, nos EUA</t>
        </is>
      </c>
      <c r="H79" s="8" t="inlineStr">
        <is>
          <t>Segundo colocado do Grupo E</t>
        </is>
      </c>
      <c r="I79" s="5" t="inlineStr"/>
      <c r="J79" s="8" t="inlineStr">
        <is>
          <t>Segundo colocado do Grupo I</t>
        </is>
      </c>
      <c r="K79" s="5" t="inlineStr"/>
      <c r="L79" s="8" t="inlineStr"/>
    </row>
    <row r="80">
      <c r="A80" s="5" t="n">
        <v>79</v>
      </c>
      <c r="B80" s="5" t="inlineStr">
        <is>
          <t>Rodada de 32 (16-avos)</t>
        </is>
      </c>
      <c r="C80" s="5" t="inlineStr"/>
      <c r="D80" s="6" t="n">
        <v>46203</v>
      </c>
      <c r="E80" s="7" t="inlineStr"/>
      <c r="F80" s="7" t="inlineStr"/>
      <c r="G80" s="8" t="inlineStr">
        <is>
          <t>Cidade do México, no México</t>
        </is>
      </c>
      <c r="H80" s="8" t="inlineStr">
        <is>
          <t>Vencedor do Grupo A</t>
        </is>
      </c>
      <c r="I80" s="5" t="inlineStr"/>
      <c r="J80" s="8" t="inlineStr">
        <is>
          <t>Terceiro colocado dos Grupos C/E/F/H/I</t>
        </is>
      </c>
      <c r="K80" s="5" t="inlineStr"/>
      <c r="L80" s="8" t="inlineStr"/>
    </row>
    <row r="81">
      <c r="A81" s="5" t="n">
        <v>80</v>
      </c>
      <c r="B81" s="5" t="inlineStr">
        <is>
          <t>Rodada de 32 (16-avos)</t>
        </is>
      </c>
      <c r="C81" s="5" t="inlineStr"/>
      <c r="D81" s="6" t="n">
        <v>46204</v>
      </c>
      <c r="E81" s="7" t="inlineStr"/>
      <c r="F81" s="7" t="inlineStr"/>
      <c r="G81" s="8" t="inlineStr">
        <is>
          <t>Atlanta, nos EUA</t>
        </is>
      </c>
      <c r="H81" s="8" t="inlineStr">
        <is>
          <t>Vencedor do Grupo L</t>
        </is>
      </c>
      <c r="I81" s="5" t="inlineStr"/>
      <c r="J81" s="8" t="inlineStr">
        <is>
          <t>Terceiro colocado dos Grupos E/H/I/J/K</t>
        </is>
      </c>
      <c r="K81" s="5" t="inlineStr"/>
      <c r="L81" s="8" t="inlineStr"/>
    </row>
    <row r="82">
      <c r="A82" s="5" t="n">
        <v>81</v>
      </c>
      <c r="B82" s="5" t="inlineStr">
        <is>
          <t>Rodada de 32 (16-avos)</t>
        </is>
      </c>
      <c r="C82" s="5" t="inlineStr"/>
      <c r="D82" s="6" t="n">
        <v>46204</v>
      </c>
      <c r="E82" s="7" t="inlineStr"/>
      <c r="F82" s="7" t="inlineStr"/>
      <c r="G82" s="8" t="inlineStr">
        <is>
          <t>Santa Clara (região da Baía de San Francisco), nos EUA</t>
        </is>
      </c>
      <c r="H82" s="8" t="inlineStr">
        <is>
          <t>Vencedor do Grupo D</t>
        </is>
      </c>
      <c r="I82" s="5" t="inlineStr"/>
      <c r="J82" s="8" t="inlineStr">
        <is>
          <t>Terceiro colocado dos Grupos B/E/F/I/J</t>
        </is>
      </c>
      <c r="K82" s="5" t="inlineStr"/>
      <c r="L82" s="8" t="inlineStr"/>
    </row>
    <row r="83">
      <c r="A83" s="5" t="n">
        <v>82</v>
      </c>
      <c r="B83" s="5" t="inlineStr">
        <is>
          <t>Rodada de 32 (16-avos)</t>
        </is>
      </c>
      <c r="C83" s="5" t="inlineStr"/>
      <c r="D83" s="6" t="n">
        <v>46204</v>
      </c>
      <c r="E83" s="7" t="inlineStr"/>
      <c r="F83" s="7" t="inlineStr"/>
      <c r="G83" s="8" t="inlineStr">
        <is>
          <t>Seattle, nos EUA</t>
        </is>
      </c>
      <c r="H83" s="8" t="inlineStr">
        <is>
          <t>Vencedor do Grupo G</t>
        </is>
      </c>
      <c r="I83" s="5" t="inlineStr"/>
      <c r="J83" s="8" t="inlineStr">
        <is>
          <t>Terceiro colocado dos Grupos A/E/H/I/J</t>
        </is>
      </c>
      <c r="K83" s="5" t="inlineStr"/>
      <c r="L83" s="8" t="inlineStr"/>
    </row>
    <row r="84">
      <c r="A84" s="5" t="n">
        <v>83</v>
      </c>
      <c r="B84" s="5" t="inlineStr">
        <is>
          <t>Rodada de 32 (16-avos)</t>
        </is>
      </c>
      <c r="C84" s="5" t="inlineStr"/>
      <c r="D84" s="6" t="n">
        <v>46205</v>
      </c>
      <c r="E84" s="7" t="inlineStr"/>
      <c r="F84" s="7" t="inlineStr"/>
      <c r="G84" s="8" t="inlineStr">
        <is>
          <t>Toronto, no Canadá</t>
        </is>
      </c>
      <c r="H84" s="8" t="inlineStr">
        <is>
          <t>Segundo colocado do Grupo K</t>
        </is>
      </c>
      <c r="I84" s="5" t="inlineStr"/>
      <c r="J84" s="8" t="inlineStr">
        <is>
          <t>Segundo colocado do Grupo L</t>
        </is>
      </c>
      <c r="K84" s="5" t="inlineStr"/>
      <c r="L84" s="8" t="inlineStr"/>
    </row>
    <row r="85">
      <c r="A85" s="5" t="n">
        <v>84</v>
      </c>
      <c r="B85" s="5" t="inlineStr">
        <is>
          <t>Rodada de 32 (16-avos)</t>
        </is>
      </c>
      <c r="C85" s="5" t="inlineStr"/>
      <c r="D85" s="6" t="n">
        <v>46205</v>
      </c>
      <c r="E85" s="7" t="inlineStr"/>
      <c r="F85" s="7" t="inlineStr"/>
      <c r="G85" s="8" t="inlineStr">
        <is>
          <t>Los Angeles, nos EUA</t>
        </is>
      </c>
      <c r="H85" s="8" t="inlineStr">
        <is>
          <t>Vencedor do Grupo H</t>
        </is>
      </c>
      <c r="I85" s="5" t="inlineStr"/>
      <c r="J85" s="8" t="inlineStr">
        <is>
          <t>Segundo colocado do Grupo J</t>
        </is>
      </c>
      <c r="K85" s="5" t="inlineStr"/>
      <c r="L85" s="8" t="inlineStr"/>
    </row>
    <row r="86">
      <c r="A86" s="5" t="n">
        <v>85</v>
      </c>
      <c r="B86" s="5" t="inlineStr">
        <is>
          <t>Rodada de 32 (16-avos)</t>
        </is>
      </c>
      <c r="C86" s="5" t="inlineStr"/>
      <c r="D86" s="6" t="n">
        <v>46205</v>
      </c>
      <c r="E86" s="7" t="inlineStr"/>
      <c r="F86" s="7" t="inlineStr"/>
      <c r="G86" s="8" t="inlineStr">
        <is>
          <t>Vancouver, no Canadá</t>
        </is>
      </c>
      <c r="H86" s="8" t="inlineStr">
        <is>
          <t>Vencedor do Grupo B</t>
        </is>
      </c>
      <c r="I86" s="5" t="inlineStr"/>
      <c r="J86" s="8" t="inlineStr">
        <is>
          <t>Terceiro colocado dos Grupos E/F/G/I/J</t>
        </is>
      </c>
      <c r="K86" s="5" t="inlineStr"/>
      <c r="L86" s="8" t="inlineStr"/>
    </row>
    <row r="87">
      <c r="A87" s="5" t="n">
        <v>86</v>
      </c>
      <c r="B87" s="5" t="inlineStr">
        <is>
          <t>Rodada de 32 (16-avos)</t>
        </is>
      </c>
      <c r="C87" s="5" t="inlineStr"/>
      <c r="D87" s="6" t="n">
        <v>46206</v>
      </c>
      <c r="E87" s="7" t="inlineStr"/>
      <c r="F87" s="7" t="inlineStr"/>
      <c r="G87" s="8" t="inlineStr">
        <is>
          <t>Miami, nos EUA</t>
        </is>
      </c>
      <c r="H87" s="8" t="inlineStr">
        <is>
          <t>Vencedor do Grupo J</t>
        </is>
      </c>
      <c r="I87" s="5" t="inlineStr"/>
      <c r="J87" s="8" t="inlineStr">
        <is>
          <t>Segundo colocado do Grupo H</t>
        </is>
      </c>
      <c r="K87" s="5" t="inlineStr"/>
      <c r="L87" s="8" t="inlineStr"/>
    </row>
    <row r="88">
      <c r="A88" s="5" t="n">
        <v>87</v>
      </c>
      <c r="B88" s="5" t="inlineStr">
        <is>
          <t>Rodada de 32 (16-avos)</t>
        </is>
      </c>
      <c r="C88" s="5" t="inlineStr"/>
      <c r="D88" s="6" t="n">
        <v>46206</v>
      </c>
      <c r="E88" s="7" t="inlineStr"/>
      <c r="F88" s="7" t="inlineStr"/>
      <c r="G88" s="8" t="inlineStr">
        <is>
          <t>Kansas City, nos EUA</t>
        </is>
      </c>
      <c r="H88" s="8" t="inlineStr">
        <is>
          <t>Vencedor do Grupo K</t>
        </is>
      </c>
      <c r="I88" s="5" t="inlineStr"/>
      <c r="J88" s="8" t="inlineStr">
        <is>
          <t>Terceiro colocado dos Grupos D/E/I/J/L</t>
        </is>
      </c>
      <c r="K88" s="5" t="inlineStr"/>
      <c r="L88" s="8" t="inlineStr"/>
    </row>
    <row r="89">
      <c r="A89" s="5" t="n">
        <v>88</v>
      </c>
      <c r="B89" s="5" t="inlineStr">
        <is>
          <t>Rodada de 32 (16-avos)</t>
        </is>
      </c>
      <c r="C89" s="5" t="inlineStr"/>
      <c r="D89" s="6" t="n">
        <v>46206</v>
      </c>
      <c r="E89" s="7" t="inlineStr"/>
      <c r="F89" s="7" t="inlineStr"/>
      <c r="G89" s="8" t="inlineStr">
        <is>
          <t>Dallas, nos EUA</t>
        </is>
      </c>
      <c r="H89" s="8" t="inlineStr">
        <is>
          <t>Segundo colocado do Grupo D</t>
        </is>
      </c>
      <c r="I89" s="5" t="inlineStr"/>
      <c r="J89" s="8" t="inlineStr">
        <is>
          <t>Segundo colocado do Grupo G</t>
        </is>
      </c>
      <c r="K89" s="5" t="inlineStr"/>
      <c r="L89" s="8" t="inlineStr"/>
    </row>
    <row r="90">
      <c r="A90" s="5" t="n">
        <v>89</v>
      </c>
      <c r="B90" s="5" t="inlineStr">
        <is>
          <t>Oitavas de Final</t>
        </is>
      </c>
      <c r="C90" s="5" t="inlineStr"/>
      <c r="D90" s="6" t="n">
        <v>46207</v>
      </c>
      <c r="E90" s="7" t="inlineStr"/>
      <c r="F90" s="7" t="inlineStr"/>
      <c r="G90" s="8" t="inlineStr">
        <is>
          <t>Filadélfia, nos EUA</t>
        </is>
      </c>
      <c r="H90" s="8" t="inlineStr">
        <is>
          <t>Vencedor do jogo 74</t>
        </is>
      </c>
      <c r="I90" s="5" t="inlineStr"/>
      <c r="J90" s="8" t="inlineStr">
        <is>
          <t>Vencedor do jogo 77</t>
        </is>
      </c>
      <c r="K90" s="5" t="inlineStr"/>
      <c r="L90" s="8" t="inlineStr"/>
    </row>
    <row r="91">
      <c r="A91" s="5" t="n">
        <v>90</v>
      </c>
      <c r="B91" s="5" t="inlineStr">
        <is>
          <t>Oitavas de Final</t>
        </is>
      </c>
      <c r="C91" s="5" t="inlineStr"/>
      <c r="D91" s="6" t="n">
        <v>46207</v>
      </c>
      <c r="E91" s="7" t="inlineStr"/>
      <c r="F91" s="7" t="inlineStr"/>
      <c r="G91" s="8" t="inlineStr">
        <is>
          <t>Houston, nos EUA</t>
        </is>
      </c>
      <c r="H91" s="8" t="inlineStr">
        <is>
          <t>Vencedor do jogo 73</t>
        </is>
      </c>
      <c r="I91" s="5" t="inlineStr"/>
      <c r="J91" s="8" t="inlineStr">
        <is>
          <t>Vencedor do jogo 75</t>
        </is>
      </c>
      <c r="K91" s="5" t="inlineStr"/>
      <c r="L91" s="8" t="inlineStr"/>
    </row>
    <row r="92">
      <c r="A92" s="5" t="n">
        <v>91</v>
      </c>
      <c r="B92" s="5" t="inlineStr">
        <is>
          <t>Oitavas de Final</t>
        </is>
      </c>
      <c r="C92" s="5" t="inlineStr"/>
      <c r="D92" s="6" t="n">
        <v>46208</v>
      </c>
      <c r="E92" s="7" t="inlineStr"/>
      <c r="F92" s="7" t="inlineStr"/>
      <c r="G92" s="8" t="inlineStr">
        <is>
          <t>Nova York/Nova Jersey, nos EUA</t>
        </is>
      </c>
      <c r="H92" s="8" t="inlineStr">
        <is>
          <t>Vencedor do jogo 76</t>
        </is>
      </c>
      <c r="I92" s="5" t="inlineStr"/>
      <c r="J92" s="8" t="inlineStr">
        <is>
          <t>Vencedor do jogo 78</t>
        </is>
      </c>
      <c r="K92" s="5" t="inlineStr"/>
      <c r="L92" s="8" t="inlineStr"/>
    </row>
    <row r="93">
      <c r="A93" s="5" t="n">
        <v>92</v>
      </c>
      <c r="B93" s="5" t="inlineStr">
        <is>
          <t>Oitavas de Final</t>
        </is>
      </c>
      <c r="C93" s="5" t="inlineStr"/>
      <c r="D93" s="6" t="n">
        <v>46208</v>
      </c>
      <c r="E93" s="7" t="inlineStr"/>
      <c r="F93" s="7" t="inlineStr"/>
      <c r="G93" s="8" t="inlineStr">
        <is>
          <t>Cidade do México, no México</t>
        </is>
      </c>
      <c r="H93" s="8" t="inlineStr">
        <is>
          <t>Vencedor do jogo 79</t>
        </is>
      </c>
      <c r="I93" s="5" t="inlineStr"/>
      <c r="J93" s="8" t="inlineStr">
        <is>
          <t>Vencedor do jogo 80</t>
        </is>
      </c>
      <c r="K93" s="5" t="inlineStr"/>
      <c r="L93" s="8" t="inlineStr"/>
    </row>
    <row r="94">
      <c r="A94" s="5" t="n">
        <v>93</v>
      </c>
      <c r="B94" s="5" t="inlineStr">
        <is>
          <t>Oitavas de Final</t>
        </is>
      </c>
      <c r="C94" s="5" t="inlineStr"/>
      <c r="D94" s="6" t="n">
        <v>46209</v>
      </c>
      <c r="E94" s="7" t="inlineStr"/>
      <c r="F94" s="7" t="inlineStr"/>
      <c r="G94" s="8" t="inlineStr">
        <is>
          <t>Dallas, nos EUA</t>
        </is>
      </c>
      <c r="H94" s="8" t="inlineStr">
        <is>
          <t>Vencedor do jogo 83</t>
        </is>
      </c>
      <c r="I94" s="5" t="inlineStr"/>
      <c r="J94" s="8" t="inlineStr">
        <is>
          <t>Vencedor do jogo 84</t>
        </is>
      </c>
      <c r="K94" s="5" t="inlineStr"/>
      <c r="L94" s="8" t="inlineStr"/>
    </row>
    <row r="95">
      <c r="A95" s="5" t="n">
        <v>94</v>
      </c>
      <c r="B95" s="5" t="inlineStr">
        <is>
          <t>Oitavas de Final</t>
        </is>
      </c>
      <c r="C95" s="5" t="inlineStr"/>
      <c r="D95" s="6" t="n">
        <v>46209</v>
      </c>
      <c r="E95" s="7" t="inlineStr"/>
      <c r="F95" s="7" t="inlineStr"/>
      <c r="G95" s="8" t="inlineStr">
        <is>
          <t>Seattle, nos EUA</t>
        </is>
      </c>
      <c r="H95" s="8" t="inlineStr">
        <is>
          <t>Vencedor do jogo 81</t>
        </is>
      </c>
      <c r="I95" s="5" t="inlineStr"/>
      <c r="J95" s="8" t="inlineStr">
        <is>
          <t>Vencedor do jogo 82</t>
        </is>
      </c>
      <c r="K95" s="5" t="inlineStr"/>
      <c r="L95" s="8" t="inlineStr"/>
    </row>
    <row r="96">
      <c r="A96" s="5" t="n">
        <v>95</v>
      </c>
      <c r="B96" s="5" t="inlineStr">
        <is>
          <t>Oitavas de Final</t>
        </is>
      </c>
      <c r="C96" s="5" t="inlineStr"/>
      <c r="D96" s="6" t="n">
        <v>46210</v>
      </c>
      <c r="E96" s="7" t="inlineStr"/>
      <c r="F96" s="7" t="inlineStr"/>
      <c r="G96" s="8" t="inlineStr">
        <is>
          <t>Atlanta, nos EUA</t>
        </is>
      </c>
      <c r="H96" s="8" t="inlineStr">
        <is>
          <t>Vencedor do jogo 86</t>
        </is>
      </c>
      <c r="I96" s="5" t="inlineStr"/>
      <c r="J96" s="8" t="inlineStr">
        <is>
          <t>Vencedor do jogo 88</t>
        </is>
      </c>
      <c r="K96" s="5" t="inlineStr"/>
      <c r="L96" s="8" t="inlineStr"/>
    </row>
    <row r="97">
      <c r="A97" s="5" t="n">
        <v>96</v>
      </c>
      <c r="B97" s="5" t="inlineStr">
        <is>
          <t>Oitavas de Final</t>
        </is>
      </c>
      <c r="C97" s="5" t="inlineStr"/>
      <c r="D97" s="6" t="n">
        <v>46210</v>
      </c>
      <c r="E97" s="7" t="inlineStr"/>
      <c r="F97" s="7" t="inlineStr"/>
      <c r="G97" s="8" t="inlineStr">
        <is>
          <t>Vancouver, no Canadá</t>
        </is>
      </c>
      <c r="H97" s="8" t="inlineStr">
        <is>
          <t>Vencedor do jogo 85</t>
        </is>
      </c>
      <c r="I97" s="5" t="inlineStr"/>
      <c r="J97" s="8" t="inlineStr">
        <is>
          <t>Vencedor do jogo 87</t>
        </is>
      </c>
      <c r="K97" s="5" t="inlineStr"/>
      <c r="L97" s="8" t="inlineStr"/>
    </row>
    <row r="98">
      <c r="A98" s="5" t="n">
        <v>97</v>
      </c>
      <c r="B98" s="5" t="inlineStr">
        <is>
          <t>Quartas de Final</t>
        </is>
      </c>
      <c r="C98" s="5" t="inlineStr"/>
      <c r="D98" s="6" t="n">
        <v>46212</v>
      </c>
      <c r="E98" s="7" t="inlineStr"/>
      <c r="F98" s="7" t="inlineStr"/>
      <c r="G98" s="8" t="inlineStr">
        <is>
          <t>Boston, nos EUA</t>
        </is>
      </c>
      <c r="H98" s="8" t="inlineStr">
        <is>
          <t>Vencedor do jogo 89</t>
        </is>
      </c>
      <c r="I98" s="5" t="inlineStr"/>
      <c r="J98" s="8" t="inlineStr">
        <is>
          <t>Vencedor do jogo 90</t>
        </is>
      </c>
      <c r="K98" s="5" t="inlineStr"/>
      <c r="L98" s="8" t="inlineStr"/>
    </row>
    <row r="99">
      <c r="A99" s="5" t="n">
        <v>98</v>
      </c>
      <c r="B99" s="5" t="inlineStr">
        <is>
          <t>Quartas de Final</t>
        </is>
      </c>
      <c r="C99" s="5" t="inlineStr"/>
      <c r="D99" s="6" t="n">
        <v>46213</v>
      </c>
      <c r="E99" s="7" t="inlineStr"/>
      <c r="F99" s="7" t="inlineStr"/>
      <c r="G99" s="8" t="inlineStr">
        <is>
          <t>Los Angeles, nos EUA</t>
        </is>
      </c>
      <c r="H99" s="8" t="inlineStr">
        <is>
          <t>Vencedor do jogo 93</t>
        </is>
      </c>
      <c r="I99" s="5" t="inlineStr"/>
      <c r="J99" s="8" t="inlineStr">
        <is>
          <t>Vencedor do jogo 94</t>
        </is>
      </c>
      <c r="K99" s="5" t="inlineStr"/>
      <c r="L99" s="8" t="inlineStr"/>
    </row>
    <row r="100">
      <c r="A100" s="5" t="n">
        <v>99</v>
      </c>
      <c r="B100" s="5" t="inlineStr">
        <is>
          <t>Quartas de Final</t>
        </is>
      </c>
      <c r="C100" s="5" t="inlineStr"/>
      <c r="D100" s="6" t="n">
        <v>46215</v>
      </c>
      <c r="E100" s="7" t="inlineStr"/>
      <c r="F100" s="7" t="inlineStr"/>
      <c r="G100" s="8" t="inlineStr">
        <is>
          <t>Miami, nos EUA</t>
        </is>
      </c>
      <c r="H100" s="8" t="inlineStr">
        <is>
          <t>Vencedor do jogo 91</t>
        </is>
      </c>
      <c r="I100" s="5" t="inlineStr"/>
      <c r="J100" s="8" t="inlineStr">
        <is>
          <t>Vencedor do jogo 92</t>
        </is>
      </c>
      <c r="K100" s="5" t="inlineStr"/>
      <c r="L100" s="8" t="inlineStr"/>
    </row>
    <row r="101">
      <c r="A101" s="5" t="n">
        <v>100</v>
      </c>
      <c r="B101" s="5" t="inlineStr">
        <is>
          <t>Quartas de Final</t>
        </is>
      </c>
      <c r="C101" s="5" t="inlineStr"/>
      <c r="D101" s="6" t="n">
        <v>46215</v>
      </c>
      <c r="E101" s="7" t="inlineStr"/>
      <c r="F101" s="7" t="inlineStr"/>
      <c r="G101" s="8" t="inlineStr">
        <is>
          <t>Kansas City, nos EUA</t>
        </is>
      </c>
      <c r="H101" s="8" t="inlineStr">
        <is>
          <t>Vencedor do jogo 95</t>
        </is>
      </c>
      <c r="I101" s="5" t="inlineStr"/>
      <c r="J101" s="8" t="inlineStr">
        <is>
          <t>Vencedor do jogo 96</t>
        </is>
      </c>
      <c r="K101" s="5" t="inlineStr"/>
      <c r="L101" s="8" t="inlineStr"/>
    </row>
    <row r="102">
      <c r="A102" s="5" t="n">
        <v>101</v>
      </c>
      <c r="B102" s="5" t="inlineStr">
        <is>
          <t>Semifinais</t>
        </is>
      </c>
      <c r="C102" s="5" t="inlineStr"/>
      <c r="D102" s="6" t="n">
        <v>46217</v>
      </c>
      <c r="E102" s="7" t="inlineStr"/>
      <c r="F102" s="7" t="inlineStr"/>
      <c r="G102" s="8" t="inlineStr">
        <is>
          <t>Dallas, nos EUA</t>
        </is>
      </c>
      <c r="H102" s="8" t="inlineStr">
        <is>
          <t>Vencedor do jogo 97</t>
        </is>
      </c>
      <c r="I102" s="5" t="inlineStr"/>
      <c r="J102" s="8" t="inlineStr">
        <is>
          <t>Vencedor do jogo 98</t>
        </is>
      </c>
      <c r="K102" s="5" t="inlineStr"/>
      <c r="L102" s="8" t="inlineStr"/>
    </row>
    <row r="103">
      <c r="A103" s="5" t="n">
        <v>102</v>
      </c>
      <c r="B103" s="5" t="inlineStr">
        <is>
          <t>Semifinais</t>
        </is>
      </c>
      <c r="C103" s="5" t="inlineStr"/>
      <c r="D103" s="6" t="n">
        <v>46217</v>
      </c>
      <c r="E103" s="7" t="inlineStr"/>
      <c r="F103" s="7" t="inlineStr"/>
      <c r="G103" s="8" t="inlineStr">
        <is>
          <t>Atlanta, nos EUA</t>
        </is>
      </c>
      <c r="H103" s="8" t="inlineStr">
        <is>
          <t>Vencedor do jogo 99</t>
        </is>
      </c>
      <c r="I103" s="5" t="inlineStr"/>
      <c r="J103" s="8" t="inlineStr">
        <is>
          <t>Vencedor do jogo 100</t>
        </is>
      </c>
      <c r="K103" s="5" t="inlineStr"/>
      <c r="L103" s="8" t="inlineStr"/>
    </row>
    <row r="104">
      <c r="A104" s="5" t="n">
        <v>103</v>
      </c>
      <c r="B104" s="5" t="inlineStr">
        <is>
          <t>3º Lugar</t>
        </is>
      </c>
      <c r="C104" s="5" t="inlineStr"/>
      <c r="D104" s="6" t="n">
        <v>46221</v>
      </c>
      <c r="E104" s="7" t="inlineStr"/>
      <c r="F104" s="7" t="inlineStr"/>
      <c r="G104" s="8" t="inlineStr">
        <is>
          <t>Miami, nos EUA</t>
        </is>
      </c>
      <c r="H104" s="8" t="inlineStr">
        <is>
          <t>Perdedor do jogo 101</t>
        </is>
      </c>
      <c r="I104" s="5" t="inlineStr"/>
      <c r="J104" s="8" t="inlineStr">
        <is>
          <t>Perdedor do jogo 102</t>
        </is>
      </c>
      <c r="K104" s="5" t="inlineStr"/>
      <c r="L104" s="8" t="inlineStr"/>
    </row>
    <row r="105">
      <c r="A105" s="5" t="n">
        <v>104</v>
      </c>
      <c r="B105" s="5" t="inlineStr">
        <is>
          <t>Final</t>
        </is>
      </c>
      <c r="C105" s="5" t="inlineStr"/>
      <c r="D105" s="6" t="n">
        <v>46222</v>
      </c>
      <c r="E105" s="7" t="inlineStr"/>
      <c r="F105" s="7" t="inlineStr"/>
      <c r="G105" s="8" t="inlineStr">
        <is>
          <t>Nova York/Nova Jersey, nos EUA</t>
        </is>
      </c>
      <c r="H105" s="8" t="inlineStr">
        <is>
          <t>Vencedor do jogo 101</t>
        </is>
      </c>
      <c r="I105" s="5" t="inlineStr"/>
      <c r="J105" s="8" t="inlineStr">
        <is>
          <t>Vencedor do jogo 102</t>
        </is>
      </c>
      <c r="K105" s="5" t="inlineStr"/>
      <c r="L105" s="8" t="inlineStr"/>
    </row>
  </sheetData>
  <autoFilter ref="A1:L105"/>
  <dataValidations count="1">
    <dataValidation sqref="E2:E2501 F2:F2501 I2:I105 K2:K105" showDropDown="0" showInputMessage="0" showErrorMessage="0" allowBlank="1" type="whole" operator="between">
      <formula1>0</formula1>
      <formula2>20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28" customWidth="1" min="4" max="4"/>
    <col width="18" customWidth="1" min="5" max="5"/>
    <col width="10" customWidth="1" min="6" max="6"/>
    <col width="24" customWidth="1" min="7" max="7"/>
  </cols>
  <sheetData>
    <row r="1">
      <c r="A1" s="4" t="inlineStr">
        <is>
          <t>ID</t>
        </is>
      </c>
      <c r="B1" s="4" t="inlineStr">
        <is>
          <t>Nome</t>
        </is>
      </c>
      <c r="C1" s="4" t="inlineStr">
        <is>
          <t>Apelido</t>
        </is>
      </c>
      <c r="D1" s="4" t="inlineStr">
        <is>
          <t>Email</t>
        </is>
      </c>
      <c r="E1" s="4" t="inlineStr">
        <is>
          <t>WhatsApp</t>
        </is>
      </c>
      <c r="F1" s="4" t="inlineStr">
        <is>
          <t>Pago?</t>
        </is>
      </c>
      <c r="G1" s="4" t="inlineStr">
        <is>
          <t>Observações</t>
        </is>
      </c>
    </row>
    <row r="2">
      <c r="A2" s="5" t="n">
        <v>1</v>
      </c>
      <c r="B2" s="5" t="inlineStr"/>
      <c r="C2" s="5" t="inlineStr"/>
      <c r="D2" s="5" t="inlineStr"/>
      <c r="E2" s="5" t="inlineStr"/>
      <c r="F2" s="5" t="inlineStr">
        <is>
          <t>Não</t>
        </is>
      </c>
      <c r="G2" s="8" t="inlineStr"/>
    </row>
    <row r="3">
      <c r="A3" s="5" t="n">
        <v>2</v>
      </c>
      <c r="B3" s="5" t="inlineStr"/>
      <c r="C3" s="5" t="inlineStr"/>
      <c r="D3" s="5" t="inlineStr"/>
      <c r="E3" s="5" t="inlineStr"/>
      <c r="F3" s="5" t="inlineStr">
        <is>
          <t>Não</t>
        </is>
      </c>
      <c r="G3" s="8" t="inlineStr"/>
    </row>
    <row r="4">
      <c r="A4" s="5" t="n">
        <v>3</v>
      </c>
      <c r="B4" s="5" t="inlineStr"/>
      <c r="C4" s="5" t="inlineStr"/>
      <c r="D4" s="5" t="inlineStr"/>
      <c r="E4" s="5" t="inlineStr"/>
      <c r="F4" s="5" t="inlineStr">
        <is>
          <t>Não</t>
        </is>
      </c>
      <c r="G4" s="8" t="inlineStr"/>
    </row>
    <row r="5">
      <c r="A5" s="5" t="n">
        <v>4</v>
      </c>
      <c r="B5" s="5" t="inlineStr"/>
      <c r="C5" s="5" t="inlineStr"/>
      <c r="D5" s="5" t="inlineStr"/>
      <c r="E5" s="5" t="inlineStr"/>
      <c r="F5" s="5" t="inlineStr">
        <is>
          <t>Não</t>
        </is>
      </c>
      <c r="G5" s="8" t="inlineStr"/>
    </row>
    <row r="6">
      <c r="A6" s="5" t="n">
        <v>5</v>
      </c>
      <c r="B6" s="5" t="inlineStr"/>
      <c r="C6" s="5" t="inlineStr"/>
      <c r="D6" s="5" t="inlineStr"/>
      <c r="E6" s="5" t="inlineStr"/>
      <c r="F6" s="5" t="inlineStr">
        <is>
          <t>Não</t>
        </is>
      </c>
      <c r="G6" s="8" t="inlineStr"/>
    </row>
    <row r="7">
      <c r="A7" s="5" t="n">
        <v>6</v>
      </c>
      <c r="B7" s="5" t="inlineStr"/>
      <c r="C7" s="5" t="inlineStr"/>
      <c r="D7" s="5" t="inlineStr"/>
      <c r="E7" s="5" t="inlineStr"/>
      <c r="F7" s="5" t="inlineStr">
        <is>
          <t>Não</t>
        </is>
      </c>
      <c r="G7" s="8" t="inlineStr"/>
    </row>
    <row r="8">
      <c r="A8" s="5" t="n">
        <v>7</v>
      </c>
      <c r="B8" s="5" t="inlineStr"/>
      <c r="C8" s="5" t="inlineStr"/>
      <c r="D8" s="5" t="inlineStr"/>
      <c r="E8" s="5" t="inlineStr"/>
      <c r="F8" s="5" t="inlineStr">
        <is>
          <t>Não</t>
        </is>
      </c>
      <c r="G8" s="8" t="inlineStr"/>
    </row>
    <row r="9">
      <c r="A9" s="5" t="n">
        <v>8</v>
      </c>
      <c r="B9" s="5" t="inlineStr"/>
      <c r="C9" s="5" t="inlineStr"/>
      <c r="D9" s="5" t="inlineStr"/>
      <c r="E9" s="5" t="inlineStr"/>
      <c r="F9" s="5" t="inlineStr">
        <is>
          <t>Não</t>
        </is>
      </c>
      <c r="G9" s="8" t="inlineStr"/>
    </row>
    <row r="10">
      <c r="A10" s="5" t="n">
        <v>9</v>
      </c>
      <c r="B10" s="5" t="inlineStr"/>
      <c r="C10" s="5" t="inlineStr"/>
      <c r="D10" s="5" t="inlineStr"/>
      <c r="E10" s="5" t="inlineStr"/>
      <c r="F10" s="5" t="inlineStr">
        <is>
          <t>Não</t>
        </is>
      </c>
      <c r="G10" s="8" t="inlineStr"/>
    </row>
    <row r="11">
      <c r="A11" s="5" t="n">
        <v>10</v>
      </c>
      <c r="B11" s="5" t="inlineStr"/>
      <c r="C11" s="5" t="inlineStr"/>
      <c r="D11" s="5" t="inlineStr"/>
      <c r="E11" s="5" t="inlineStr"/>
      <c r="F11" s="5" t="inlineStr">
        <is>
          <t>Não</t>
        </is>
      </c>
      <c r="G11" s="8" t="inlineStr"/>
    </row>
    <row r="12">
      <c r="A12" s="5" t="n">
        <v>11</v>
      </c>
      <c r="B12" s="5" t="inlineStr"/>
      <c r="C12" s="5" t="inlineStr"/>
      <c r="D12" s="5" t="inlineStr"/>
      <c r="E12" s="5" t="inlineStr"/>
      <c r="F12" s="5" t="inlineStr">
        <is>
          <t>Não</t>
        </is>
      </c>
      <c r="G12" s="8" t="inlineStr"/>
    </row>
    <row r="13">
      <c r="A13" s="5" t="n">
        <v>12</v>
      </c>
      <c r="B13" s="5" t="inlineStr"/>
      <c r="C13" s="5" t="inlineStr"/>
      <c r="D13" s="5" t="inlineStr"/>
      <c r="E13" s="5" t="inlineStr"/>
      <c r="F13" s="5" t="inlineStr">
        <is>
          <t>Não</t>
        </is>
      </c>
      <c r="G13" s="8" t="inlineStr"/>
    </row>
    <row r="14">
      <c r="A14" s="5" t="n">
        <v>13</v>
      </c>
      <c r="B14" s="5" t="inlineStr"/>
      <c r="C14" s="5" t="inlineStr"/>
      <c r="D14" s="5" t="inlineStr"/>
      <c r="E14" s="5" t="inlineStr"/>
      <c r="F14" s="5" t="inlineStr">
        <is>
          <t>Não</t>
        </is>
      </c>
      <c r="G14" s="8" t="inlineStr"/>
    </row>
    <row r="15">
      <c r="A15" s="5" t="n">
        <v>14</v>
      </c>
      <c r="B15" s="5" t="inlineStr"/>
      <c r="C15" s="5" t="inlineStr"/>
      <c r="D15" s="5" t="inlineStr"/>
      <c r="E15" s="5" t="inlineStr"/>
      <c r="F15" s="5" t="inlineStr">
        <is>
          <t>Não</t>
        </is>
      </c>
      <c r="G15" s="8" t="inlineStr"/>
    </row>
    <row r="16">
      <c r="A16" s="5" t="n">
        <v>15</v>
      </c>
      <c r="B16" s="5" t="inlineStr"/>
      <c r="C16" s="5" t="inlineStr"/>
      <c r="D16" s="5" t="inlineStr"/>
      <c r="E16" s="5" t="inlineStr"/>
      <c r="F16" s="5" t="inlineStr">
        <is>
          <t>Não</t>
        </is>
      </c>
      <c r="G16" s="8" t="inlineStr"/>
    </row>
    <row r="17">
      <c r="A17" s="5" t="n">
        <v>16</v>
      </c>
      <c r="B17" s="5" t="inlineStr"/>
      <c r="C17" s="5" t="inlineStr"/>
      <c r="D17" s="5" t="inlineStr"/>
      <c r="E17" s="5" t="inlineStr"/>
      <c r="F17" s="5" t="inlineStr">
        <is>
          <t>Não</t>
        </is>
      </c>
      <c r="G17" s="8" t="inlineStr"/>
    </row>
    <row r="18">
      <c r="A18" s="5" t="n">
        <v>17</v>
      </c>
      <c r="B18" s="5" t="inlineStr"/>
      <c r="C18" s="5" t="inlineStr"/>
      <c r="D18" s="5" t="inlineStr"/>
      <c r="E18" s="5" t="inlineStr"/>
      <c r="F18" s="5" t="inlineStr">
        <is>
          <t>Não</t>
        </is>
      </c>
      <c r="G18" s="8" t="inlineStr"/>
    </row>
    <row r="19">
      <c r="A19" s="5" t="n">
        <v>18</v>
      </c>
      <c r="B19" s="5" t="inlineStr"/>
      <c r="C19" s="5" t="inlineStr"/>
      <c r="D19" s="5" t="inlineStr"/>
      <c r="E19" s="5" t="inlineStr"/>
      <c r="F19" s="5" t="inlineStr">
        <is>
          <t>Não</t>
        </is>
      </c>
      <c r="G19" s="8" t="inlineStr"/>
    </row>
    <row r="20">
      <c r="A20" s="5" t="n">
        <v>19</v>
      </c>
      <c r="B20" s="5" t="inlineStr"/>
      <c r="C20" s="5" t="inlineStr"/>
      <c r="D20" s="5" t="inlineStr"/>
      <c r="E20" s="5" t="inlineStr"/>
      <c r="F20" s="5" t="inlineStr">
        <is>
          <t>Não</t>
        </is>
      </c>
      <c r="G20" s="8" t="inlineStr"/>
    </row>
    <row r="21">
      <c r="A21" s="5" t="n">
        <v>20</v>
      </c>
      <c r="B21" s="5" t="inlineStr"/>
      <c r="C21" s="5" t="inlineStr"/>
      <c r="D21" s="5" t="inlineStr"/>
      <c r="E21" s="5" t="inlineStr"/>
      <c r="F21" s="5" t="inlineStr">
        <is>
          <t>Não</t>
        </is>
      </c>
      <c r="G21" s="8" t="inlineStr"/>
    </row>
    <row r="22">
      <c r="A22" s="5" t="n">
        <v>21</v>
      </c>
      <c r="B22" s="5" t="inlineStr"/>
      <c r="C22" s="5" t="inlineStr"/>
      <c r="D22" s="5" t="inlineStr"/>
      <c r="E22" s="5" t="inlineStr"/>
      <c r="F22" s="5" t="inlineStr">
        <is>
          <t>Não</t>
        </is>
      </c>
      <c r="G22" s="8" t="inlineStr"/>
    </row>
    <row r="23">
      <c r="A23" s="5" t="n">
        <v>22</v>
      </c>
      <c r="B23" s="5" t="inlineStr"/>
      <c r="C23" s="5" t="inlineStr"/>
      <c r="D23" s="5" t="inlineStr"/>
      <c r="E23" s="5" t="inlineStr"/>
      <c r="F23" s="5" t="inlineStr">
        <is>
          <t>Não</t>
        </is>
      </c>
      <c r="G23" s="8" t="inlineStr"/>
    </row>
    <row r="24">
      <c r="A24" s="5" t="n">
        <v>23</v>
      </c>
      <c r="B24" s="5" t="inlineStr"/>
      <c r="C24" s="5" t="inlineStr"/>
      <c r="D24" s="5" t="inlineStr"/>
      <c r="E24" s="5" t="inlineStr"/>
      <c r="F24" s="5" t="inlineStr">
        <is>
          <t>Não</t>
        </is>
      </c>
      <c r="G24" s="8" t="inlineStr"/>
    </row>
    <row r="25">
      <c r="A25" s="5" t="n">
        <v>24</v>
      </c>
      <c r="B25" s="5" t="inlineStr"/>
      <c r="C25" s="5" t="inlineStr"/>
      <c r="D25" s="5" t="inlineStr"/>
      <c r="E25" s="5" t="inlineStr"/>
      <c r="F25" s="5" t="inlineStr">
        <is>
          <t>Não</t>
        </is>
      </c>
      <c r="G25" s="8" t="inlineStr"/>
    </row>
    <row r="26">
      <c r="A26" s="5" t="n">
        <v>25</v>
      </c>
      <c r="B26" s="5" t="inlineStr"/>
      <c r="C26" s="5" t="inlineStr"/>
      <c r="D26" s="5" t="inlineStr"/>
      <c r="E26" s="5" t="inlineStr"/>
      <c r="F26" s="5" t="inlineStr">
        <is>
          <t>Não</t>
        </is>
      </c>
      <c r="G26" s="8" t="inlineStr"/>
    </row>
    <row r="27">
      <c r="A27" s="5" t="n">
        <v>26</v>
      </c>
      <c r="B27" s="5" t="inlineStr"/>
      <c r="C27" s="5" t="inlineStr"/>
      <c r="D27" s="5" t="inlineStr"/>
      <c r="E27" s="5" t="inlineStr"/>
      <c r="F27" s="5" t="inlineStr">
        <is>
          <t>Não</t>
        </is>
      </c>
      <c r="G27" s="8" t="inlineStr"/>
    </row>
    <row r="28">
      <c r="A28" s="5" t="n">
        <v>27</v>
      </c>
      <c r="B28" s="5" t="inlineStr"/>
      <c r="C28" s="5" t="inlineStr"/>
      <c r="D28" s="5" t="inlineStr"/>
      <c r="E28" s="5" t="inlineStr"/>
      <c r="F28" s="5" t="inlineStr">
        <is>
          <t>Não</t>
        </is>
      </c>
      <c r="G28" s="8" t="inlineStr"/>
    </row>
    <row r="29">
      <c r="A29" s="5" t="n">
        <v>28</v>
      </c>
      <c r="B29" s="5" t="inlineStr"/>
      <c r="C29" s="5" t="inlineStr"/>
      <c r="D29" s="5" t="inlineStr"/>
      <c r="E29" s="5" t="inlineStr"/>
      <c r="F29" s="5" t="inlineStr">
        <is>
          <t>Não</t>
        </is>
      </c>
      <c r="G29" s="8" t="inlineStr"/>
    </row>
    <row r="30">
      <c r="A30" s="5" t="n">
        <v>29</v>
      </c>
      <c r="B30" s="5" t="inlineStr"/>
      <c r="C30" s="5" t="inlineStr"/>
      <c r="D30" s="5" t="inlineStr"/>
      <c r="E30" s="5" t="inlineStr"/>
      <c r="F30" s="5" t="inlineStr">
        <is>
          <t>Não</t>
        </is>
      </c>
      <c r="G30" s="8" t="inlineStr"/>
    </row>
    <row r="31">
      <c r="A31" s="5" t="n">
        <v>30</v>
      </c>
      <c r="B31" s="5" t="inlineStr"/>
      <c r="C31" s="5" t="inlineStr"/>
      <c r="D31" s="5" t="inlineStr"/>
      <c r="E31" s="5" t="inlineStr"/>
      <c r="F31" s="5" t="inlineStr">
        <is>
          <t>Não</t>
        </is>
      </c>
      <c r="G31" s="8" t="inlineStr"/>
    </row>
    <row r="32">
      <c r="A32" s="5" t="n">
        <v>31</v>
      </c>
      <c r="B32" s="5" t="inlineStr"/>
      <c r="C32" s="5" t="inlineStr"/>
      <c r="D32" s="5" t="inlineStr"/>
      <c r="E32" s="5" t="inlineStr"/>
      <c r="F32" s="5" t="inlineStr">
        <is>
          <t>Não</t>
        </is>
      </c>
      <c r="G32" s="8" t="inlineStr"/>
    </row>
    <row r="33">
      <c r="A33" s="5" t="n">
        <v>32</v>
      </c>
      <c r="B33" s="5" t="inlineStr"/>
      <c r="C33" s="5" t="inlineStr"/>
      <c r="D33" s="5" t="inlineStr"/>
      <c r="E33" s="5" t="inlineStr"/>
      <c r="F33" s="5" t="inlineStr">
        <is>
          <t>Não</t>
        </is>
      </c>
      <c r="G33" s="8" t="inlineStr"/>
    </row>
    <row r="34">
      <c r="A34" s="5" t="n">
        <v>33</v>
      </c>
      <c r="B34" s="5" t="inlineStr"/>
      <c r="C34" s="5" t="inlineStr"/>
      <c r="D34" s="5" t="inlineStr"/>
      <c r="E34" s="5" t="inlineStr"/>
      <c r="F34" s="5" t="inlineStr">
        <is>
          <t>Não</t>
        </is>
      </c>
      <c r="G34" s="8" t="inlineStr"/>
    </row>
    <row r="35">
      <c r="A35" s="5" t="n">
        <v>34</v>
      </c>
      <c r="B35" s="5" t="inlineStr"/>
      <c r="C35" s="5" t="inlineStr"/>
      <c r="D35" s="5" t="inlineStr"/>
      <c r="E35" s="5" t="inlineStr"/>
      <c r="F35" s="5" t="inlineStr">
        <is>
          <t>Não</t>
        </is>
      </c>
      <c r="G35" s="8" t="inlineStr"/>
    </row>
    <row r="36">
      <c r="A36" s="5" t="n">
        <v>35</v>
      </c>
      <c r="B36" s="5" t="inlineStr"/>
      <c r="C36" s="5" t="inlineStr"/>
      <c r="D36" s="5" t="inlineStr"/>
      <c r="E36" s="5" t="inlineStr"/>
      <c r="F36" s="5" t="inlineStr">
        <is>
          <t>Não</t>
        </is>
      </c>
      <c r="G36" s="8" t="inlineStr"/>
    </row>
    <row r="37">
      <c r="A37" s="5" t="n">
        <v>36</v>
      </c>
      <c r="B37" s="5" t="inlineStr"/>
      <c r="C37" s="5" t="inlineStr"/>
      <c r="D37" s="5" t="inlineStr"/>
      <c r="E37" s="5" t="inlineStr"/>
      <c r="F37" s="5" t="inlineStr">
        <is>
          <t>Não</t>
        </is>
      </c>
      <c r="G37" s="8" t="inlineStr"/>
    </row>
    <row r="38">
      <c r="A38" s="5" t="n">
        <v>37</v>
      </c>
      <c r="B38" s="5" t="inlineStr"/>
      <c r="C38" s="5" t="inlineStr"/>
      <c r="D38" s="5" t="inlineStr"/>
      <c r="E38" s="5" t="inlineStr"/>
      <c r="F38" s="5" t="inlineStr">
        <is>
          <t>Não</t>
        </is>
      </c>
      <c r="G38" s="8" t="inlineStr"/>
    </row>
    <row r="39">
      <c r="A39" s="5" t="n">
        <v>38</v>
      </c>
      <c r="B39" s="5" t="inlineStr"/>
      <c r="C39" s="5" t="inlineStr"/>
      <c r="D39" s="5" t="inlineStr"/>
      <c r="E39" s="5" t="inlineStr"/>
      <c r="F39" s="5" t="inlineStr">
        <is>
          <t>Não</t>
        </is>
      </c>
      <c r="G39" s="8" t="inlineStr"/>
    </row>
    <row r="40">
      <c r="A40" s="5" t="n">
        <v>39</v>
      </c>
      <c r="B40" s="5" t="inlineStr"/>
      <c r="C40" s="5" t="inlineStr"/>
      <c r="D40" s="5" t="inlineStr"/>
      <c r="E40" s="5" t="inlineStr"/>
      <c r="F40" s="5" t="inlineStr">
        <is>
          <t>Não</t>
        </is>
      </c>
      <c r="G40" s="8" t="inlineStr"/>
    </row>
    <row r="41">
      <c r="A41" s="5" t="n">
        <v>40</v>
      </c>
      <c r="B41" s="5" t="inlineStr"/>
      <c r="C41" s="5" t="inlineStr"/>
      <c r="D41" s="5" t="inlineStr"/>
      <c r="E41" s="5" t="inlineStr"/>
      <c r="F41" s="5" t="inlineStr">
        <is>
          <t>Não</t>
        </is>
      </c>
      <c r="G41" s="8" t="inlineStr"/>
    </row>
    <row r="42">
      <c r="A42" s="5" t="n">
        <v>41</v>
      </c>
      <c r="B42" s="5" t="inlineStr"/>
      <c r="C42" s="5" t="inlineStr"/>
      <c r="D42" s="5" t="inlineStr"/>
      <c r="E42" s="5" t="inlineStr"/>
      <c r="F42" s="5" t="inlineStr">
        <is>
          <t>Não</t>
        </is>
      </c>
      <c r="G42" s="8" t="inlineStr"/>
    </row>
    <row r="43">
      <c r="A43" s="5" t="n">
        <v>42</v>
      </c>
      <c r="B43" s="5" t="inlineStr"/>
      <c r="C43" s="5" t="inlineStr"/>
      <c r="D43" s="5" t="inlineStr"/>
      <c r="E43" s="5" t="inlineStr"/>
      <c r="F43" s="5" t="inlineStr">
        <is>
          <t>Não</t>
        </is>
      </c>
      <c r="G43" s="8" t="inlineStr"/>
    </row>
    <row r="44">
      <c r="A44" s="5" t="n">
        <v>43</v>
      </c>
      <c r="B44" s="5" t="inlineStr"/>
      <c r="C44" s="5" t="inlineStr"/>
      <c r="D44" s="5" t="inlineStr"/>
      <c r="E44" s="5" t="inlineStr"/>
      <c r="F44" s="5" t="inlineStr">
        <is>
          <t>Não</t>
        </is>
      </c>
      <c r="G44" s="8" t="inlineStr"/>
    </row>
    <row r="45">
      <c r="A45" s="5" t="n">
        <v>44</v>
      </c>
      <c r="B45" s="5" t="inlineStr"/>
      <c r="C45" s="5" t="inlineStr"/>
      <c r="D45" s="5" t="inlineStr"/>
      <c r="E45" s="5" t="inlineStr"/>
      <c r="F45" s="5" t="inlineStr">
        <is>
          <t>Não</t>
        </is>
      </c>
      <c r="G45" s="8" t="inlineStr"/>
    </row>
    <row r="46">
      <c r="A46" s="5" t="n">
        <v>45</v>
      </c>
      <c r="B46" s="5" t="inlineStr"/>
      <c r="C46" s="5" t="inlineStr"/>
      <c r="D46" s="5" t="inlineStr"/>
      <c r="E46" s="5" t="inlineStr"/>
      <c r="F46" s="5" t="inlineStr">
        <is>
          <t>Não</t>
        </is>
      </c>
      <c r="G46" s="8" t="inlineStr"/>
    </row>
    <row r="47">
      <c r="A47" s="5" t="n">
        <v>46</v>
      </c>
      <c r="B47" s="5" t="inlineStr"/>
      <c r="C47" s="5" t="inlineStr"/>
      <c r="D47" s="5" t="inlineStr"/>
      <c r="E47" s="5" t="inlineStr"/>
      <c r="F47" s="5" t="inlineStr">
        <is>
          <t>Não</t>
        </is>
      </c>
      <c r="G47" s="8" t="inlineStr"/>
    </row>
    <row r="48">
      <c r="A48" s="5" t="n">
        <v>47</v>
      </c>
      <c r="B48" s="5" t="inlineStr"/>
      <c r="C48" s="5" t="inlineStr"/>
      <c r="D48" s="5" t="inlineStr"/>
      <c r="E48" s="5" t="inlineStr"/>
      <c r="F48" s="5" t="inlineStr">
        <is>
          <t>Não</t>
        </is>
      </c>
      <c r="G48" s="8" t="inlineStr"/>
    </row>
    <row r="49">
      <c r="A49" s="5" t="n">
        <v>48</v>
      </c>
      <c r="B49" s="5" t="inlineStr"/>
      <c r="C49" s="5" t="inlineStr"/>
      <c r="D49" s="5" t="inlineStr"/>
      <c r="E49" s="5" t="inlineStr"/>
      <c r="F49" s="5" t="inlineStr">
        <is>
          <t>Não</t>
        </is>
      </c>
      <c r="G49" s="8" t="inlineStr"/>
    </row>
    <row r="50">
      <c r="A50" s="5" t="n">
        <v>49</v>
      </c>
      <c r="B50" s="5" t="inlineStr"/>
      <c r="C50" s="5" t="inlineStr"/>
      <c r="D50" s="5" t="inlineStr"/>
      <c r="E50" s="5" t="inlineStr"/>
      <c r="F50" s="5" t="inlineStr">
        <is>
          <t>Não</t>
        </is>
      </c>
      <c r="G50" s="8" t="inlineStr"/>
    </row>
    <row r="51">
      <c r="A51" s="5" t="n">
        <v>50</v>
      </c>
      <c r="B51" s="5" t="inlineStr"/>
      <c r="C51" s="5" t="inlineStr"/>
      <c r="D51" s="5" t="inlineStr"/>
      <c r="E51" s="5" t="inlineStr"/>
      <c r="F51" s="5" t="inlineStr">
        <is>
          <t>Não</t>
        </is>
      </c>
      <c r="G51" s="8" t="inlineStr"/>
    </row>
    <row r="52">
      <c r="A52" s="5" t="n">
        <v>51</v>
      </c>
      <c r="B52" s="5" t="inlineStr"/>
      <c r="C52" s="5" t="inlineStr"/>
      <c r="D52" s="5" t="inlineStr"/>
      <c r="E52" s="5" t="inlineStr"/>
      <c r="F52" s="5" t="inlineStr">
        <is>
          <t>Não</t>
        </is>
      </c>
      <c r="G52" s="8" t="inlineStr"/>
    </row>
    <row r="53">
      <c r="A53" s="5" t="n">
        <v>52</v>
      </c>
      <c r="B53" s="5" t="inlineStr"/>
      <c r="C53" s="5" t="inlineStr"/>
      <c r="D53" s="5" t="inlineStr"/>
      <c r="E53" s="5" t="inlineStr"/>
      <c r="F53" s="5" t="inlineStr">
        <is>
          <t>Não</t>
        </is>
      </c>
      <c r="G53" s="8" t="inlineStr"/>
    </row>
    <row r="54">
      <c r="A54" s="5" t="n">
        <v>53</v>
      </c>
      <c r="B54" s="5" t="inlineStr"/>
      <c r="C54" s="5" t="inlineStr"/>
      <c r="D54" s="5" t="inlineStr"/>
      <c r="E54" s="5" t="inlineStr"/>
      <c r="F54" s="5" t="inlineStr">
        <is>
          <t>Não</t>
        </is>
      </c>
      <c r="G54" s="8" t="inlineStr"/>
    </row>
    <row r="55">
      <c r="A55" s="5" t="n">
        <v>54</v>
      </c>
      <c r="B55" s="5" t="inlineStr"/>
      <c r="C55" s="5" t="inlineStr"/>
      <c r="D55" s="5" t="inlineStr"/>
      <c r="E55" s="5" t="inlineStr"/>
      <c r="F55" s="5" t="inlineStr">
        <is>
          <t>Não</t>
        </is>
      </c>
      <c r="G55" s="8" t="inlineStr"/>
    </row>
    <row r="56">
      <c r="A56" s="5" t="n">
        <v>55</v>
      </c>
      <c r="B56" s="5" t="inlineStr"/>
      <c r="C56" s="5" t="inlineStr"/>
      <c r="D56" s="5" t="inlineStr"/>
      <c r="E56" s="5" t="inlineStr"/>
      <c r="F56" s="5" t="inlineStr">
        <is>
          <t>Não</t>
        </is>
      </c>
      <c r="G56" s="8" t="inlineStr"/>
    </row>
    <row r="57">
      <c r="A57" s="5" t="n">
        <v>56</v>
      </c>
      <c r="B57" s="5" t="inlineStr"/>
      <c r="C57" s="5" t="inlineStr"/>
      <c r="D57" s="5" t="inlineStr"/>
      <c r="E57" s="5" t="inlineStr"/>
      <c r="F57" s="5" t="inlineStr">
        <is>
          <t>Não</t>
        </is>
      </c>
      <c r="G57" s="8" t="inlineStr"/>
    </row>
    <row r="58">
      <c r="A58" s="5" t="n">
        <v>57</v>
      </c>
      <c r="B58" s="5" t="inlineStr"/>
      <c r="C58" s="5" t="inlineStr"/>
      <c r="D58" s="5" t="inlineStr"/>
      <c r="E58" s="5" t="inlineStr"/>
      <c r="F58" s="5" t="inlineStr">
        <is>
          <t>Não</t>
        </is>
      </c>
      <c r="G58" s="8" t="inlineStr"/>
    </row>
    <row r="59">
      <c r="A59" s="5" t="n">
        <v>58</v>
      </c>
      <c r="B59" s="5" t="inlineStr"/>
      <c r="C59" s="5" t="inlineStr"/>
      <c r="D59" s="5" t="inlineStr"/>
      <c r="E59" s="5" t="inlineStr"/>
      <c r="F59" s="5" t="inlineStr">
        <is>
          <t>Não</t>
        </is>
      </c>
      <c r="G59" s="8" t="inlineStr"/>
    </row>
    <row r="60">
      <c r="A60" s="5" t="n">
        <v>59</v>
      </c>
      <c r="B60" s="5" t="inlineStr"/>
      <c r="C60" s="5" t="inlineStr"/>
      <c r="D60" s="5" t="inlineStr"/>
      <c r="E60" s="5" t="inlineStr"/>
      <c r="F60" s="5" t="inlineStr">
        <is>
          <t>Não</t>
        </is>
      </c>
      <c r="G60" s="8" t="inlineStr"/>
    </row>
    <row r="61">
      <c r="A61" s="5" t="n">
        <v>60</v>
      </c>
      <c r="B61" s="5" t="inlineStr"/>
      <c r="C61" s="5" t="inlineStr"/>
      <c r="D61" s="5" t="inlineStr"/>
      <c r="E61" s="5" t="inlineStr"/>
      <c r="F61" s="5" t="inlineStr">
        <is>
          <t>Não</t>
        </is>
      </c>
      <c r="G61" s="8" t="inlineStr"/>
    </row>
    <row r="62">
      <c r="A62" s="5" t="n">
        <v>61</v>
      </c>
      <c r="B62" s="5" t="inlineStr"/>
      <c r="C62" s="5" t="inlineStr"/>
      <c r="D62" s="5" t="inlineStr"/>
      <c r="E62" s="5" t="inlineStr"/>
      <c r="F62" s="5" t="inlineStr">
        <is>
          <t>Não</t>
        </is>
      </c>
      <c r="G62" s="8" t="inlineStr"/>
    </row>
    <row r="63">
      <c r="A63" s="5" t="n">
        <v>62</v>
      </c>
      <c r="B63" s="5" t="inlineStr"/>
      <c r="C63" s="5" t="inlineStr"/>
      <c r="D63" s="5" t="inlineStr"/>
      <c r="E63" s="5" t="inlineStr"/>
      <c r="F63" s="5" t="inlineStr">
        <is>
          <t>Não</t>
        </is>
      </c>
      <c r="G63" s="8" t="inlineStr"/>
    </row>
    <row r="64">
      <c r="A64" s="5" t="n">
        <v>63</v>
      </c>
      <c r="B64" s="5" t="inlineStr"/>
      <c r="C64" s="5" t="inlineStr"/>
      <c r="D64" s="5" t="inlineStr"/>
      <c r="E64" s="5" t="inlineStr"/>
      <c r="F64" s="5" t="inlineStr">
        <is>
          <t>Não</t>
        </is>
      </c>
      <c r="G64" s="8" t="inlineStr"/>
    </row>
    <row r="65">
      <c r="A65" s="5" t="n">
        <v>64</v>
      </c>
      <c r="B65" s="5" t="inlineStr"/>
      <c r="C65" s="5" t="inlineStr"/>
      <c r="D65" s="5" t="inlineStr"/>
      <c r="E65" s="5" t="inlineStr"/>
      <c r="F65" s="5" t="inlineStr">
        <is>
          <t>Não</t>
        </is>
      </c>
      <c r="G65" s="8" t="inlineStr"/>
    </row>
    <row r="66">
      <c r="A66" s="5" t="n">
        <v>65</v>
      </c>
      <c r="B66" s="5" t="inlineStr"/>
      <c r="C66" s="5" t="inlineStr"/>
      <c r="D66" s="5" t="inlineStr"/>
      <c r="E66" s="5" t="inlineStr"/>
      <c r="F66" s="5" t="inlineStr">
        <is>
          <t>Não</t>
        </is>
      </c>
      <c r="G66" s="8" t="inlineStr"/>
    </row>
    <row r="67">
      <c r="A67" s="5" t="n">
        <v>66</v>
      </c>
      <c r="B67" s="5" t="inlineStr"/>
      <c r="C67" s="5" t="inlineStr"/>
      <c r="D67" s="5" t="inlineStr"/>
      <c r="E67" s="5" t="inlineStr"/>
      <c r="F67" s="5" t="inlineStr">
        <is>
          <t>Não</t>
        </is>
      </c>
      <c r="G67" s="8" t="inlineStr"/>
    </row>
    <row r="68">
      <c r="A68" s="5" t="n">
        <v>67</v>
      </c>
      <c r="B68" s="5" t="inlineStr"/>
      <c r="C68" s="5" t="inlineStr"/>
      <c r="D68" s="5" t="inlineStr"/>
      <c r="E68" s="5" t="inlineStr"/>
      <c r="F68" s="5" t="inlineStr">
        <is>
          <t>Não</t>
        </is>
      </c>
      <c r="G68" s="8" t="inlineStr"/>
    </row>
    <row r="69">
      <c r="A69" s="5" t="n">
        <v>68</v>
      </c>
      <c r="B69" s="5" t="inlineStr"/>
      <c r="C69" s="5" t="inlineStr"/>
      <c r="D69" s="5" t="inlineStr"/>
      <c r="E69" s="5" t="inlineStr"/>
      <c r="F69" s="5" t="inlineStr">
        <is>
          <t>Não</t>
        </is>
      </c>
      <c r="G69" s="8" t="inlineStr"/>
    </row>
    <row r="70">
      <c r="A70" s="5" t="n">
        <v>69</v>
      </c>
      <c r="B70" s="5" t="inlineStr"/>
      <c r="C70" s="5" t="inlineStr"/>
      <c r="D70" s="5" t="inlineStr"/>
      <c r="E70" s="5" t="inlineStr"/>
      <c r="F70" s="5" t="inlineStr">
        <is>
          <t>Não</t>
        </is>
      </c>
      <c r="G70" s="8" t="inlineStr"/>
    </row>
    <row r="71">
      <c r="A71" s="5" t="n">
        <v>70</v>
      </c>
      <c r="B71" s="5" t="inlineStr"/>
      <c r="C71" s="5" t="inlineStr"/>
      <c r="D71" s="5" t="inlineStr"/>
      <c r="E71" s="5" t="inlineStr"/>
      <c r="F71" s="5" t="inlineStr">
        <is>
          <t>Não</t>
        </is>
      </c>
      <c r="G71" s="8" t="inlineStr"/>
    </row>
    <row r="72">
      <c r="A72" s="5" t="n">
        <v>71</v>
      </c>
      <c r="B72" s="5" t="inlineStr"/>
      <c r="C72" s="5" t="inlineStr"/>
      <c r="D72" s="5" t="inlineStr"/>
      <c r="E72" s="5" t="inlineStr"/>
      <c r="F72" s="5" t="inlineStr">
        <is>
          <t>Não</t>
        </is>
      </c>
      <c r="G72" s="8" t="inlineStr"/>
    </row>
    <row r="73">
      <c r="A73" s="5" t="n">
        <v>72</v>
      </c>
      <c r="B73" s="5" t="inlineStr"/>
      <c r="C73" s="5" t="inlineStr"/>
      <c r="D73" s="5" t="inlineStr"/>
      <c r="E73" s="5" t="inlineStr"/>
      <c r="F73" s="5" t="inlineStr">
        <is>
          <t>Não</t>
        </is>
      </c>
      <c r="G73" s="8" t="inlineStr"/>
    </row>
    <row r="74">
      <c r="A74" s="5" t="n">
        <v>73</v>
      </c>
      <c r="B74" s="5" t="inlineStr"/>
      <c r="C74" s="5" t="inlineStr"/>
      <c r="D74" s="5" t="inlineStr"/>
      <c r="E74" s="5" t="inlineStr"/>
      <c r="F74" s="5" t="inlineStr">
        <is>
          <t>Não</t>
        </is>
      </c>
      <c r="G74" s="8" t="inlineStr"/>
    </row>
    <row r="75">
      <c r="A75" s="5" t="n">
        <v>74</v>
      </c>
      <c r="B75" s="5" t="inlineStr"/>
      <c r="C75" s="5" t="inlineStr"/>
      <c r="D75" s="5" t="inlineStr"/>
      <c r="E75" s="5" t="inlineStr"/>
      <c r="F75" s="5" t="inlineStr">
        <is>
          <t>Não</t>
        </is>
      </c>
      <c r="G75" s="8" t="inlineStr"/>
    </row>
    <row r="76">
      <c r="A76" s="5" t="n">
        <v>75</v>
      </c>
      <c r="B76" s="5" t="inlineStr"/>
      <c r="C76" s="5" t="inlineStr"/>
      <c r="D76" s="5" t="inlineStr"/>
      <c r="E76" s="5" t="inlineStr"/>
      <c r="F76" s="5" t="inlineStr">
        <is>
          <t>Não</t>
        </is>
      </c>
      <c r="G76" s="8" t="inlineStr"/>
    </row>
    <row r="77">
      <c r="A77" s="5" t="n">
        <v>76</v>
      </c>
      <c r="B77" s="5" t="inlineStr"/>
      <c r="C77" s="5" t="inlineStr"/>
      <c r="D77" s="5" t="inlineStr"/>
      <c r="E77" s="5" t="inlineStr"/>
      <c r="F77" s="5" t="inlineStr">
        <is>
          <t>Não</t>
        </is>
      </c>
      <c r="G77" s="8" t="inlineStr"/>
    </row>
    <row r="78">
      <c r="A78" s="5" t="n">
        <v>77</v>
      </c>
      <c r="B78" s="5" t="inlineStr"/>
      <c r="C78" s="5" t="inlineStr"/>
      <c r="D78" s="5" t="inlineStr"/>
      <c r="E78" s="5" t="inlineStr"/>
      <c r="F78" s="5" t="inlineStr">
        <is>
          <t>Não</t>
        </is>
      </c>
      <c r="G78" s="8" t="inlineStr"/>
    </row>
    <row r="79">
      <c r="A79" s="5" t="n">
        <v>78</v>
      </c>
      <c r="B79" s="5" t="inlineStr"/>
      <c r="C79" s="5" t="inlineStr"/>
      <c r="D79" s="5" t="inlineStr"/>
      <c r="E79" s="5" t="inlineStr"/>
      <c r="F79" s="5" t="inlineStr">
        <is>
          <t>Não</t>
        </is>
      </c>
      <c r="G79" s="8" t="inlineStr"/>
    </row>
    <row r="80">
      <c r="A80" s="5" t="n">
        <v>79</v>
      </c>
      <c r="B80" s="5" t="inlineStr"/>
      <c r="C80" s="5" t="inlineStr"/>
      <c r="D80" s="5" t="inlineStr"/>
      <c r="E80" s="5" t="inlineStr"/>
      <c r="F80" s="5" t="inlineStr">
        <is>
          <t>Não</t>
        </is>
      </c>
      <c r="G80" s="8" t="inlineStr"/>
    </row>
    <row r="81">
      <c r="A81" s="5" t="n">
        <v>80</v>
      </c>
      <c r="B81" s="5" t="inlineStr"/>
      <c r="C81" s="5" t="inlineStr"/>
      <c r="D81" s="5" t="inlineStr"/>
      <c r="E81" s="5" t="inlineStr"/>
      <c r="F81" s="5" t="inlineStr">
        <is>
          <t>Não</t>
        </is>
      </c>
      <c r="G81" s="8" t="inlineStr"/>
    </row>
    <row r="82">
      <c r="A82" s="5" t="n">
        <v>81</v>
      </c>
      <c r="B82" s="5" t="inlineStr"/>
      <c r="C82" s="5" t="inlineStr"/>
      <c r="D82" s="5" t="inlineStr"/>
      <c r="E82" s="5" t="inlineStr"/>
      <c r="F82" s="5" t="inlineStr">
        <is>
          <t>Não</t>
        </is>
      </c>
      <c r="G82" s="8" t="inlineStr"/>
    </row>
    <row r="83">
      <c r="A83" s="5" t="n">
        <v>82</v>
      </c>
      <c r="B83" s="5" t="inlineStr"/>
      <c r="C83" s="5" t="inlineStr"/>
      <c r="D83" s="5" t="inlineStr"/>
      <c r="E83" s="5" t="inlineStr"/>
      <c r="F83" s="5" t="inlineStr">
        <is>
          <t>Não</t>
        </is>
      </c>
      <c r="G83" s="8" t="inlineStr"/>
    </row>
    <row r="84">
      <c r="A84" s="5" t="n">
        <v>83</v>
      </c>
      <c r="B84" s="5" t="inlineStr"/>
      <c r="C84" s="5" t="inlineStr"/>
      <c r="D84" s="5" t="inlineStr"/>
      <c r="E84" s="5" t="inlineStr"/>
      <c r="F84" s="5" t="inlineStr">
        <is>
          <t>Não</t>
        </is>
      </c>
      <c r="G84" s="8" t="inlineStr"/>
    </row>
    <row r="85">
      <c r="A85" s="5" t="n">
        <v>84</v>
      </c>
      <c r="B85" s="5" t="inlineStr"/>
      <c r="C85" s="5" t="inlineStr"/>
      <c r="D85" s="5" t="inlineStr"/>
      <c r="E85" s="5" t="inlineStr"/>
      <c r="F85" s="5" t="inlineStr">
        <is>
          <t>Não</t>
        </is>
      </c>
      <c r="G85" s="8" t="inlineStr"/>
    </row>
    <row r="86">
      <c r="A86" s="5" t="n">
        <v>85</v>
      </c>
      <c r="B86" s="5" t="inlineStr"/>
      <c r="C86" s="5" t="inlineStr"/>
      <c r="D86" s="5" t="inlineStr"/>
      <c r="E86" s="5" t="inlineStr"/>
      <c r="F86" s="5" t="inlineStr">
        <is>
          <t>Não</t>
        </is>
      </c>
      <c r="G86" s="8" t="inlineStr"/>
    </row>
    <row r="87">
      <c r="A87" s="5" t="n">
        <v>86</v>
      </c>
      <c r="B87" s="5" t="inlineStr"/>
      <c r="C87" s="5" t="inlineStr"/>
      <c r="D87" s="5" t="inlineStr"/>
      <c r="E87" s="5" t="inlineStr"/>
      <c r="F87" s="5" t="inlineStr">
        <is>
          <t>Não</t>
        </is>
      </c>
      <c r="G87" s="8" t="inlineStr"/>
    </row>
    <row r="88">
      <c r="A88" s="5" t="n">
        <v>87</v>
      </c>
      <c r="B88" s="5" t="inlineStr"/>
      <c r="C88" s="5" t="inlineStr"/>
      <c r="D88" s="5" t="inlineStr"/>
      <c r="E88" s="5" t="inlineStr"/>
      <c r="F88" s="5" t="inlineStr">
        <is>
          <t>Não</t>
        </is>
      </c>
      <c r="G88" s="8" t="inlineStr"/>
    </row>
    <row r="89">
      <c r="A89" s="5" t="n">
        <v>88</v>
      </c>
      <c r="B89" s="5" t="inlineStr"/>
      <c r="C89" s="5" t="inlineStr"/>
      <c r="D89" s="5" t="inlineStr"/>
      <c r="E89" s="5" t="inlineStr"/>
      <c r="F89" s="5" t="inlineStr">
        <is>
          <t>Não</t>
        </is>
      </c>
      <c r="G89" s="8" t="inlineStr"/>
    </row>
    <row r="90">
      <c r="A90" s="5" t="n">
        <v>89</v>
      </c>
      <c r="B90" s="5" t="inlineStr"/>
      <c r="C90" s="5" t="inlineStr"/>
      <c r="D90" s="5" t="inlineStr"/>
      <c r="E90" s="5" t="inlineStr"/>
      <c r="F90" s="5" t="inlineStr">
        <is>
          <t>Não</t>
        </is>
      </c>
      <c r="G90" s="8" t="inlineStr"/>
    </row>
    <row r="91">
      <c r="A91" s="5" t="n">
        <v>90</v>
      </c>
      <c r="B91" s="5" t="inlineStr"/>
      <c r="C91" s="5" t="inlineStr"/>
      <c r="D91" s="5" t="inlineStr"/>
      <c r="E91" s="5" t="inlineStr"/>
      <c r="F91" s="5" t="inlineStr">
        <is>
          <t>Não</t>
        </is>
      </c>
      <c r="G91" s="8" t="inlineStr"/>
    </row>
    <row r="92">
      <c r="A92" s="5" t="n">
        <v>91</v>
      </c>
      <c r="B92" s="5" t="inlineStr"/>
      <c r="C92" s="5" t="inlineStr"/>
      <c r="D92" s="5" t="inlineStr"/>
      <c r="E92" s="5" t="inlineStr"/>
      <c r="F92" s="5" t="inlineStr">
        <is>
          <t>Não</t>
        </is>
      </c>
      <c r="G92" s="8" t="inlineStr"/>
    </row>
    <row r="93">
      <c r="A93" s="5" t="n">
        <v>92</v>
      </c>
      <c r="B93" s="5" t="inlineStr"/>
      <c r="C93" s="5" t="inlineStr"/>
      <c r="D93" s="5" t="inlineStr"/>
      <c r="E93" s="5" t="inlineStr"/>
      <c r="F93" s="5" t="inlineStr">
        <is>
          <t>Não</t>
        </is>
      </c>
      <c r="G93" s="8" t="inlineStr"/>
    </row>
    <row r="94">
      <c r="A94" s="5" t="n">
        <v>93</v>
      </c>
      <c r="B94" s="5" t="inlineStr"/>
      <c r="C94" s="5" t="inlineStr"/>
      <c r="D94" s="5" t="inlineStr"/>
      <c r="E94" s="5" t="inlineStr"/>
      <c r="F94" s="5" t="inlineStr">
        <is>
          <t>Não</t>
        </is>
      </c>
      <c r="G94" s="8" t="inlineStr"/>
    </row>
    <row r="95">
      <c r="A95" s="5" t="n">
        <v>94</v>
      </c>
      <c r="B95" s="5" t="inlineStr"/>
      <c r="C95" s="5" t="inlineStr"/>
      <c r="D95" s="5" t="inlineStr"/>
      <c r="E95" s="5" t="inlineStr"/>
      <c r="F95" s="5" t="inlineStr">
        <is>
          <t>Não</t>
        </is>
      </c>
      <c r="G95" s="8" t="inlineStr"/>
    </row>
    <row r="96">
      <c r="A96" s="5" t="n">
        <v>95</v>
      </c>
      <c r="B96" s="5" t="inlineStr"/>
      <c r="C96" s="5" t="inlineStr"/>
      <c r="D96" s="5" t="inlineStr"/>
      <c r="E96" s="5" t="inlineStr"/>
      <c r="F96" s="5" t="inlineStr">
        <is>
          <t>Não</t>
        </is>
      </c>
      <c r="G96" s="8" t="inlineStr"/>
    </row>
    <row r="97">
      <c r="A97" s="5" t="n">
        <v>96</v>
      </c>
      <c r="B97" s="5" t="inlineStr"/>
      <c r="C97" s="5" t="inlineStr"/>
      <c r="D97" s="5" t="inlineStr"/>
      <c r="E97" s="5" t="inlineStr"/>
      <c r="F97" s="5" t="inlineStr">
        <is>
          <t>Não</t>
        </is>
      </c>
      <c r="G97" s="8" t="inlineStr"/>
    </row>
    <row r="98">
      <c r="A98" s="5" t="n">
        <v>97</v>
      </c>
      <c r="B98" s="5" t="inlineStr"/>
      <c r="C98" s="5" t="inlineStr"/>
      <c r="D98" s="5" t="inlineStr"/>
      <c r="E98" s="5" t="inlineStr"/>
      <c r="F98" s="5" t="inlineStr">
        <is>
          <t>Não</t>
        </is>
      </c>
      <c r="G98" s="8" t="inlineStr"/>
    </row>
    <row r="99">
      <c r="A99" s="5" t="n">
        <v>98</v>
      </c>
      <c r="B99" s="5" t="inlineStr"/>
      <c r="C99" s="5" t="inlineStr"/>
      <c r="D99" s="5" t="inlineStr"/>
      <c r="E99" s="5" t="inlineStr"/>
      <c r="F99" s="5" t="inlineStr">
        <is>
          <t>Não</t>
        </is>
      </c>
      <c r="G99" s="8" t="inlineStr"/>
    </row>
    <row r="100">
      <c r="A100" s="5" t="n">
        <v>99</v>
      </c>
      <c r="B100" s="5" t="inlineStr"/>
      <c r="C100" s="5" t="inlineStr"/>
      <c r="D100" s="5" t="inlineStr"/>
      <c r="E100" s="5" t="inlineStr"/>
      <c r="F100" s="5" t="inlineStr">
        <is>
          <t>Não</t>
        </is>
      </c>
      <c r="G100" s="8" t="inlineStr"/>
    </row>
    <row r="101">
      <c r="A101" s="5" t="n">
        <v>100</v>
      </c>
      <c r="B101" s="5" t="inlineStr"/>
      <c r="C101" s="5" t="inlineStr"/>
      <c r="D101" s="5" t="inlineStr"/>
      <c r="E101" s="5" t="inlineStr"/>
      <c r="F101" s="5" t="inlineStr">
        <is>
          <t>Não</t>
        </is>
      </c>
      <c r="G101" s="8" t="inlineStr"/>
    </row>
  </sheetData>
  <autoFilter ref="A1:G101"/>
  <dataValidations count="1">
    <dataValidation sqref="F2:F101" showDropDown="0" showInputMessage="0" showErrorMessage="0" allowBlank="0" type="list">
      <formula1>Listas!$C$2:$C$3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8" customWidth="1" min="3" max="3"/>
    <col width="18" customWidth="1" min="4" max="4"/>
    <col width="14" customWidth="1" min="5" max="5"/>
    <col width="14" customWidth="1" min="6" max="6"/>
    <col width="12" customWidth="1" min="7" max="7"/>
    <col width="12" customWidth="1" min="8" max="8"/>
    <col width="8" customWidth="1" min="9" max="9"/>
  </cols>
  <sheetData>
    <row r="1">
      <c r="A1" s="4" t="inlineStr">
        <is>
          <t>Participante</t>
        </is>
      </c>
      <c r="B1" s="4" t="inlineStr">
        <is>
          <t>Jogo ID</t>
        </is>
      </c>
      <c r="C1" s="4" t="inlineStr">
        <is>
          <t>Seleção A</t>
        </is>
      </c>
      <c r="D1" s="4" t="inlineStr">
        <is>
          <t>Seleção B</t>
        </is>
      </c>
      <c r="E1" s="4" t="inlineStr">
        <is>
          <t>Palpite Gols A</t>
        </is>
      </c>
      <c r="F1" s="4" t="inlineStr">
        <is>
          <t>Palpite Gols B</t>
        </is>
      </c>
      <c r="G1" s="4" t="inlineStr">
        <is>
          <t>Gols Reais A</t>
        </is>
      </c>
      <c r="H1" s="4" t="inlineStr">
        <is>
          <t>Gols Reais B</t>
        </is>
      </c>
      <c r="I1" s="4" t="inlineStr">
        <is>
          <t>Pontos</t>
        </is>
      </c>
    </row>
    <row r="2">
      <c r="A2" s="5" t="inlineStr"/>
      <c r="B2" s="5" t="inlineStr"/>
      <c r="C2" s="5">
        <f>IF($B2="","",VLOOKUP($B2,Jogos!$A$2:$K$105,8,FALSE))</f>
        <v/>
      </c>
      <c r="D2" s="5">
        <f>IF($B2="","",VLOOKUP($B2,Jogos!$A$2:$K$105,10,FALSE))</f>
        <v/>
      </c>
      <c r="E2" s="5" t="inlineStr"/>
      <c r="F2" s="5" t="inlineStr"/>
      <c r="G2" s="8">
        <f>IF($B2="","",VLOOKUP($B2,Jogos!$A$2:$K$105,9,FALSE))</f>
        <v/>
      </c>
      <c r="H2" s="8">
        <f>IF($B2="","",VLOOKUP($B2,Jogos!$A$2:$K$105,11,FALSE))</f>
        <v/>
      </c>
      <c r="I2" s="5">
        <f>IF(OR($A2="", $B2="", $E2="", $F2="", $G2="", $H2=""), "",IF(AND($E2=$G2, $F2=$H2), 3, IF(SIGN($E2-$F2)=SIGN($G2-$H2), 1, 0))))</f>
        <v/>
      </c>
    </row>
    <row r="3">
      <c r="A3" s="5" t="inlineStr"/>
      <c r="B3" s="5" t="inlineStr"/>
      <c r="C3" s="5">
        <f>IF($B3="","",VLOOKUP($B3,Jogos!$A$2:$K$105,8,FALSE))</f>
        <v/>
      </c>
      <c r="D3" s="5">
        <f>IF($B3="","",VLOOKUP($B3,Jogos!$A$2:$K$105,10,FALSE))</f>
        <v/>
      </c>
      <c r="E3" s="5" t="inlineStr"/>
      <c r="F3" s="5" t="inlineStr"/>
      <c r="G3" s="8">
        <f>IF($B3="","",VLOOKUP($B3,Jogos!$A$2:$K$105,9,FALSE))</f>
        <v/>
      </c>
      <c r="H3" s="8">
        <f>IF($B3="","",VLOOKUP($B3,Jogos!$A$2:$K$105,11,FALSE))</f>
        <v/>
      </c>
      <c r="I3" s="5">
        <f>IF(OR($A3="", $B3="", $E3="", $F3="", $G3="", $H3=""), "",IF(AND($E3=$G3, $F3=$H3), 3, IF(SIGN($E3-$F3)=SIGN($G3-$H3), 1, 0))))</f>
        <v/>
      </c>
    </row>
    <row r="4">
      <c r="A4" s="5" t="inlineStr"/>
      <c r="B4" s="5" t="inlineStr"/>
      <c r="C4" s="5">
        <f>IF($B4="","",VLOOKUP($B4,Jogos!$A$2:$K$105,8,FALSE))</f>
        <v/>
      </c>
      <c r="D4" s="5">
        <f>IF($B4="","",VLOOKUP($B4,Jogos!$A$2:$K$105,10,FALSE))</f>
        <v/>
      </c>
      <c r="E4" s="5" t="inlineStr"/>
      <c r="F4" s="5" t="inlineStr"/>
      <c r="G4" s="8">
        <f>IF($B4="","",VLOOKUP($B4,Jogos!$A$2:$K$105,9,FALSE))</f>
        <v/>
      </c>
      <c r="H4" s="8">
        <f>IF($B4="","",VLOOKUP($B4,Jogos!$A$2:$K$105,11,FALSE))</f>
        <v/>
      </c>
      <c r="I4" s="5">
        <f>IF(OR($A4="", $B4="", $E4="", $F4="", $G4="", $H4=""), "",IF(AND($E4=$G4, $F4=$H4), 3, IF(SIGN($E4-$F4)=SIGN($G4-$H4), 1, 0))))</f>
        <v/>
      </c>
    </row>
    <row r="5">
      <c r="A5" s="5" t="inlineStr"/>
      <c r="B5" s="5" t="inlineStr"/>
      <c r="C5" s="5">
        <f>IF($B5="","",VLOOKUP($B5,Jogos!$A$2:$K$105,8,FALSE))</f>
        <v/>
      </c>
      <c r="D5" s="5">
        <f>IF($B5="","",VLOOKUP($B5,Jogos!$A$2:$K$105,10,FALSE))</f>
        <v/>
      </c>
      <c r="E5" s="5" t="inlineStr"/>
      <c r="F5" s="5" t="inlineStr"/>
      <c r="G5" s="8">
        <f>IF($B5="","",VLOOKUP($B5,Jogos!$A$2:$K$105,9,FALSE))</f>
        <v/>
      </c>
      <c r="H5" s="8">
        <f>IF($B5="","",VLOOKUP($B5,Jogos!$A$2:$K$105,11,FALSE))</f>
        <v/>
      </c>
      <c r="I5" s="5">
        <f>IF(OR($A5="", $B5="", $E5="", $F5="", $G5="", $H5=""), "",IF(AND($E5=$G5, $F5=$H5), 3, IF(SIGN($E5-$F5)=SIGN($G5-$H5), 1, 0))))</f>
        <v/>
      </c>
    </row>
    <row r="6">
      <c r="A6" s="5" t="inlineStr"/>
      <c r="B6" s="5" t="inlineStr"/>
      <c r="C6" s="5">
        <f>IF($B6="","",VLOOKUP($B6,Jogos!$A$2:$K$105,8,FALSE))</f>
        <v/>
      </c>
      <c r="D6" s="5">
        <f>IF($B6="","",VLOOKUP($B6,Jogos!$A$2:$K$105,10,FALSE))</f>
        <v/>
      </c>
      <c r="E6" s="5" t="inlineStr"/>
      <c r="F6" s="5" t="inlineStr"/>
      <c r="G6" s="8">
        <f>IF($B6="","",VLOOKUP($B6,Jogos!$A$2:$K$105,9,FALSE))</f>
        <v/>
      </c>
      <c r="H6" s="8">
        <f>IF($B6="","",VLOOKUP($B6,Jogos!$A$2:$K$105,11,FALSE))</f>
        <v/>
      </c>
      <c r="I6" s="5">
        <f>IF(OR($A6="", $B6="", $E6="", $F6="", $G6="", $H6=""), "",IF(AND($E6=$G6, $F6=$H6), 3, IF(SIGN($E6-$F6)=SIGN($G6-$H6), 1, 0))))</f>
        <v/>
      </c>
    </row>
    <row r="7">
      <c r="A7" s="5" t="inlineStr"/>
      <c r="B7" s="5" t="inlineStr"/>
      <c r="C7" s="5">
        <f>IF($B7="","",VLOOKUP($B7,Jogos!$A$2:$K$105,8,FALSE))</f>
        <v/>
      </c>
      <c r="D7" s="5">
        <f>IF($B7="","",VLOOKUP($B7,Jogos!$A$2:$K$105,10,FALSE))</f>
        <v/>
      </c>
      <c r="E7" s="5" t="inlineStr"/>
      <c r="F7" s="5" t="inlineStr"/>
      <c r="G7" s="8">
        <f>IF($B7="","",VLOOKUP($B7,Jogos!$A$2:$K$105,9,FALSE))</f>
        <v/>
      </c>
      <c r="H7" s="8">
        <f>IF($B7="","",VLOOKUP($B7,Jogos!$A$2:$K$105,11,FALSE))</f>
        <v/>
      </c>
      <c r="I7" s="5">
        <f>IF(OR($A7="", $B7="", $E7="", $F7="", $G7="", $H7=""), "",IF(AND($E7=$G7, $F7=$H7), 3, IF(SIGN($E7-$F7)=SIGN($G7-$H7), 1, 0))))</f>
        <v/>
      </c>
    </row>
    <row r="8">
      <c r="A8" s="5" t="inlineStr"/>
      <c r="B8" s="5" t="inlineStr"/>
      <c r="C8" s="5">
        <f>IF($B8="","",VLOOKUP($B8,Jogos!$A$2:$K$105,8,FALSE))</f>
        <v/>
      </c>
      <c r="D8" s="5">
        <f>IF($B8="","",VLOOKUP($B8,Jogos!$A$2:$K$105,10,FALSE))</f>
        <v/>
      </c>
      <c r="E8" s="5" t="inlineStr"/>
      <c r="F8" s="5" t="inlineStr"/>
      <c r="G8" s="8">
        <f>IF($B8="","",VLOOKUP($B8,Jogos!$A$2:$K$105,9,FALSE))</f>
        <v/>
      </c>
      <c r="H8" s="8">
        <f>IF($B8="","",VLOOKUP($B8,Jogos!$A$2:$K$105,11,FALSE))</f>
        <v/>
      </c>
      <c r="I8" s="5">
        <f>IF(OR($A8="", $B8="", $E8="", $F8="", $G8="", $H8=""), "",IF(AND($E8=$G8, $F8=$H8), 3, IF(SIGN($E8-$F8)=SIGN($G8-$H8), 1, 0))))</f>
        <v/>
      </c>
    </row>
    <row r="9">
      <c r="A9" s="5" t="inlineStr"/>
      <c r="B9" s="5" t="inlineStr"/>
      <c r="C9" s="5">
        <f>IF($B9="","",VLOOKUP($B9,Jogos!$A$2:$K$105,8,FALSE))</f>
        <v/>
      </c>
      <c r="D9" s="5">
        <f>IF($B9="","",VLOOKUP($B9,Jogos!$A$2:$K$105,10,FALSE))</f>
        <v/>
      </c>
      <c r="E9" s="5" t="inlineStr"/>
      <c r="F9" s="5" t="inlineStr"/>
      <c r="G9" s="8">
        <f>IF($B9="","",VLOOKUP($B9,Jogos!$A$2:$K$105,9,FALSE))</f>
        <v/>
      </c>
      <c r="H9" s="8">
        <f>IF($B9="","",VLOOKUP($B9,Jogos!$A$2:$K$105,11,FALSE))</f>
        <v/>
      </c>
      <c r="I9" s="5">
        <f>IF(OR($A9="", $B9="", $E9="", $F9="", $G9="", $H9=""), "",IF(AND($E9=$G9, $F9=$H9), 3, IF(SIGN($E9-$F9)=SIGN($G9-$H9), 1, 0))))</f>
        <v/>
      </c>
    </row>
    <row r="10">
      <c r="A10" s="5" t="inlineStr"/>
      <c r="B10" s="5" t="inlineStr"/>
      <c r="C10" s="5">
        <f>IF($B10="","",VLOOKUP($B10,Jogos!$A$2:$K$105,8,FALSE))</f>
        <v/>
      </c>
      <c r="D10" s="5">
        <f>IF($B10="","",VLOOKUP($B10,Jogos!$A$2:$K$105,10,FALSE))</f>
        <v/>
      </c>
      <c r="E10" s="5" t="inlineStr"/>
      <c r="F10" s="5" t="inlineStr"/>
      <c r="G10" s="8">
        <f>IF($B10="","",VLOOKUP($B10,Jogos!$A$2:$K$105,9,FALSE))</f>
        <v/>
      </c>
      <c r="H10" s="8">
        <f>IF($B10="","",VLOOKUP($B10,Jogos!$A$2:$K$105,11,FALSE))</f>
        <v/>
      </c>
      <c r="I10" s="5">
        <f>IF(OR($A10="", $B10="", $E10="", $F10="", $G10="", $H10=""), "",IF(AND($E10=$G10, $F10=$H10), 3, IF(SIGN($E10-$F10)=SIGN($G10-$H10), 1, 0))))</f>
        <v/>
      </c>
    </row>
    <row r="11">
      <c r="A11" s="5" t="inlineStr"/>
      <c r="B11" s="5" t="inlineStr"/>
      <c r="C11" s="5">
        <f>IF($B11="","",VLOOKUP($B11,Jogos!$A$2:$K$105,8,FALSE))</f>
        <v/>
      </c>
      <c r="D11" s="5">
        <f>IF($B11="","",VLOOKUP($B11,Jogos!$A$2:$K$105,10,FALSE))</f>
        <v/>
      </c>
      <c r="E11" s="5" t="inlineStr"/>
      <c r="F11" s="5" t="inlineStr"/>
      <c r="G11" s="8">
        <f>IF($B11="","",VLOOKUP($B11,Jogos!$A$2:$K$105,9,FALSE))</f>
        <v/>
      </c>
      <c r="H11" s="8">
        <f>IF($B11="","",VLOOKUP($B11,Jogos!$A$2:$K$105,11,FALSE))</f>
        <v/>
      </c>
      <c r="I11" s="5">
        <f>IF(OR($A11="", $B11="", $E11="", $F11="", $G11="", $H11=""), "",IF(AND($E11=$G11, $F11=$H11), 3, IF(SIGN($E11-$F11)=SIGN($G11-$H11), 1, 0))))</f>
        <v/>
      </c>
    </row>
    <row r="12">
      <c r="A12" s="5" t="inlineStr"/>
      <c r="B12" s="5" t="inlineStr"/>
      <c r="C12" s="5">
        <f>IF($B12="","",VLOOKUP($B12,Jogos!$A$2:$K$105,8,FALSE))</f>
        <v/>
      </c>
      <c r="D12" s="5">
        <f>IF($B12="","",VLOOKUP($B12,Jogos!$A$2:$K$105,10,FALSE))</f>
        <v/>
      </c>
      <c r="E12" s="5" t="inlineStr"/>
      <c r="F12" s="5" t="inlineStr"/>
      <c r="G12" s="8">
        <f>IF($B12="","",VLOOKUP($B12,Jogos!$A$2:$K$105,9,FALSE))</f>
        <v/>
      </c>
      <c r="H12" s="8">
        <f>IF($B12="","",VLOOKUP($B12,Jogos!$A$2:$K$105,11,FALSE))</f>
        <v/>
      </c>
      <c r="I12" s="5">
        <f>IF(OR($A12="", $B12="", $E12="", $F12="", $G12="", $H12=""), "",IF(AND($E12=$G12, $F12=$H12), 3, IF(SIGN($E12-$F12)=SIGN($G12-$H12), 1, 0))))</f>
        <v/>
      </c>
    </row>
    <row r="13">
      <c r="A13" s="5" t="inlineStr"/>
      <c r="B13" s="5" t="inlineStr"/>
      <c r="C13" s="5">
        <f>IF($B13="","",VLOOKUP($B13,Jogos!$A$2:$K$105,8,FALSE))</f>
        <v/>
      </c>
      <c r="D13" s="5">
        <f>IF($B13="","",VLOOKUP($B13,Jogos!$A$2:$K$105,10,FALSE))</f>
        <v/>
      </c>
      <c r="E13" s="5" t="inlineStr"/>
      <c r="F13" s="5" t="inlineStr"/>
      <c r="G13" s="8">
        <f>IF($B13="","",VLOOKUP($B13,Jogos!$A$2:$K$105,9,FALSE))</f>
        <v/>
      </c>
      <c r="H13" s="8">
        <f>IF($B13="","",VLOOKUP($B13,Jogos!$A$2:$K$105,11,FALSE))</f>
        <v/>
      </c>
      <c r="I13" s="5">
        <f>IF(OR($A13="", $B13="", $E13="", $F13="", $G13="", $H13=""), "",IF(AND($E13=$G13, $F13=$H13), 3, IF(SIGN($E13-$F13)=SIGN($G13-$H13), 1, 0))))</f>
        <v/>
      </c>
    </row>
    <row r="14">
      <c r="A14" s="5" t="inlineStr"/>
      <c r="B14" s="5" t="inlineStr"/>
      <c r="C14" s="5">
        <f>IF($B14="","",VLOOKUP($B14,Jogos!$A$2:$K$105,8,FALSE))</f>
        <v/>
      </c>
      <c r="D14" s="5">
        <f>IF($B14="","",VLOOKUP($B14,Jogos!$A$2:$K$105,10,FALSE))</f>
        <v/>
      </c>
      <c r="E14" s="5" t="inlineStr"/>
      <c r="F14" s="5" t="inlineStr"/>
      <c r="G14" s="8">
        <f>IF($B14="","",VLOOKUP($B14,Jogos!$A$2:$K$105,9,FALSE))</f>
        <v/>
      </c>
      <c r="H14" s="8">
        <f>IF($B14="","",VLOOKUP($B14,Jogos!$A$2:$K$105,11,FALSE))</f>
        <v/>
      </c>
      <c r="I14" s="5">
        <f>IF(OR($A14="", $B14="", $E14="", $F14="", $G14="", $H14=""), "",IF(AND($E14=$G14, $F14=$H14), 3, IF(SIGN($E14-$F14)=SIGN($G14-$H14), 1, 0))))</f>
        <v/>
      </c>
    </row>
    <row r="15">
      <c r="A15" s="5" t="inlineStr"/>
      <c r="B15" s="5" t="inlineStr"/>
      <c r="C15" s="5">
        <f>IF($B15="","",VLOOKUP($B15,Jogos!$A$2:$K$105,8,FALSE))</f>
        <v/>
      </c>
      <c r="D15" s="5">
        <f>IF($B15="","",VLOOKUP($B15,Jogos!$A$2:$K$105,10,FALSE))</f>
        <v/>
      </c>
      <c r="E15" s="5" t="inlineStr"/>
      <c r="F15" s="5" t="inlineStr"/>
      <c r="G15" s="8">
        <f>IF($B15="","",VLOOKUP($B15,Jogos!$A$2:$K$105,9,FALSE))</f>
        <v/>
      </c>
      <c r="H15" s="8">
        <f>IF($B15="","",VLOOKUP($B15,Jogos!$A$2:$K$105,11,FALSE))</f>
        <v/>
      </c>
      <c r="I15" s="5">
        <f>IF(OR($A15="", $B15="", $E15="", $F15="", $G15="", $H15=""), "",IF(AND($E15=$G15, $F15=$H15), 3, IF(SIGN($E15-$F15)=SIGN($G15-$H15), 1, 0))))</f>
        <v/>
      </c>
    </row>
    <row r="16">
      <c r="A16" s="5" t="inlineStr"/>
      <c r="B16" s="5" t="inlineStr"/>
      <c r="C16" s="5">
        <f>IF($B16="","",VLOOKUP($B16,Jogos!$A$2:$K$105,8,FALSE))</f>
        <v/>
      </c>
      <c r="D16" s="5">
        <f>IF($B16="","",VLOOKUP($B16,Jogos!$A$2:$K$105,10,FALSE))</f>
        <v/>
      </c>
      <c r="E16" s="5" t="inlineStr"/>
      <c r="F16" s="5" t="inlineStr"/>
      <c r="G16" s="8">
        <f>IF($B16="","",VLOOKUP($B16,Jogos!$A$2:$K$105,9,FALSE))</f>
        <v/>
      </c>
      <c r="H16" s="8">
        <f>IF($B16="","",VLOOKUP($B16,Jogos!$A$2:$K$105,11,FALSE))</f>
        <v/>
      </c>
      <c r="I16" s="5">
        <f>IF(OR($A16="", $B16="", $E16="", $F16="", $G16="", $H16=""), "",IF(AND($E16=$G16, $F16=$H16), 3, IF(SIGN($E16-$F16)=SIGN($G16-$H16), 1, 0))))</f>
        <v/>
      </c>
    </row>
    <row r="17">
      <c r="A17" s="5" t="inlineStr"/>
      <c r="B17" s="5" t="inlineStr"/>
      <c r="C17" s="5">
        <f>IF($B17="","",VLOOKUP($B17,Jogos!$A$2:$K$105,8,FALSE))</f>
        <v/>
      </c>
      <c r="D17" s="5">
        <f>IF($B17="","",VLOOKUP($B17,Jogos!$A$2:$K$105,10,FALSE))</f>
        <v/>
      </c>
      <c r="E17" s="5" t="inlineStr"/>
      <c r="F17" s="5" t="inlineStr"/>
      <c r="G17" s="8">
        <f>IF($B17="","",VLOOKUP($B17,Jogos!$A$2:$K$105,9,FALSE))</f>
        <v/>
      </c>
      <c r="H17" s="8">
        <f>IF($B17="","",VLOOKUP($B17,Jogos!$A$2:$K$105,11,FALSE))</f>
        <v/>
      </c>
      <c r="I17" s="5">
        <f>IF(OR($A17="", $B17="", $E17="", $F17="", $G17="", $H17=""), "",IF(AND($E17=$G17, $F17=$H17), 3, IF(SIGN($E17-$F17)=SIGN($G17-$H17), 1, 0))))</f>
        <v/>
      </c>
    </row>
    <row r="18">
      <c r="A18" s="5" t="inlineStr"/>
      <c r="B18" s="5" t="inlineStr"/>
      <c r="C18" s="5">
        <f>IF($B18="","",VLOOKUP($B18,Jogos!$A$2:$K$105,8,FALSE))</f>
        <v/>
      </c>
      <c r="D18" s="5">
        <f>IF($B18="","",VLOOKUP($B18,Jogos!$A$2:$K$105,10,FALSE))</f>
        <v/>
      </c>
      <c r="E18" s="5" t="inlineStr"/>
      <c r="F18" s="5" t="inlineStr"/>
      <c r="G18" s="8">
        <f>IF($B18="","",VLOOKUP($B18,Jogos!$A$2:$K$105,9,FALSE))</f>
        <v/>
      </c>
      <c r="H18" s="8">
        <f>IF($B18="","",VLOOKUP($B18,Jogos!$A$2:$K$105,11,FALSE))</f>
        <v/>
      </c>
      <c r="I18" s="5">
        <f>IF(OR($A18="", $B18="", $E18="", $F18="", $G18="", $H18=""), "",IF(AND($E18=$G18, $F18=$H18), 3, IF(SIGN($E18-$F18)=SIGN($G18-$H18), 1, 0))))</f>
        <v/>
      </c>
    </row>
    <row r="19">
      <c r="A19" s="5" t="inlineStr"/>
      <c r="B19" s="5" t="inlineStr"/>
      <c r="C19" s="5">
        <f>IF($B19="","",VLOOKUP($B19,Jogos!$A$2:$K$105,8,FALSE))</f>
        <v/>
      </c>
      <c r="D19" s="5">
        <f>IF($B19="","",VLOOKUP($B19,Jogos!$A$2:$K$105,10,FALSE))</f>
        <v/>
      </c>
      <c r="E19" s="5" t="inlineStr"/>
      <c r="F19" s="5" t="inlineStr"/>
      <c r="G19" s="8">
        <f>IF($B19="","",VLOOKUP($B19,Jogos!$A$2:$K$105,9,FALSE))</f>
        <v/>
      </c>
      <c r="H19" s="8">
        <f>IF($B19="","",VLOOKUP($B19,Jogos!$A$2:$K$105,11,FALSE))</f>
        <v/>
      </c>
      <c r="I19" s="5">
        <f>IF(OR($A19="", $B19="", $E19="", $F19="", $G19="", $H19=""), "",IF(AND($E19=$G19, $F19=$H19), 3, IF(SIGN($E19-$F19)=SIGN($G19-$H19), 1, 0))))</f>
        <v/>
      </c>
    </row>
    <row r="20">
      <c r="A20" s="5" t="inlineStr"/>
      <c r="B20" s="5" t="inlineStr"/>
      <c r="C20" s="5">
        <f>IF($B20="","",VLOOKUP($B20,Jogos!$A$2:$K$105,8,FALSE))</f>
        <v/>
      </c>
      <c r="D20" s="5">
        <f>IF($B20="","",VLOOKUP($B20,Jogos!$A$2:$K$105,10,FALSE))</f>
        <v/>
      </c>
      <c r="E20" s="5" t="inlineStr"/>
      <c r="F20" s="5" t="inlineStr"/>
      <c r="G20" s="8">
        <f>IF($B20="","",VLOOKUP($B20,Jogos!$A$2:$K$105,9,FALSE))</f>
        <v/>
      </c>
      <c r="H20" s="8">
        <f>IF($B20="","",VLOOKUP($B20,Jogos!$A$2:$K$105,11,FALSE))</f>
        <v/>
      </c>
      <c r="I20" s="5">
        <f>IF(OR($A20="", $B20="", $E20="", $F20="", $G20="", $H20=""), "",IF(AND($E20=$G20, $F20=$H20), 3, IF(SIGN($E20-$F20)=SIGN($G20-$H20), 1, 0))))</f>
        <v/>
      </c>
    </row>
    <row r="21">
      <c r="A21" s="5" t="inlineStr"/>
      <c r="B21" s="5" t="inlineStr"/>
      <c r="C21" s="5">
        <f>IF($B21="","",VLOOKUP($B21,Jogos!$A$2:$K$105,8,FALSE))</f>
        <v/>
      </c>
      <c r="D21" s="5">
        <f>IF($B21="","",VLOOKUP($B21,Jogos!$A$2:$K$105,10,FALSE))</f>
        <v/>
      </c>
      <c r="E21" s="5" t="inlineStr"/>
      <c r="F21" s="5" t="inlineStr"/>
      <c r="G21" s="8">
        <f>IF($B21="","",VLOOKUP($B21,Jogos!$A$2:$K$105,9,FALSE))</f>
        <v/>
      </c>
      <c r="H21" s="8">
        <f>IF($B21="","",VLOOKUP($B21,Jogos!$A$2:$K$105,11,FALSE))</f>
        <v/>
      </c>
      <c r="I21" s="5">
        <f>IF(OR($A21="", $B21="", $E21="", $F21="", $G21="", $H21=""), "",IF(AND($E21=$G21, $F21=$H21), 3, IF(SIGN($E21-$F21)=SIGN($G21-$H21), 1, 0))))</f>
        <v/>
      </c>
    </row>
    <row r="22">
      <c r="A22" s="5" t="inlineStr"/>
      <c r="B22" s="5" t="inlineStr"/>
      <c r="C22" s="5">
        <f>IF($B22="","",VLOOKUP($B22,Jogos!$A$2:$K$105,8,FALSE))</f>
        <v/>
      </c>
      <c r="D22" s="5">
        <f>IF($B22="","",VLOOKUP($B22,Jogos!$A$2:$K$105,10,FALSE))</f>
        <v/>
      </c>
      <c r="E22" s="5" t="inlineStr"/>
      <c r="F22" s="5" t="inlineStr"/>
      <c r="G22" s="8">
        <f>IF($B22="","",VLOOKUP($B22,Jogos!$A$2:$K$105,9,FALSE))</f>
        <v/>
      </c>
      <c r="H22" s="8">
        <f>IF($B22="","",VLOOKUP($B22,Jogos!$A$2:$K$105,11,FALSE))</f>
        <v/>
      </c>
      <c r="I22" s="5">
        <f>IF(OR($A22="", $B22="", $E22="", $F22="", $G22="", $H22=""), "",IF(AND($E22=$G22, $F22=$H22), 3, IF(SIGN($E22-$F22)=SIGN($G22-$H22), 1, 0))))</f>
        <v/>
      </c>
    </row>
    <row r="23">
      <c r="A23" s="5" t="inlineStr"/>
      <c r="B23" s="5" t="inlineStr"/>
      <c r="C23" s="5">
        <f>IF($B23="","",VLOOKUP($B23,Jogos!$A$2:$K$105,8,FALSE))</f>
        <v/>
      </c>
      <c r="D23" s="5">
        <f>IF($B23="","",VLOOKUP($B23,Jogos!$A$2:$K$105,10,FALSE))</f>
        <v/>
      </c>
      <c r="E23" s="5" t="inlineStr"/>
      <c r="F23" s="5" t="inlineStr"/>
      <c r="G23" s="8">
        <f>IF($B23="","",VLOOKUP($B23,Jogos!$A$2:$K$105,9,FALSE))</f>
        <v/>
      </c>
      <c r="H23" s="8">
        <f>IF($B23="","",VLOOKUP($B23,Jogos!$A$2:$K$105,11,FALSE))</f>
        <v/>
      </c>
      <c r="I23" s="5">
        <f>IF(OR($A23="", $B23="", $E23="", $F23="", $G23="", $H23=""), "",IF(AND($E23=$G23, $F23=$H23), 3, IF(SIGN($E23-$F23)=SIGN($G23-$H23), 1, 0))))</f>
        <v/>
      </c>
    </row>
    <row r="24">
      <c r="A24" s="5" t="inlineStr"/>
      <c r="B24" s="5" t="inlineStr"/>
      <c r="C24" s="5">
        <f>IF($B24="","",VLOOKUP($B24,Jogos!$A$2:$K$105,8,FALSE))</f>
        <v/>
      </c>
      <c r="D24" s="5">
        <f>IF($B24="","",VLOOKUP($B24,Jogos!$A$2:$K$105,10,FALSE))</f>
        <v/>
      </c>
      <c r="E24" s="5" t="inlineStr"/>
      <c r="F24" s="5" t="inlineStr"/>
      <c r="G24" s="8">
        <f>IF($B24="","",VLOOKUP($B24,Jogos!$A$2:$K$105,9,FALSE))</f>
        <v/>
      </c>
      <c r="H24" s="8">
        <f>IF($B24="","",VLOOKUP($B24,Jogos!$A$2:$K$105,11,FALSE))</f>
        <v/>
      </c>
      <c r="I24" s="5">
        <f>IF(OR($A24="", $B24="", $E24="", $F24="", $G24="", $H24=""), "",IF(AND($E24=$G24, $F24=$H24), 3, IF(SIGN($E24-$F24)=SIGN($G24-$H24), 1, 0))))</f>
        <v/>
      </c>
    </row>
    <row r="25">
      <c r="A25" s="5" t="inlineStr"/>
      <c r="B25" s="5" t="inlineStr"/>
      <c r="C25" s="5">
        <f>IF($B25="","",VLOOKUP($B25,Jogos!$A$2:$K$105,8,FALSE))</f>
        <v/>
      </c>
      <c r="D25" s="5">
        <f>IF($B25="","",VLOOKUP($B25,Jogos!$A$2:$K$105,10,FALSE))</f>
        <v/>
      </c>
      <c r="E25" s="5" t="inlineStr"/>
      <c r="F25" s="5" t="inlineStr"/>
      <c r="G25" s="8">
        <f>IF($B25="","",VLOOKUP($B25,Jogos!$A$2:$K$105,9,FALSE))</f>
        <v/>
      </c>
      <c r="H25" s="8">
        <f>IF($B25="","",VLOOKUP($B25,Jogos!$A$2:$K$105,11,FALSE))</f>
        <v/>
      </c>
      <c r="I25" s="5">
        <f>IF(OR($A25="", $B25="", $E25="", $F25="", $G25="", $H25=""), "",IF(AND($E25=$G25, $F25=$H25), 3, IF(SIGN($E25-$F25)=SIGN($G25-$H25), 1, 0))))</f>
        <v/>
      </c>
    </row>
    <row r="26">
      <c r="A26" s="5" t="inlineStr"/>
      <c r="B26" s="5" t="inlineStr"/>
      <c r="C26" s="5">
        <f>IF($B26="","",VLOOKUP($B26,Jogos!$A$2:$K$105,8,FALSE))</f>
        <v/>
      </c>
      <c r="D26" s="5">
        <f>IF($B26="","",VLOOKUP($B26,Jogos!$A$2:$K$105,10,FALSE))</f>
        <v/>
      </c>
      <c r="E26" s="5" t="inlineStr"/>
      <c r="F26" s="5" t="inlineStr"/>
      <c r="G26" s="8">
        <f>IF($B26="","",VLOOKUP($B26,Jogos!$A$2:$K$105,9,FALSE))</f>
        <v/>
      </c>
      <c r="H26" s="8">
        <f>IF($B26="","",VLOOKUP($B26,Jogos!$A$2:$K$105,11,FALSE))</f>
        <v/>
      </c>
      <c r="I26" s="5">
        <f>IF(OR($A26="", $B26="", $E26="", $F26="", $G26="", $H26=""), "",IF(AND($E26=$G26, $F26=$H26), 3, IF(SIGN($E26-$F26)=SIGN($G26-$H26), 1, 0))))</f>
        <v/>
      </c>
    </row>
    <row r="27">
      <c r="A27" s="5" t="inlineStr"/>
      <c r="B27" s="5" t="inlineStr"/>
      <c r="C27" s="5">
        <f>IF($B27="","",VLOOKUP($B27,Jogos!$A$2:$K$105,8,FALSE))</f>
        <v/>
      </c>
      <c r="D27" s="5">
        <f>IF($B27="","",VLOOKUP($B27,Jogos!$A$2:$K$105,10,FALSE))</f>
        <v/>
      </c>
      <c r="E27" s="5" t="inlineStr"/>
      <c r="F27" s="5" t="inlineStr"/>
      <c r="G27" s="8">
        <f>IF($B27="","",VLOOKUP($B27,Jogos!$A$2:$K$105,9,FALSE))</f>
        <v/>
      </c>
      <c r="H27" s="8">
        <f>IF($B27="","",VLOOKUP($B27,Jogos!$A$2:$K$105,11,FALSE))</f>
        <v/>
      </c>
      <c r="I27" s="5">
        <f>IF(OR($A27="", $B27="", $E27="", $F27="", $G27="", $H27=""), "",IF(AND($E27=$G27, $F27=$H27), 3, IF(SIGN($E27-$F27)=SIGN($G27-$H27), 1, 0))))</f>
        <v/>
      </c>
    </row>
    <row r="28">
      <c r="A28" s="5" t="inlineStr"/>
      <c r="B28" s="5" t="inlineStr"/>
      <c r="C28" s="5">
        <f>IF($B28="","",VLOOKUP($B28,Jogos!$A$2:$K$105,8,FALSE))</f>
        <v/>
      </c>
      <c r="D28" s="5">
        <f>IF($B28="","",VLOOKUP($B28,Jogos!$A$2:$K$105,10,FALSE))</f>
        <v/>
      </c>
      <c r="E28" s="5" t="inlineStr"/>
      <c r="F28" s="5" t="inlineStr"/>
      <c r="G28" s="8">
        <f>IF($B28="","",VLOOKUP($B28,Jogos!$A$2:$K$105,9,FALSE))</f>
        <v/>
      </c>
      <c r="H28" s="8">
        <f>IF($B28="","",VLOOKUP($B28,Jogos!$A$2:$K$105,11,FALSE))</f>
        <v/>
      </c>
      <c r="I28" s="5">
        <f>IF(OR($A28="", $B28="", $E28="", $F28="", $G28="", $H28=""), "",IF(AND($E28=$G28, $F28=$H28), 3, IF(SIGN($E28-$F28)=SIGN($G28-$H28), 1, 0))))</f>
        <v/>
      </c>
    </row>
    <row r="29">
      <c r="A29" s="5" t="inlineStr"/>
      <c r="B29" s="5" t="inlineStr"/>
      <c r="C29" s="5">
        <f>IF($B29="","",VLOOKUP($B29,Jogos!$A$2:$K$105,8,FALSE))</f>
        <v/>
      </c>
      <c r="D29" s="5">
        <f>IF($B29="","",VLOOKUP($B29,Jogos!$A$2:$K$105,10,FALSE))</f>
        <v/>
      </c>
      <c r="E29" s="5" t="inlineStr"/>
      <c r="F29" s="5" t="inlineStr"/>
      <c r="G29" s="8">
        <f>IF($B29="","",VLOOKUP($B29,Jogos!$A$2:$K$105,9,FALSE))</f>
        <v/>
      </c>
      <c r="H29" s="8">
        <f>IF($B29="","",VLOOKUP($B29,Jogos!$A$2:$K$105,11,FALSE))</f>
        <v/>
      </c>
      <c r="I29" s="5">
        <f>IF(OR($A29="", $B29="", $E29="", $F29="", $G29="", $H29=""), "",IF(AND($E29=$G29, $F29=$H29), 3, IF(SIGN($E29-$F29)=SIGN($G29-$H29), 1, 0))))</f>
        <v/>
      </c>
    </row>
    <row r="30">
      <c r="A30" s="5" t="inlineStr"/>
      <c r="B30" s="5" t="inlineStr"/>
      <c r="C30" s="5">
        <f>IF($B30="","",VLOOKUP($B30,Jogos!$A$2:$K$105,8,FALSE))</f>
        <v/>
      </c>
      <c r="D30" s="5">
        <f>IF($B30="","",VLOOKUP($B30,Jogos!$A$2:$K$105,10,FALSE))</f>
        <v/>
      </c>
      <c r="E30" s="5" t="inlineStr"/>
      <c r="F30" s="5" t="inlineStr"/>
      <c r="G30" s="8">
        <f>IF($B30="","",VLOOKUP($B30,Jogos!$A$2:$K$105,9,FALSE))</f>
        <v/>
      </c>
      <c r="H30" s="8">
        <f>IF($B30="","",VLOOKUP($B30,Jogos!$A$2:$K$105,11,FALSE))</f>
        <v/>
      </c>
      <c r="I30" s="5">
        <f>IF(OR($A30="", $B30="", $E30="", $F30="", $G30="", $H30=""), "",IF(AND($E30=$G30, $F30=$H30), 3, IF(SIGN($E30-$F30)=SIGN($G30-$H30), 1, 0))))</f>
        <v/>
      </c>
    </row>
    <row r="31">
      <c r="A31" s="5" t="inlineStr"/>
      <c r="B31" s="5" t="inlineStr"/>
      <c r="C31" s="5">
        <f>IF($B31="","",VLOOKUP($B31,Jogos!$A$2:$K$105,8,FALSE))</f>
        <v/>
      </c>
      <c r="D31" s="5">
        <f>IF($B31="","",VLOOKUP($B31,Jogos!$A$2:$K$105,10,FALSE))</f>
        <v/>
      </c>
      <c r="E31" s="5" t="inlineStr"/>
      <c r="F31" s="5" t="inlineStr"/>
      <c r="G31" s="8">
        <f>IF($B31="","",VLOOKUP($B31,Jogos!$A$2:$K$105,9,FALSE))</f>
        <v/>
      </c>
      <c r="H31" s="8">
        <f>IF($B31="","",VLOOKUP($B31,Jogos!$A$2:$K$105,11,FALSE))</f>
        <v/>
      </c>
      <c r="I31" s="5">
        <f>IF(OR($A31="", $B31="", $E31="", $F31="", $G31="", $H31=""), "",IF(AND($E31=$G31, $F31=$H31), 3, IF(SIGN($E31-$F31)=SIGN($G31-$H31), 1, 0))))</f>
        <v/>
      </c>
    </row>
    <row r="32">
      <c r="A32" s="5" t="inlineStr"/>
      <c r="B32" s="5" t="inlineStr"/>
      <c r="C32" s="5">
        <f>IF($B32="","",VLOOKUP($B32,Jogos!$A$2:$K$105,8,FALSE))</f>
        <v/>
      </c>
      <c r="D32" s="5">
        <f>IF($B32="","",VLOOKUP($B32,Jogos!$A$2:$K$105,10,FALSE))</f>
        <v/>
      </c>
      <c r="E32" s="5" t="inlineStr"/>
      <c r="F32" s="5" t="inlineStr"/>
      <c r="G32" s="8">
        <f>IF($B32="","",VLOOKUP($B32,Jogos!$A$2:$K$105,9,FALSE))</f>
        <v/>
      </c>
      <c r="H32" s="8">
        <f>IF($B32="","",VLOOKUP($B32,Jogos!$A$2:$K$105,11,FALSE))</f>
        <v/>
      </c>
      <c r="I32" s="5">
        <f>IF(OR($A32="", $B32="", $E32="", $F32="", $G32="", $H32=""), "",IF(AND($E32=$G32, $F32=$H32), 3, IF(SIGN($E32-$F32)=SIGN($G32-$H32), 1, 0))))</f>
        <v/>
      </c>
    </row>
    <row r="33">
      <c r="A33" s="5" t="inlineStr"/>
      <c r="B33" s="5" t="inlineStr"/>
      <c r="C33" s="5">
        <f>IF($B33="","",VLOOKUP($B33,Jogos!$A$2:$K$105,8,FALSE))</f>
        <v/>
      </c>
      <c r="D33" s="5">
        <f>IF($B33="","",VLOOKUP($B33,Jogos!$A$2:$K$105,10,FALSE))</f>
        <v/>
      </c>
      <c r="E33" s="5" t="inlineStr"/>
      <c r="F33" s="5" t="inlineStr"/>
      <c r="G33" s="8">
        <f>IF($B33="","",VLOOKUP($B33,Jogos!$A$2:$K$105,9,FALSE))</f>
        <v/>
      </c>
      <c r="H33" s="8">
        <f>IF($B33="","",VLOOKUP($B33,Jogos!$A$2:$K$105,11,FALSE))</f>
        <v/>
      </c>
      <c r="I33" s="5">
        <f>IF(OR($A33="", $B33="", $E33="", $F33="", $G33="", $H33=""), "",IF(AND($E33=$G33, $F33=$H33), 3, IF(SIGN($E33-$F33)=SIGN($G33-$H33), 1, 0))))</f>
        <v/>
      </c>
    </row>
    <row r="34">
      <c r="A34" s="5" t="inlineStr"/>
      <c r="B34" s="5" t="inlineStr"/>
      <c r="C34" s="5">
        <f>IF($B34="","",VLOOKUP($B34,Jogos!$A$2:$K$105,8,FALSE))</f>
        <v/>
      </c>
      <c r="D34" s="5">
        <f>IF($B34="","",VLOOKUP($B34,Jogos!$A$2:$K$105,10,FALSE))</f>
        <v/>
      </c>
      <c r="E34" s="5" t="inlineStr"/>
      <c r="F34" s="5" t="inlineStr"/>
      <c r="G34" s="8">
        <f>IF($B34="","",VLOOKUP($B34,Jogos!$A$2:$K$105,9,FALSE))</f>
        <v/>
      </c>
      <c r="H34" s="8">
        <f>IF($B34="","",VLOOKUP($B34,Jogos!$A$2:$K$105,11,FALSE))</f>
        <v/>
      </c>
      <c r="I34" s="5">
        <f>IF(OR($A34="", $B34="", $E34="", $F34="", $G34="", $H34=""), "",IF(AND($E34=$G34, $F34=$H34), 3, IF(SIGN($E34-$F34)=SIGN($G34-$H34), 1, 0))))</f>
        <v/>
      </c>
    </row>
    <row r="35">
      <c r="A35" s="5" t="inlineStr"/>
      <c r="B35" s="5" t="inlineStr"/>
      <c r="C35" s="5">
        <f>IF($B35="","",VLOOKUP($B35,Jogos!$A$2:$K$105,8,FALSE))</f>
        <v/>
      </c>
      <c r="D35" s="5">
        <f>IF($B35="","",VLOOKUP($B35,Jogos!$A$2:$K$105,10,FALSE))</f>
        <v/>
      </c>
      <c r="E35" s="5" t="inlineStr"/>
      <c r="F35" s="5" t="inlineStr"/>
      <c r="G35" s="8">
        <f>IF($B35="","",VLOOKUP($B35,Jogos!$A$2:$K$105,9,FALSE))</f>
        <v/>
      </c>
      <c r="H35" s="8">
        <f>IF($B35="","",VLOOKUP($B35,Jogos!$A$2:$K$105,11,FALSE))</f>
        <v/>
      </c>
      <c r="I35" s="5">
        <f>IF(OR($A35="", $B35="", $E35="", $F35="", $G35="", $H35=""), "",IF(AND($E35=$G35, $F35=$H35), 3, IF(SIGN($E35-$F35)=SIGN($G35-$H35), 1, 0))))</f>
        <v/>
      </c>
    </row>
    <row r="36">
      <c r="A36" s="5" t="inlineStr"/>
      <c r="B36" s="5" t="inlineStr"/>
      <c r="C36" s="5">
        <f>IF($B36="","",VLOOKUP($B36,Jogos!$A$2:$K$105,8,FALSE))</f>
        <v/>
      </c>
      <c r="D36" s="5">
        <f>IF($B36="","",VLOOKUP($B36,Jogos!$A$2:$K$105,10,FALSE))</f>
        <v/>
      </c>
      <c r="E36" s="5" t="inlineStr"/>
      <c r="F36" s="5" t="inlineStr"/>
      <c r="G36" s="8">
        <f>IF($B36="","",VLOOKUP($B36,Jogos!$A$2:$K$105,9,FALSE))</f>
        <v/>
      </c>
      <c r="H36" s="8">
        <f>IF($B36="","",VLOOKUP($B36,Jogos!$A$2:$K$105,11,FALSE))</f>
        <v/>
      </c>
      <c r="I36" s="5">
        <f>IF(OR($A36="", $B36="", $E36="", $F36="", $G36="", $H36=""), "",IF(AND($E36=$G36, $F36=$H36), 3, IF(SIGN($E36-$F36)=SIGN($G36-$H36), 1, 0))))</f>
        <v/>
      </c>
    </row>
    <row r="37">
      <c r="A37" s="5" t="inlineStr"/>
      <c r="B37" s="5" t="inlineStr"/>
      <c r="C37" s="5">
        <f>IF($B37="","",VLOOKUP($B37,Jogos!$A$2:$K$105,8,FALSE))</f>
        <v/>
      </c>
      <c r="D37" s="5">
        <f>IF($B37="","",VLOOKUP($B37,Jogos!$A$2:$K$105,10,FALSE))</f>
        <v/>
      </c>
      <c r="E37" s="5" t="inlineStr"/>
      <c r="F37" s="5" t="inlineStr"/>
      <c r="G37" s="8">
        <f>IF($B37="","",VLOOKUP($B37,Jogos!$A$2:$K$105,9,FALSE))</f>
        <v/>
      </c>
      <c r="H37" s="8">
        <f>IF($B37="","",VLOOKUP($B37,Jogos!$A$2:$K$105,11,FALSE))</f>
        <v/>
      </c>
      <c r="I37" s="5">
        <f>IF(OR($A37="", $B37="", $E37="", $F37="", $G37="", $H37=""), "",IF(AND($E37=$G37, $F37=$H37), 3, IF(SIGN($E37-$F37)=SIGN($G37-$H37), 1, 0))))</f>
        <v/>
      </c>
    </row>
    <row r="38">
      <c r="A38" s="5" t="inlineStr"/>
      <c r="B38" s="5" t="inlineStr"/>
      <c r="C38" s="5">
        <f>IF($B38="","",VLOOKUP($B38,Jogos!$A$2:$K$105,8,FALSE))</f>
        <v/>
      </c>
      <c r="D38" s="5">
        <f>IF($B38="","",VLOOKUP($B38,Jogos!$A$2:$K$105,10,FALSE))</f>
        <v/>
      </c>
      <c r="E38" s="5" t="inlineStr"/>
      <c r="F38" s="5" t="inlineStr"/>
      <c r="G38" s="8">
        <f>IF($B38="","",VLOOKUP($B38,Jogos!$A$2:$K$105,9,FALSE))</f>
        <v/>
      </c>
      <c r="H38" s="8">
        <f>IF($B38="","",VLOOKUP($B38,Jogos!$A$2:$K$105,11,FALSE))</f>
        <v/>
      </c>
      <c r="I38" s="5">
        <f>IF(OR($A38="", $B38="", $E38="", $F38="", $G38="", $H38=""), "",IF(AND($E38=$G38, $F38=$H38), 3, IF(SIGN($E38-$F38)=SIGN($G38-$H38), 1, 0))))</f>
        <v/>
      </c>
    </row>
    <row r="39">
      <c r="A39" s="5" t="inlineStr"/>
      <c r="B39" s="5" t="inlineStr"/>
      <c r="C39" s="5">
        <f>IF($B39="","",VLOOKUP($B39,Jogos!$A$2:$K$105,8,FALSE))</f>
        <v/>
      </c>
      <c r="D39" s="5">
        <f>IF($B39="","",VLOOKUP($B39,Jogos!$A$2:$K$105,10,FALSE))</f>
        <v/>
      </c>
      <c r="E39" s="5" t="inlineStr"/>
      <c r="F39" s="5" t="inlineStr"/>
      <c r="G39" s="8">
        <f>IF($B39="","",VLOOKUP($B39,Jogos!$A$2:$K$105,9,FALSE))</f>
        <v/>
      </c>
      <c r="H39" s="8">
        <f>IF($B39="","",VLOOKUP($B39,Jogos!$A$2:$K$105,11,FALSE))</f>
        <v/>
      </c>
      <c r="I39" s="5">
        <f>IF(OR($A39="", $B39="", $E39="", $F39="", $G39="", $H39=""), "",IF(AND($E39=$G39, $F39=$H39), 3, IF(SIGN($E39-$F39)=SIGN($G39-$H39), 1, 0))))</f>
        <v/>
      </c>
    </row>
    <row r="40">
      <c r="A40" s="5" t="inlineStr"/>
      <c r="B40" s="5" t="inlineStr"/>
      <c r="C40" s="5">
        <f>IF($B40="","",VLOOKUP($B40,Jogos!$A$2:$K$105,8,FALSE))</f>
        <v/>
      </c>
      <c r="D40" s="5">
        <f>IF($B40="","",VLOOKUP($B40,Jogos!$A$2:$K$105,10,FALSE))</f>
        <v/>
      </c>
      <c r="E40" s="5" t="inlineStr"/>
      <c r="F40" s="5" t="inlineStr"/>
      <c r="G40" s="8">
        <f>IF($B40="","",VLOOKUP($B40,Jogos!$A$2:$K$105,9,FALSE))</f>
        <v/>
      </c>
      <c r="H40" s="8">
        <f>IF($B40="","",VLOOKUP($B40,Jogos!$A$2:$K$105,11,FALSE))</f>
        <v/>
      </c>
      <c r="I40" s="5">
        <f>IF(OR($A40="", $B40="", $E40="", $F40="", $G40="", $H40=""), "",IF(AND($E40=$G40, $F40=$H40), 3, IF(SIGN($E40-$F40)=SIGN($G40-$H40), 1, 0))))</f>
        <v/>
      </c>
    </row>
    <row r="41">
      <c r="A41" s="5" t="inlineStr"/>
      <c r="B41" s="5" t="inlineStr"/>
      <c r="C41" s="5">
        <f>IF($B41="","",VLOOKUP($B41,Jogos!$A$2:$K$105,8,FALSE))</f>
        <v/>
      </c>
      <c r="D41" s="5">
        <f>IF($B41="","",VLOOKUP($B41,Jogos!$A$2:$K$105,10,FALSE))</f>
        <v/>
      </c>
      <c r="E41" s="5" t="inlineStr"/>
      <c r="F41" s="5" t="inlineStr"/>
      <c r="G41" s="8">
        <f>IF($B41="","",VLOOKUP($B41,Jogos!$A$2:$K$105,9,FALSE))</f>
        <v/>
      </c>
      <c r="H41" s="8">
        <f>IF($B41="","",VLOOKUP($B41,Jogos!$A$2:$K$105,11,FALSE))</f>
        <v/>
      </c>
      <c r="I41" s="5">
        <f>IF(OR($A41="", $B41="", $E41="", $F41="", $G41="", $H41=""), "",IF(AND($E41=$G41, $F41=$H41), 3, IF(SIGN($E41-$F41)=SIGN($G41-$H41), 1, 0))))</f>
        <v/>
      </c>
    </row>
    <row r="42">
      <c r="A42" s="5" t="inlineStr"/>
      <c r="B42" s="5" t="inlineStr"/>
      <c r="C42" s="5">
        <f>IF($B42="","",VLOOKUP($B42,Jogos!$A$2:$K$105,8,FALSE))</f>
        <v/>
      </c>
      <c r="D42" s="5">
        <f>IF($B42="","",VLOOKUP($B42,Jogos!$A$2:$K$105,10,FALSE))</f>
        <v/>
      </c>
      <c r="E42" s="5" t="inlineStr"/>
      <c r="F42" s="5" t="inlineStr"/>
      <c r="G42" s="8">
        <f>IF($B42="","",VLOOKUP($B42,Jogos!$A$2:$K$105,9,FALSE))</f>
        <v/>
      </c>
      <c r="H42" s="8">
        <f>IF($B42="","",VLOOKUP($B42,Jogos!$A$2:$K$105,11,FALSE))</f>
        <v/>
      </c>
      <c r="I42" s="5">
        <f>IF(OR($A42="", $B42="", $E42="", $F42="", $G42="", $H42=""), "",IF(AND($E42=$G42, $F42=$H42), 3, IF(SIGN($E42-$F42)=SIGN($G42-$H42), 1, 0))))</f>
        <v/>
      </c>
    </row>
    <row r="43">
      <c r="A43" s="5" t="inlineStr"/>
      <c r="B43" s="5" t="inlineStr"/>
      <c r="C43" s="5">
        <f>IF($B43="","",VLOOKUP($B43,Jogos!$A$2:$K$105,8,FALSE))</f>
        <v/>
      </c>
      <c r="D43" s="5">
        <f>IF($B43="","",VLOOKUP($B43,Jogos!$A$2:$K$105,10,FALSE))</f>
        <v/>
      </c>
      <c r="E43" s="5" t="inlineStr"/>
      <c r="F43" s="5" t="inlineStr"/>
      <c r="G43" s="8">
        <f>IF($B43="","",VLOOKUP($B43,Jogos!$A$2:$K$105,9,FALSE))</f>
        <v/>
      </c>
      <c r="H43" s="8">
        <f>IF($B43="","",VLOOKUP($B43,Jogos!$A$2:$K$105,11,FALSE))</f>
        <v/>
      </c>
      <c r="I43" s="5">
        <f>IF(OR($A43="", $B43="", $E43="", $F43="", $G43="", $H43=""), "",IF(AND($E43=$G43, $F43=$H43), 3, IF(SIGN($E43-$F43)=SIGN($G43-$H43), 1, 0))))</f>
        <v/>
      </c>
    </row>
    <row r="44">
      <c r="A44" s="5" t="inlineStr"/>
      <c r="B44" s="5" t="inlineStr"/>
      <c r="C44" s="5">
        <f>IF($B44="","",VLOOKUP($B44,Jogos!$A$2:$K$105,8,FALSE))</f>
        <v/>
      </c>
      <c r="D44" s="5">
        <f>IF($B44="","",VLOOKUP($B44,Jogos!$A$2:$K$105,10,FALSE))</f>
        <v/>
      </c>
      <c r="E44" s="5" t="inlineStr"/>
      <c r="F44" s="5" t="inlineStr"/>
      <c r="G44" s="8">
        <f>IF($B44="","",VLOOKUP($B44,Jogos!$A$2:$K$105,9,FALSE))</f>
        <v/>
      </c>
      <c r="H44" s="8">
        <f>IF($B44="","",VLOOKUP($B44,Jogos!$A$2:$K$105,11,FALSE))</f>
        <v/>
      </c>
      <c r="I44" s="5">
        <f>IF(OR($A44="", $B44="", $E44="", $F44="", $G44="", $H44=""), "",IF(AND($E44=$G44, $F44=$H44), 3, IF(SIGN($E44-$F44)=SIGN($G44-$H44), 1, 0))))</f>
        <v/>
      </c>
    </row>
    <row r="45">
      <c r="A45" s="5" t="inlineStr"/>
      <c r="B45" s="5" t="inlineStr"/>
      <c r="C45" s="5">
        <f>IF($B45="","",VLOOKUP($B45,Jogos!$A$2:$K$105,8,FALSE))</f>
        <v/>
      </c>
      <c r="D45" s="5">
        <f>IF($B45="","",VLOOKUP($B45,Jogos!$A$2:$K$105,10,FALSE))</f>
        <v/>
      </c>
      <c r="E45" s="5" t="inlineStr"/>
      <c r="F45" s="5" t="inlineStr"/>
      <c r="G45" s="8">
        <f>IF($B45="","",VLOOKUP($B45,Jogos!$A$2:$K$105,9,FALSE))</f>
        <v/>
      </c>
      <c r="H45" s="8">
        <f>IF($B45="","",VLOOKUP($B45,Jogos!$A$2:$K$105,11,FALSE))</f>
        <v/>
      </c>
      <c r="I45" s="5">
        <f>IF(OR($A45="", $B45="", $E45="", $F45="", $G45="", $H45=""), "",IF(AND($E45=$G45, $F45=$H45), 3, IF(SIGN($E45-$F45)=SIGN($G45-$H45), 1, 0))))</f>
        <v/>
      </c>
    </row>
    <row r="46">
      <c r="A46" s="5" t="inlineStr"/>
      <c r="B46" s="5" t="inlineStr"/>
      <c r="C46" s="5">
        <f>IF($B46="","",VLOOKUP($B46,Jogos!$A$2:$K$105,8,FALSE))</f>
        <v/>
      </c>
      <c r="D46" s="5">
        <f>IF($B46="","",VLOOKUP($B46,Jogos!$A$2:$K$105,10,FALSE))</f>
        <v/>
      </c>
      <c r="E46" s="5" t="inlineStr"/>
      <c r="F46" s="5" t="inlineStr"/>
      <c r="G46" s="8">
        <f>IF($B46="","",VLOOKUP($B46,Jogos!$A$2:$K$105,9,FALSE))</f>
        <v/>
      </c>
      <c r="H46" s="8">
        <f>IF($B46="","",VLOOKUP($B46,Jogos!$A$2:$K$105,11,FALSE))</f>
        <v/>
      </c>
      <c r="I46" s="5">
        <f>IF(OR($A46="", $B46="", $E46="", $F46="", $G46="", $H46=""), "",IF(AND($E46=$G46, $F46=$H46), 3, IF(SIGN($E46-$F46)=SIGN($G46-$H46), 1, 0))))</f>
        <v/>
      </c>
    </row>
    <row r="47">
      <c r="A47" s="5" t="inlineStr"/>
      <c r="B47" s="5" t="inlineStr"/>
      <c r="C47" s="5">
        <f>IF($B47="","",VLOOKUP($B47,Jogos!$A$2:$K$105,8,FALSE))</f>
        <v/>
      </c>
      <c r="D47" s="5">
        <f>IF($B47="","",VLOOKUP($B47,Jogos!$A$2:$K$105,10,FALSE))</f>
        <v/>
      </c>
      <c r="E47" s="5" t="inlineStr"/>
      <c r="F47" s="5" t="inlineStr"/>
      <c r="G47" s="8">
        <f>IF($B47="","",VLOOKUP($B47,Jogos!$A$2:$K$105,9,FALSE))</f>
        <v/>
      </c>
      <c r="H47" s="8">
        <f>IF($B47="","",VLOOKUP($B47,Jogos!$A$2:$K$105,11,FALSE))</f>
        <v/>
      </c>
      <c r="I47" s="5">
        <f>IF(OR($A47="", $B47="", $E47="", $F47="", $G47="", $H47=""), "",IF(AND($E47=$G47, $F47=$H47), 3, IF(SIGN($E47-$F47)=SIGN($G47-$H47), 1, 0))))</f>
        <v/>
      </c>
    </row>
    <row r="48">
      <c r="A48" s="5" t="inlineStr"/>
      <c r="B48" s="5" t="inlineStr"/>
      <c r="C48" s="5">
        <f>IF($B48="","",VLOOKUP($B48,Jogos!$A$2:$K$105,8,FALSE))</f>
        <v/>
      </c>
      <c r="D48" s="5">
        <f>IF($B48="","",VLOOKUP($B48,Jogos!$A$2:$K$105,10,FALSE))</f>
        <v/>
      </c>
      <c r="E48" s="5" t="inlineStr"/>
      <c r="F48" s="5" t="inlineStr"/>
      <c r="G48" s="8">
        <f>IF($B48="","",VLOOKUP($B48,Jogos!$A$2:$K$105,9,FALSE))</f>
        <v/>
      </c>
      <c r="H48" s="8">
        <f>IF($B48="","",VLOOKUP($B48,Jogos!$A$2:$K$105,11,FALSE))</f>
        <v/>
      </c>
      <c r="I48" s="5">
        <f>IF(OR($A48="", $B48="", $E48="", $F48="", $G48="", $H48=""), "",IF(AND($E48=$G48, $F48=$H48), 3, IF(SIGN($E48-$F48)=SIGN($G48-$H48), 1, 0))))</f>
        <v/>
      </c>
    </row>
    <row r="49">
      <c r="A49" s="5" t="inlineStr"/>
      <c r="B49" s="5" t="inlineStr"/>
      <c r="C49" s="5">
        <f>IF($B49="","",VLOOKUP($B49,Jogos!$A$2:$K$105,8,FALSE))</f>
        <v/>
      </c>
      <c r="D49" s="5">
        <f>IF($B49="","",VLOOKUP($B49,Jogos!$A$2:$K$105,10,FALSE))</f>
        <v/>
      </c>
      <c r="E49" s="5" t="inlineStr"/>
      <c r="F49" s="5" t="inlineStr"/>
      <c r="G49" s="8">
        <f>IF($B49="","",VLOOKUP($B49,Jogos!$A$2:$K$105,9,FALSE))</f>
        <v/>
      </c>
      <c r="H49" s="8">
        <f>IF($B49="","",VLOOKUP($B49,Jogos!$A$2:$K$105,11,FALSE))</f>
        <v/>
      </c>
      <c r="I49" s="5">
        <f>IF(OR($A49="", $B49="", $E49="", $F49="", $G49="", $H49=""), "",IF(AND($E49=$G49, $F49=$H49), 3, IF(SIGN($E49-$F49)=SIGN($G49-$H49), 1, 0))))</f>
        <v/>
      </c>
    </row>
    <row r="50">
      <c r="A50" s="5" t="inlineStr"/>
      <c r="B50" s="5" t="inlineStr"/>
      <c r="C50" s="5">
        <f>IF($B50="","",VLOOKUP($B50,Jogos!$A$2:$K$105,8,FALSE))</f>
        <v/>
      </c>
      <c r="D50" s="5">
        <f>IF($B50="","",VLOOKUP($B50,Jogos!$A$2:$K$105,10,FALSE))</f>
        <v/>
      </c>
      <c r="E50" s="5" t="inlineStr"/>
      <c r="F50" s="5" t="inlineStr"/>
      <c r="G50" s="8">
        <f>IF($B50="","",VLOOKUP($B50,Jogos!$A$2:$K$105,9,FALSE))</f>
        <v/>
      </c>
      <c r="H50" s="8">
        <f>IF($B50="","",VLOOKUP($B50,Jogos!$A$2:$K$105,11,FALSE))</f>
        <v/>
      </c>
      <c r="I50" s="5">
        <f>IF(OR($A50="", $B50="", $E50="", $F50="", $G50="", $H50=""), "",IF(AND($E50=$G50, $F50=$H50), 3, IF(SIGN($E50-$F50)=SIGN($G50-$H50), 1, 0))))</f>
        <v/>
      </c>
    </row>
    <row r="51">
      <c r="A51" s="5" t="inlineStr"/>
      <c r="B51" s="5" t="inlineStr"/>
      <c r="C51" s="5">
        <f>IF($B51="","",VLOOKUP($B51,Jogos!$A$2:$K$105,8,FALSE))</f>
        <v/>
      </c>
      <c r="D51" s="5">
        <f>IF($B51="","",VLOOKUP($B51,Jogos!$A$2:$K$105,10,FALSE))</f>
        <v/>
      </c>
      <c r="E51" s="5" t="inlineStr"/>
      <c r="F51" s="5" t="inlineStr"/>
      <c r="G51" s="8">
        <f>IF($B51="","",VLOOKUP($B51,Jogos!$A$2:$K$105,9,FALSE))</f>
        <v/>
      </c>
      <c r="H51" s="8">
        <f>IF($B51="","",VLOOKUP($B51,Jogos!$A$2:$K$105,11,FALSE))</f>
        <v/>
      </c>
      <c r="I51" s="5">
        <f>IF(OR($A51="", $B51="", $E51="", $F51="", $G51="", $H51=""), "",IF(AND($E51=$G51, $F51=$H51), 3, IF(SIGN($E51-$F51)=SIGN($G51-$H51), 1, 0))))</f>
        <v/>
      </c>
    </row>
    <row r="52">
      <c r="A52" s="5" t="inlineStr"/>
      <c r="B52" s="5" t="inlineStr"/>
      <c r="C52" s="5">
        <f>IF($B52="","",VLOOKUP($B52,Jogos!$A$2:$K$105,8,FALSE))</f>
        <v/>
      </c>
      <c r="D52" s="5">
        <f>IF($B52="","",VLOOKUP($B52,Jogos!$A$2:$K$105,10,FALSE))</f>
        <v/>
      </c>
      <c r="E52" s="5" t="inlineStr"/>
      <c r="F52" s="5" t="inlineStr"/>
      <c r="G52" s="8">
        <f>IF($B52="","",VLOOKUP($B52,Jogos!$A$2:$K$105,9,FALSE))</f>
        <v/>
      </c>
      <c r="H52" s="8">
        <f>IF($B52="","",VLOOKUP($B52,Jogos!$A$2:$K$105,11,FALSE))</f>
        <v/>
      </c>
      <c r="I52" s="5">
        <f>IF(OR($A52="", $B52="", $E52="", $F52="", $G52="", $H52=""), "",IF(AND($E52=$G52, $F52=$H52), 3, IF(SIGN($E52-$F52)=SIGN($G52-$H52), 1, 0))))</f>
        <v/>
      </c>
    </row>
    <row r="53">
      <c r="A53" s="5" t="inlineStr"/>
      <c r="B53" s="5" t="inlineStr"/>
      <c r="C53" s="5">
        <f>IF($B53="","",VLOOKUP($B53,Jogos!$A$2:$K$105,8,FALSE))</f>
        <v/>
      </c>
      <c r="D53" s="5">
        <f>IF($B53="","",VLOOKUP($B53,Jogos!$A$2:$K$105,10,FALSE))</f>
        <v/>
      </c>
      <c r="E53" s="5" t="inlineStr"/>
      <c r="F53" s="5" t="inlineStr"/>
      <c r="G53" s="8">
        <f>IF($B53="","",VLOOKUP($B53,Jogos!$A$2:$K$105,9,FALSE))</f>
        <v/>
      </c>
      <c r="H53" s="8">
        <f>IF($B53="","",VLOOKUP($B53,Jogos!$A$2:$K$105,11,FALSE))</f>
        <v/>
      </c>
      <c r="I53" s="5">
        <f>IF(OR($A53="", $B53="", $E53="", $F53="", $G53="", $H53=""), "",IF(AND($E53=$G53, $F53=$H53), 3, IF(SIGN($E53-$F53)=SIGN($G53-$H53), 1, 0))))</f>
        <v/>
      </c>
    </row>
    <row r="54">
      <c r="A54" s="5" t="inlineStr"/>
      <c r="B54" s="5" t="inlineStr"/>
      <c r="C54" s="5">
        <f>IF($B54="","",VLOOKUP($B54,Jogos!$A$2:$K$105,8,FALSE))</f>
        <v/>
      </c>
      <c r="D54" s="5">
        <f>IF($B54="","",VLOOKUP($B54,Jogos!$A$2:$K$105,10,FALSE))</f>
        <v/>
      </c>
      <c r="E54" s="5" t="inlineStr"/>
      <c r="F54" s="5" t="inlineStr"/>
      <c r="G54" s="8">
        <f>IF($B54="","",VLOOKUP($B54,Jogos!$A$2:$K$105,9,FALSE))</f>
        <v/>
      </c>
      <c r="H54" s="8">
        <f>IF($B54="","",VLOOKUP($B54,Jogos!$A$2:$K$105,11,FALSE))</f>
        <v/>
      </c>
      <c r="I54" s="5">
        <f>IF(OR($A54="", $B54="", $E54="", $F54="", $G54="", $H54=""), "",IF(AND($E54=$G54, $F54=$H54), 3, IF(SIGN($E54-$F54)=SIGN($G54-$H54), 1, 0))))</f>
        <v/>
      </c>
    </row>
    <row r="55">
      <c r="A55" s="5" t="inlineStr"/>
      <c r="B55" s="5" t="inlineStr"/>
      <c r="C55" s="5">
        <f>IF($B55="","",VLOOKUP($B55,Jogos!$A$2:$K$105,8,FALSE))</f>
        <v/>
      </c>
      <c r="D55" s="5">
        <f>IF($B55="","",VLOOKUP($B55,Jogos!$A$2:$K$105,10,FALSE))</f>
        <v/>
      </c>
      <c r="E55" s="5" t="inlineStr"/>
      <c r="F55" s="5" t="inlineStr"/>
      <c r="G55" s="8">
        <f>IF($B55="","",VLOOKUP($B55,Jogos!$A$2:$K$105,9,FALSE))</f>
        <v/>
      </c>
      <c r="H55" s="8">
        <f>IF($B55="","",VLOOKUP($B55,Jogos!$A$2:$K$105,11,FALSE))</f>
        <v/>
      </c>
      <c r="I55" s="5">
        <f>IF(OR($A55="", $B55="", $E55="", $F55="", $G55="", $H55=""), "",IF(AND($E55=$G55, $F55=$H55), 3, IF(SIGN($E55-$F55)=SIGN($G55-$H55), 1, 0))))</f>
        <v/>
      </c>
    </row>
    <row r="56">
      <c r="A56" s="5" t="inlineStr"/>
      <c r="B56" s="5" t="inlineStr"/>
      <c r="C56" s="5">
        <f>IF($B56="","",VLOOKUP($B56,Jogos!$A$2:$K$105,8,FALSE))</f>
        <v/>
      </c>
      <c r="D56" s="5">
        <f>IF($B56="","",VLOOKUP($B56,Jogos!$A$2:$K$105,10,FALSE))</f>
        <v/>
      </c>
      <c r="E56" s="5" t="inlineStr"/>
      <c r="F56" s="5" t="inlineStr"/>
      <c r="G56" s="8">
        <f>IF($B56="","",VLOOKUP($B56,Jogos!$A$2:$K$105,9,FALSE))</f>
        <v/>
      </c>
      <c r="H56" s="8">
        <f>IF($B56="","",VLOOKUP($B56,Jogos!$A$2:$K$105,11,FALSE))</f>
        <v/>
      </c>
      <c r="I56" s="5">
        <f>IF(OR($A56="", $B56="", $E56="", $F56="", $G56="", $H56=""), "",IF(AND($E56=$G56, $F56=$H56), 3, IF(SIGN($E56-$F56)=SIGN($G56-$H56), 1, 0))))</f>
        <v/>
      </c>
    </row>
    <row r="57">
      <c r="A57" s="5" t="inlineStr"/>
      <c r="B57" s="5" t="inlineStr"/>
      <c r="C57" s="5">
        <f>IF($B57="","",VLOOKUP($B57,Jogos!$A$2:$K$105,8,FALSE))</f>
        <v/>
      </c>
      <c r="D57" s="5">
        <f>IF($B57="","",VLOOKUP($B57,Jogos!$A$2:$K$105,10,FALSE))</f>
        <v/>
      </c>
      <c r="E57" s="5" t="inlineStr"/>
      <c r="F57" s="5" t="inlineStr"/>
      <c r="G57" s="8">
        <f>IF($B57="","",VLOOKUP($B57,Jogos!$A$2:$K$105,9,FALSE))</f>
        <v/>
      </c>
      <c r="H57" s="8">
        <f>IF($B57="","",VLOOKUP($B57,Jogos!$A$2:$K$105,11,FALSE))</f>
        <v/>
      </c>
      <c r="I57" s="5">
        <f>IF(OR($A57="", $B57="", $E57="", $F57="", $G57="", $H57=""), "",IF(AND($E57=$G57, $F57=$H57), 3, IF(SIGN($E57-$F57)=SIGN($G57-$H57), 1, 0))))</f>
        <v/>
      </c>
    </row>
    <row r="58">
      <c r="A58" s="5" t="inlineStr"/>
      <c r="B58" s="5" t="inlineStr"/>
      <c r="C58" s="5">
        <f>IF($B58="","",VLOOKUP($B58,Jogos!$A$2:$K$105,8,FALSE))</f>
        <v/>
      </c>
      <c r="D58" s="5">
        <f>IF($B58="","",VLOOKUP($B58,Jogos!$A$2:$K$105,10,FALSE))</f>
        <v/>
      </c>
      <c r="E58" s="5" t="inlineStr"/>
      <c r="F58" s="5" t="inlineStr"/>
      <c r="G58" s="8">
        <f>IF($B58="","",VLOOKUP($B58,Jogos!$A$2:$K$105,9,FALSE))</f>
        <v/>
      </c>
      <c r="H58" s="8">
        <f>IF($B58="","",VLOOKUP($B58,Jogos!$A$2:$K$105,11,FALSE))</f>
        <v/>
      </c>
      <c r="I58" s="5">
        <f>IF(OR($A58="", $B58="", $E58="", $F58="", $G58="", $H58=""), "",IF(AND($E58=$G58, $F58=$H58), 3, IF(SIGN($E58-$F58)=SIGN($G58-$H58), 1, 0))))</f>
        <v/>
      </c>
    </row>
    <row r="59">
      <c r="A59" s="5" t="inlineStr"/>
      <c r="B59" s="5" t="inlineStr"/>
      <c r="C59" s="5">
        <f>IF($B59="","",VLOOKUP($B59,Jogos!$A$2:$K$105,8,FALSE))</f>
        <v/>
      </c>
      <c r="D59" s="5">
        <f>IF($B59="","",VLOOKUP($B59,Jogos!$A$2:$K$105,10,FALSE))</f>
        <v/>
      </c>
      <c r="E59" s="5" t="inlineStr"/>
      <c r="F59" s="5" t="inlineStr"/>
      <c r="G59" s="8">
        <f>IF($B59="","",VLOOKUP($B59,Jogos!$A$2:$K$105,9,FALSE))</f>
        <v/>
      </c>
      <c r="H59" s="8">
        <f>IF($B59="","",VLOOKUP($B59,Jogos!$A$2:$K$105,11,FALSE))</f>
        <v/>
      </c>
      <c r="I59" s="5">
        <f>IF(OR($A59="", $B59="", $E59="", $F59="", $G59="", $H59=""), "",IF(AND($E59=$G59, $F59=$H59), 3, IF(SIGN($E59-$F59)=SIGN($G59-$H59), 1, 0))))</f>
        <v/>
      </c>
    </row>
    <row r="60">
      <c r="A60" s="5" t="inlineStr"/>
      <c r="B60" s="5" t="inlineStr"/>
      <c r="C60" s="5">
        <f>IF($B60="","",VLOOKUP($B60,Jogos!$A$2:$K$105,8,FALSE))</f>
        <v/>
      </c>
      <c r="D60" s="5">
        <f>IF($B60="","",VLOOKUP($B60,Jogos!$A$2:$K$105,10,FALSE))</f>
        <v/>
      </c>
      <c r="E60" s="5" t="inlineStr"/>
      <c r="F60" s="5" t="inlineStr"/>
      <c r="G60" s="8">
        <f>IF($B60="","",VLOOKUP($B60,Jogos!$A$2:$K$105,9,FALSE))</f>
        <v/>
      </c>
      <c r="H60" s="8">
        <f>IF($B60="","",VLOOKUP($B60,Jogos!$A$2:$K$105,11,FALSE))</f>
        <v/>
      </c>
      <c r="I60" s="5">
        <f>IF(OR($A60="", $B60="", $E60="", $F60="", $G60="", $H60=""), "",IF(AND($E60=$G60, $F60=$H60), 3, IF(SIGN($E60-$F60)=SIGN($G60-$H60), 1, 0))))</f>
        <v/>
      </c>
    </row>
    <row r="61">
      <c r="A61" s="5" t="inlineStr"/>
      <c r="B61" s="5" t="inlineStr"/>
      <c r="C61" s="5">
        <f>IF($B61="","",VLOOKUP($B61,Jogos!$A$2:$K$105,8,FALSE))</f>
        <v/>
      </c>
      <c r="D61" s="5">
        <f>IF($B61="","",VLOOKUP($B61,Jogos!$A$2:$K$105,10,FALSE))</f>
        <v/>
      </c>
      <c r="E61" s="5" t="inlineStr"/>
      <c r="F61" s="5" t="inlineStr"/>
      <c r="G61" s="8">
        <f>IF($B61="","",VLOOKUP($B61,Jogos!$A$2:$K$105,9,FALSE))</f>
        <v/>
      </c>
      <c r="H61" s="8">
        <f>IF($B61="","",VLOOKUP($B61,Jogos!$A$2:$K$105,11,FALSE))</f>
        <v/>
      </c>
      <c r="I61" s="5">
        <f>IF(OR($A61="", $B61="", $E61="", $F61="", $G61="", $H61=""), "",IF(AND($E61=$G61, $F61=$H61), 3, IF(SIGN($E61-$F61)=SIGN($G61-$H61), 1, 0))))</f>
        <v/>
      </c>
    </row>
    <row r="62">
      <c r="A62" s="5" t="inlineStr"/>
      <c r="B62" s="5" t="inlineStr"/>
      <c r="C62" s="5">
        <f>IF($B62="","",VLOOKUP($B62,Jogos!$A$2:$K$105,8,FALSE))</f>
        <v/>
      </c>
      <c r="D62" s="5">
        <f>IF($B62="","",VLOOKUP($B62,Jogos!$A$2:$K$105,10,FALSE))</f>
        <v/>
      </c>
      <c r="E62" s="5" t="inlineStr"/>
      <c r="F62" s="5" t="inlineStr"/>
      <c r="G62" s="8">
        <f>IF($B62="","",VLOOKUP($B62,Jogos!$A$2:$K$105,9,FALSE))</f>
        <v/>
      </c>
      <c r="H62" s="8">
        <f>IF($B62="","",VLOOKUP($B62,Jogos!$A$2:$K$105,11,FALSE))</f>
        <v/>
      </c>
      <c r="I62" s="5">
        <f>IF(OR($A62="", $B62="", $E62="", $F62="", $G62="", $H62=""), "",IF(AND($E62=$G62, $F62=$H62), 3, IF(SIGN($E62-$F62)=SIGN($G62-$H62), 1, 0))))</f>
        <v/>
      </c>
    </row>
    <row r="63">
      <c r="A63" s="5" t="inlineStr"/>
      <c r="B63" s="5" t="inlineStr"/>
      <c r="C63" s="5">
        <f>IF($B63="","",VLOOKUP($B63,Jogos!$A$2:$K$105,8,FALSE))</f>
        <v/>
      </c>
      <c r="D63" s="5">
        <f>IF($B63="","",VLOOKUP($B63,Jogos!$A$2:$K$105,10,FALSE))</f>
        <v/>
      </c>
      <c r="E63" s="5" t="inlineStr"/>
      <c r="F63" s="5" t="inlineStr"/>
      <c r="G63" s="8">
        <f>IF($B63="","",VLOOKUP($B63,Jogos!$A$2:$K$105,9,FALSE))</f>
        <v/>
      </c>
      <c r="H63" s="8">
        <f>IF($B63="","",VLOOKUP($B63,Jogos!$A$2:$K$105,11,FALSE))</f>
        <v/>
      </c>
      <c r="I63" s="5">
        <f>IF(OR($A63="", $B63="", $E63="", $F63="", $G63="", $H63=""), "",IF(AND($E63=$G63, $F63=$H63), 3, IF(SIGN($E63-$F63)=SIGN($G63-$H63), 1, 0))))</f>
        <v/>
      </c>
    </row>
    <row r="64">
      <c r="A64" s="5" t="inlineStr"/>
      <c r="B64" s="5" t="inlineStr"/>
      <c r="C64" s="5">
        <f>IF($B64="","",VLOOKUP($B64,Jogos!$A$2:$K$105,8,FALSE))</f>
        <v/>
      </c>
      <c r="D64" s="5">
        <f>IF($B64="","",VLOOKUP($B64,Jogos!$A$2:$K$105,10,FALSE))</f>
        <v/>
      </c>
      <c r="E64" s="5" t="inlineStr"/>
      <c r="F64" s="5" t="inlineStr"/>
      <c r="G64" s="8">
        <f>IF($B64="","",VLOOKUP($B64,Jogos!$A$2:$K$105,9,FALSE))</f>
        <v/>
      </c>
      <c r="H64" s="8">
        <f>IF($B64="","",VLOOKUP($B64,Jogos!$A$2:$K$105,11,FALSE))</f>
        <v/>
      </c>
      <c r="I64" s="5">
        <f>IF(OR($A64="", $B64="", $E64="", $F64="", $G64="", $H64=""), "",IF(AND($E64=$G64, $F64=$H64), 3, IF(SIGN($E64-$F64)=SIGN($G64-$H64), 1, 0))))</f>
        <v/>
      </c>
    </row>
    <row r="65">
      <c r="A65" s="5" t="inlineStr"/>
      <c r="B65" s="5" t="inlineStr"/>
      <c r="C65" s="5">
        <f>IF($B65="","",VLOOKUP($B65,Jogos!$A$2:$K$105,8,FALSE))</f>
        <v/>
      </c>
      <c r="D65" s="5">
        <f>IF($B65="","",VLOOKUP($B65,Jogos!$A$2:$K$105,10,FALSE))</f>
        <v/>
      </c>
      <c r="E65" s="5" t="inlineStr"/>
      <c r="F65" s="5" t="inlineStr"/>
      <c r="G65" s="8">
        <f>IF($B65="","",VLOOKUP($B65,Jogos!$A$2:$K$105,9,FALSE))</f>
        <v/>
      </c>
      <c r="H65" s="8">
        <f>IF($B65="","",VLOOKUP($B65,Jogos!$A$2:$K$105,11,FALSE))</f>
        <v/>
      </c>
      <c r="I65" s="5">
        <f>IF(OR($A65="", $B65="", $E65="", $F65="", $G65="", $H65=""), "",IF(AND($E65=$G65, $F65=$H65), 3, IF(SIGN($E65-$F65)=SIGN($G65-$H65), 1, 0))))</f>
        <v/>
      </c>
    </row>
    <row r="66">
      <c r="A66" s="5" t="inlineStr"/>
      <c r="B66" s="5" t="inlineStr"/>
      <c r="C66" s="5">
        <f>IF($B66="","",VLOOKUP($B66,Jogos!$A$2:$K$105,8,FALSE))</f>
        <v/>
      </c>
      <c r="D66" s="5">
        <f>IF($B66="","",VLOOKUP($B66,Jogos!$A$2:$K$105,10,FALSE))</f>
        <v/>
      </c>
      <c r="E66" s="5" t="inlineStr"/>
      <c r="F66" s="5" t="inlineStr"/>
      <c r="G66" s="8">
        <f>IF($B66="","",VLOOKUP($B66,Jogos!$A$2:$K$105,9,FALSE))</f>
        <v/>
      </c>
      <c r="H66" s="8">
        <f>IF($B66="","",VLOOKUP($B66,Jogos!$A$2:$K$105,11,FALSE))</f>
        <v/>
      </c>
      <c r="I66" s="5">
        <f>IF(OR($A66="", $B66="", $E66="", $F66="", $G66="", $H66=""), "",IF(AND($E66=$G66, $F66=$H66), 3, IF(SIGN($E66-$F66)=SIGN($G66-$H66), 1, 0))))</f>
        <v/>
      </c>
    </row>
    <row r="67">
      <c r="A67" s="5" t="inlineStr"/>
      <c r="B67" s="5" t="inlineStr"/>
      <c r="C67" s="5">
        <f>IF($B67="","",VLOOKUP($B67,Jogos!$A$2:$K$105,8,FALSE))</f>
        <v/>
      </c>
      <c r="D67" s="5">
        <f>IF($B67="","",VLOOKUP($B67,Jogos!$A$2:$K$105,10,FALSE))</f>
        <v/>
      </c>
      <c r="E67" s="5" t="inlineStr"/>
      <c r="F67" s="5" t="inlineStr"/>
      <c r="G67" s="8">
        <f>IF($B67="","",VLOOKUP($B67,Jogos!$A$2:$K$105,9,FALSE))</f>
        <v/>
      </c>
      <c r="H67" s="8">
        <f>IF($B67="","",VLOOKUP($B67,Jogos!$A$2:$K$105,11,FALSE))</f>
        <v/>
      </c>
      <c r="I67" s="5">
        <f>IF(OR($A67="", $B67="", $E67="", $F67="", $G67="", $H67=""), "",IF(AND($E67=$G67, $F67=$H67), 3, IF(SIGN($E67-$F67)=SIGN($G67-$H67), 1, 0))))</f>
        <v/>
      </c>
    </row>
    <row r="68">
      <c r="A68" s="5" t="inlineStr"/>
      <c r="B68" s="5" t="inlineStr"/>
      <c r="C68" s="5">
        <f>IF($B68="","",VLOOKUP($B68,Jogos!$A$2:$K$105,8,FALSE))</f>
        <v/>
      </c>
      <c r="D68" s="5">
        <f>IF($B68="","",VLOOKUP($B68,Jogos!$A$2:$K$105,10,FALSE))</f>
        <v/>
      </c>
      <c r="E68" s="5" t="inlineStr"/>
      <c r="F68" s="5" t="inlineStr"/>
      <c r="G68" s="8">
        <f>IF($B68="","",VLOOKUP($B68,Jogos!$A$2:$K$105,9,FALSE))</f>
        <v/>
      </c>
      <c r="H68" s="8">
        <f>IF($B68="","",VLOOKUP($B68,Jogos!$A$2:$K$105,11,FALSE))</f>
        <v/>
      </c>
      <c r="I68" s="5">
        <f>IF(OR($A68="", $B68="", $E68="", $F68="", $G68="", $H68=""), "",IF(AND($E68=$G68, $F68=$H68), 3, IF(SIGN($E68-$F68)=SIGN($G68-$H68), 1, 0))))</f>
        <v/>
      </c>
    </row>
    <row r="69">
      <c r="A69" s="5" t="inlineStr"/>
      <c r="B69" s="5" t="inlineStr"/>
      <c r="C69" s="5">
        <f>IF($B69="","",VLOOKUP($B69,Jogos!$A$2:$K$105,8,FALSE))</f>
        <v/>
      </c>
      <c r="D69" s="5">
        <f>IF($B69="","",VLOOKUP($B69,Jogos!$A$2:$K$105,10,FALSE))</f>
        <v/>
      </c>
      <c r="E69" s="5" t="inlineStr"/>
      <c r="F69" s="5" t="inlineStr"/>
      <c r="G69" s="8">
        <f>IF($B69="","",VLOOKUP($B69,Jogos!$A$2:$K$105,9,FALSE))</f>
        <v/>
      </c>
      <c r="H69" s="8">
        <f>IF($B69="","",VLOOKUP($B69,Jogos!$A$2:$K$105,11,FALSE))</f>
        <v/>
      </c>
      <c r="I69" s="5">
        <f>IF(OR($A69="", $B69="", $E69="", $F69="", $G69="", $H69=""), "",IF(AND($E69=$G69, $F69=$H69), 3, IF(SIGN($E69-$F69)=SIGN($G69-$H69), 1, 0))))</f>
        <v/>
      </c>
    </row>
    <row r="70">
      <c r="A70" s="5" t="inlineStr"/>
      <c r="B70" s="5" t="inlineStr"/>
      <c r="C70" s="5">
        <f>IF($B70="","",VLOOKUP($B70,Jogos!$A$2:$K$105,8,FALSE))</f>
        <v/>
      </c>
      <c r="D70" s="5">
        <f>IF($B70="","",VLOOKUP($B70,Jogos!$A$2:$K$105,10,FALSE))</f>
        <v/>
      </c>
      <c r="E70" s="5" t="inlineStr"/>
      <c r="F70" s="5" t="inlineStr"/>
      <c r="G70" s="8">
        <f>IF($B70="","",VLOOKUP($B70,Jogos!$A$2:$K$105,9,FALSE))</f>
        <v/>
      </c>
      <c r="H70" s="8">
        <f>IF($B70="","",VLOOKUP($B70,Jogos!$A$2:$K$105,11,FALSE))</f>
        <v/>
      </c>
      <c r="I70" s="5">
        <f>IF(OR($A70="", $B70="", $E70="", $F70="", $G70="", $H70=""), "",IF(AND($E70=$G70, $F70=$H70), 3, IF(SIGN($E70-$F70)=SIGN($G70-$H70), 1, 0))))</f>
        <v/>
      </c>
    </row>
    <row r="71">
      <c r="A71" s="5" t="inlineStr"/>
      <c r="B71" s="5" t="inlineStr"/>
      <c r="C71" s="5">
        <f>IF($B71="","",VLOOKUP($B71,Jogos!$A$2:$K$105,8,FALSE))</f>
        <v/>
      </c>
      <c r="D71" s="5">
        <f>IF($B71="","",VLOOKUP($B71,Jogos!$A$2:$K$105,10,FALSE))</f>
        <v/>
      </c>
      <c r="E71" s="5" t="inlineStr"/>
      <c r="F71" s="5" t="inlineStr"/>
      <c r="G71" s="8">
        <f>IF($B71="","",VLOOKUP($B71,Jogos!$A$2:$K$105,9,FALSE))</f>
        <v/>
      </c>
      <c r="H71" s="8">
        <f>IF($B71="","",VLOOKUP($B71,Jogos!$A$2:$K$105,11,FALSE))</f>
        <v/>
      </c>
      <c r="I71" s="5">
        <f>IF(OR($A71="", $B71="", $E71="", $F71="", $G71="", $H71=""), "",IF(AND($E71=$G71, $F71=$H71), 3, IF(SIGN($E71-$F71)=SIGN($G71-$H71), 1, 0))))</f>
        <v/>
      </c>
    </row>
    <row r="72">
      <c r="A72" s="5" t="inlineStr"/>
      <c r="B72" s="5" t="inlineStr"/>
      <c r="C72" s="5">
        <f>IF($B72="","",VLOOKUP($B72,Jogos!$A$2:$K$105,8,FALSE))</f>
        <v/>
      </c>
      <c r="D72" s="5">
        <f>IF($B72="","",VLOOKUP($B72,Jogos!$A$2:$K$105,10,FALSE))</f>
        <v/>
      </c>
      <c r="E72" s="5" t="inlineStr"/>
      <c r="F72" s="5" t="inlineStr"/>
      <c r="G72" s="8">
        <f>IF($B72="","",VLOOKUP($B72,Jogos!$A$2:$K$105,9,FALSE))</f>
        <v/>
      </c>
      <c r="H72" s="8">
        <f>IF($B72="","",VLOOKUP($B72,Jogos!$A$2:$K$105,11,FALSE))</f>
        <v/>
      </c>
      <c r="I72" s="5">
        <f>IF(OR($A72="", $B72="", $E72="", $F72="", $G72="", $H72=""), "",IF(AND($E72=$G72, $F72=$H72), 3, IF(SIGN($E72-$F72)=SIGN($G72-$H72), 1, 0))))</f>
        <v/>
      </c>
    </row>
    <row r="73">
      <c r="A73" s="5" t="inlineStr"/>
      <c r="B73" s="5" t="inlineStr"/>
      <c r="C73" s="5">
        <f>IF($B73="","",VLOOKUP($B73,Jogos!$A$2:$K$105,8,FALSE))</f>
        <v/>
      </c>
      <c r="D73" s="5">
        <f>IF($B73="","",VLOOKUP($B73,Jogos!$A$2:$K$105,10,FALSE))</f>
        <v/>
      </c>
      <c r="E73" s="5" t="inlineStr"/>
      <c r="F73" s="5" t="inlineStr"/>
      <c r="G73" s="8">
        <f>IF($B73="","",VLOOKUP($B73,Jogos!$A$2:$K$105,9,FALSE))</f>
        <v/>
      </c>
      <c r="H73" s="8">
        <f>IF($B73="","",VLOOKUP($B73,Jogos!$A$2:$K$105,11,FALSE))</f>
        <v/>
      </c>
      <c r="I73" s="5">
        <f>IF(OR($A73="", $B73="", $E73="", $F73="", $G73="", $H73=""), "",IF(AND($E73=$G73, $F73=$H73), 3, IF(SIGN($E73-$F73)=SIGN($G73-$H73), 1, 0))))</f>
        <v/>
      </c>
    </row>
    <row r="74">
      <c r="A74" s="5" t="inlineStr"/>
      <c r="B74" s="5" t="inlineStr"/>
      <c r="C74" s="5">
        <f>IF($B74="","",VLOOKUP($B74,Jogos!$A$2:$K$105,8,FALSE))</f>
        <v/>
      </c>
      <c r="D74" s="5">
        <f>IF($B74="","",VLOOKUP($B74,Jogos!$A$2:$K$105,10,FALSE))</f>
        <v/>
      </c>
      <c r="E74" s="5" t="inlineStr"/>
      <c r="F74" s="5" t="inlineStr"/>
      <c r="G74" s="8">
        <f>IF($B74="","",VLOOKUP($B74,Jogos!$A$2:$K$105,9,FALSE))</f>
        <v/>
      </c>
      <c r="H74" s="8">
        <f>IF($B74="","",VLOOKUP($B74,Jogos!$A$2:$K$105,11,FALSE))</f>
        <v/>
      </c>
      <c r="I74" s="5">
        <f>IF(OR($A74="", $B74="", $E74="", $F74="", $G74="", $H74=""), "",IF(AND($E74=$G74, $F74=$H74), 3, IF(SIGN($E74-$F74)=SIGN($G74-$H74), 1, 0))))</f>
        <v/>
      </c>
    </row>
    <row r="75">
      <c r="A75" s="5" t="inlineStr"/>
      <c r="B75" s="5" t="inlineStr"/>
      <c r="C75" s="5">
        <f>IF($B75="","",VLOOKUP($B75,Jogos!$A$2:$K$105,8,FALSE))</f>
        <v/>
      </c>
      <c r="D75" s="5">
        <f>IF($B75="","",VLOOKUP($B75,Jogos!$A$2:$K$105,10,FALSE))</f>
        <v/>
      </c>
      <c r="E75" s="5" t="inlineStr"/>
      <c r="F75" s="5" t="inlineStr"/>
      <c r="G75" s="8">
        <f>IF($B75="","",VLOOKUP($B75,Jogos!$A$2:$K$105,9,FALSE))</f>
        <v/>
      </c>
      <c r="H75" s="8">
        <f>IF($B75="","",VLOOKUP($B75,Jogos!$A$2:$K$105,11,FALSE))</f>
        <v/>
      </c>
      <c r="I75" s="5">
        <f>IF(OR($A75="", $B75="", $E75="", $F75="", $G75="", $H75=""), "",IF(AND($E75=$G75, $F75=$H75), 3, IF(SIGN($E75-$F75)=SIGN($G75-$H75), 1, 0))))</f>
        <v/>
      </c>
    </row>
    <row r="76">
      <c r="A76" s="5" t="inlineStr"/>
      <c r="B76" s="5" t="inlineStr"/>
      <c r="C76" s="5">
        <f>IF($B76="","",VLOOKUP($B76,Jogos!$A$2:$K$105,8,FALSE))</f>
        <v/>
      </c>
      <c r="D76" s="5">
        <f>IF($B76="","",VLOOKUP($B76,Jogos!$A$2:$K$105,10,FALSE))</f>
        <v/>
      </c>
      <c r="E76" s="5" t="inlineStr"/>
      <c r="F76" s="5" t="inlineStr"/>
      <c r="G76" s="8">
        <f>IF($B76="","",VLOOKUP($B76,Jogos!$A$2:$K$105,9,FALSE))</f>
        <v/>
      </c>
      <c r="H76" s="8">
        <f>IF($B76="","",VLOOKUP($B76,Jogos!$A$2:$K$105,11,FALSE))</f>
        <v/>
      </c>
      <c r="I76" s="5">
        <f>IF(OR($A76="", $B76="", $E76="", $F76="", $G76="", $H76=""), "",IF(AND($E76=$G76, $F76=$H76), 3, IF(SIGN($E76-$F76)=SIGN($G76-$H76), 1, 0))))</f>
        <v/>
      </c>
    </row>
    <row r="77">
      <c r="A77" s="5" t="inlineStr"/>
      <c r="B77" s="5" t="inlineStr"/>
      <c r="C77" s="5">
        <f>IF($B77="","",VLOOKUP($B77,Jogos!$A$2:$K$105,8,FALSE))</f>
        <v/>
      </c>
      <c r="D77" s="5">
        <f>IF($B77="","",VLOOKUP($B77,Jogos!$A$2:$K$105,10,FALSE))</f>
        <v/>
      </c>
      <c r="E77" s="5" t="inlineStr"/>
      <c r="F77" s="5" t="inlineStr"/>
      <c r="G77" s="8">
        <f>IF($B77="","",VLOOKUP($B77,Jogos!$A$2:$K$105,9,FALSE))</f>
        <v/>
      </c>
      <c r="H77" s="8">
        <f>IF($B77="","",VLOOKUP($B77,Jogos!$A$2:$K$105,11,FALSE))</f>
        <v/>
      </c>
      <c r="I77" s="5">
        <f>IF(OR($A77="", $B77="", $E77="", $F77="", $G77="", $H77=""), "",IF(AND($E77=$G77, $F77=$H77), 3, IF(SIGN($E77-$F77)=SIGN($G77-$H77), 1, 0))))</f>
        <v/>
      </c>
    </row>
    <row r="78">
      <c r="A78" s="5" t="inlineStr"/>
      <c r="B78" s="5" t="inlineStr"/>
      <c r="C78" s="5">
        <f>IF($B78="","",VLOOKUP($B78,Jogos!$A$2:$K$105,8,FALSE))</f>
        <v/>
      </c>
      <c r="D78" s="5">
        <f>IF($B78="","",VLOOKUP($B78,Jogos!$A$2:$K$105,10,FALSE))</f>
        <v/>
      </c>
      <c r="E78" s="5" t="inlineStr"/>
      <c r="F78" s="5" t="inlineStr"/>
      <c r="G78" s="8">
        <f>IF($B78="","",VLOOKUP($B78,Jogos!$A$2:$K$105,9,FALSE))</f>
        <v/>
      </c>
      <c r="H78" s="8">
        <f>IF($B78="","",VLOOKUP($B78,Jogos!$A$2:$K$105,11,FALSE))</f>
        <v/>
      </c>
      <c r="I78" s="5">
        <f>IF(OR($A78="", $B78="", $E78="", $F78="", $G78="", $H78=""), "",IF(AND($E78=$G78, $F78=$H78), 3, IF(SIGN($E78-$F78)=SIGN($G78-$H78), 1, 0))))</f>
        <v/>
      </c>
    </row>
    <row r="79">
      <c r="A79" s="5" t="inlineStr"/>
      <c r="B79" s="5" t="inlineStr"/>
      <c r="C79" s="5">
        <f>IF($B79="","",VLOOKUP($B79,Jogos!$A$2:$K$105,8,FALSE))</f>
        <v/>
      </c>
      <c r="D79" s="5">
        <f>IF($B79="","",VLOOKUP($B79,Jogos!$A$2:$K$105,10,FALSE))</f>
        <v/>
      </c>
      <c r="E79" s="5" t="inlineStr"/>
      <c r="F79" s="5" t="inlineStr"/>
      <c r="G79" s="8">
        <f>IF($B79="","",VLOOKUP($B79,Jogos!$A$2:$K$105,9,FALSE))</f>
        <v/>
      </c>
      <c r="H79" s="8">
        <f>IF($B79="","",VLOOKUP($B79,Jogos!$A$2:$K$105,11,FALSE))</f>
        <v/>
      </c>
      <c r="I79" s="5">
        <f>IF(OR($A79="", $B79="", $E79="", $F79="", $G79="", $H79=""), "",IF(AND($E79=$G79, $F79=$H79), 3, IF(SIGN($E79-$F79)=SIGN($G79-$H79), 1, 0))))</f>
        <v/>
      </c>
    </row>
    <row r="80">
      <c r="A80" s="5" t="inlineStr"/>
      <c r="B80" s="5" t="inlineStr"/>
      <c r="C80" s="5">
        <f>IF($B80="","",VLOOKUP($B80,Jogos!$A$2:$K$105,8,FALSE))</f>
        <v/>
      </c>
      <c r="D80" s="5">
        <f>IF($B80="","",VLOOKUP($B80,Jogos!$A$2:$K$105,10,FALSE))</f>
        <v/>
      </c>
      <c r="E80" s="5" t="inlineStr"/>
      <c r="F80" s="5" t="inlineStr"/>
      <c r="G80" s="8">
        <f>IF($B80="","",VLOOKUP($B80,Jogos!$A$2:$K$105,9,FALSE))</f>
        <v/>
      </c>
      <c r="H80" s="8">
        <f>IF($B80="","",VLOOKUP($B80,Jogos!$A$2:$K$105,11,FALSE))</f>
        <v/>
      </c>
      <c r="I80" s="5">
        <f>IF(OR($A80="", $B80="", $E80="", $F80="", $G80="", $H80=""), "",IF(AND($E80=$G80, $F80=$H80), 3, IF(SIGN($E80-$F80)=SIGN($G80-$H80), 1, 0))))</f>
        <v/>
      </c>
    </row>
    <row r="81">
      <c r="A81" s="5" t="inlineStr"/>
      <c r="B81" s="5" t="inlineStr"/>
      <c r="C81" s="5">
        <f>IF($B81="","",VLOOKUP($B81,Jogos!$A$2:$K$105,8,FALSE))</f>
        <v/>
      </c>
      <c r="D81" s="5">
        <f>IF($B81="","",VLOOKUP($B81,Jogos!$A$2:$K$105,10,FALSE))</f>
        <v/>
      </c>
      <c r="E81" s="5" t="inlineStr"/>
      <c r="F81" s="5" t="inlineStr"/>
      <c r="G81" s="8">
        <f>IF($B81="","",VLOOKUP($B81,Jogos!$A$2:$K$105,9,FALSE))</f>
        <v/>
      </c>
      <c r="H81" s="8">
        <f>IF($B81="","",VLOOKUP($B81,Jogos!$A$2:$K$105,11,FALSE))</f>
        <v/>
      </c>
      <c r="I81" s="5">
        <f>IF(OR($A81="", $B81="", $E81="", $F81="", $G81="", $H81=""), "",IF(AND($E81=$G81, $F81=$H81), 3, IF(SIGN($E81-$F81)=SIGN($G81-$H81), 1, 0))))</f>
        <v/>
      </c>
    </row>
    <row r="82">
      <c r="A82" s="5" t="inlineStr"/>
      <c r="B82" s="5" t="inlineStr"/>
      <c r="C82" s="5">
        <f>IF($B82="","",VLOOKUP($B82,Jogos!$A$2:$K$105,8,FALSE))</f>
        <v/>
      </c>
      <c r="D82" s="5">
        <f>IF($B82="","",VLOOKUP($B82,Jogos!$A$2:$K$105,10,FALSE))</f>
        <v/>
      </c>
      <c r="E82" s="5" t="inlineStr"/>
      <c r="F82" s="5" t="inlineStr"/>
      <c r="G82" s="8">
        <f>IF($B82="","",VLOOKUP($B82,Jogos!$A$2:$K$105,9,FALSE))</f>
        <v/>
      </c>
      <c r="H82" s="8">
        <f>IF($B82="","",VLOOKUP($B82,Jogos!$A$2:$K$105,11,FALSE))</f>
        <v/>
      </c>
      <c r="I82" s="5">
        <f>IF(OR($A82="", $B82="", $E82="", $F82="", $G82="", $H82=""), "",IF(AND($E82=$G82, $F82=$H82), 3, IF(SIGN($E82-$F82)=SIGN($G82-$H82), 1, 0))))</f>
        <v/>
      </c>
    </row>
    <row r="83">
      <c r="A83" s="5" t="inlineStr"/>
      <c r="B83" s="5" t="inlineStr"/>
      <c r="C83" s="5">
        <f>IF($B83="","",VLOOKUP($B83,Jogos!$A$2:$K$105,8,FALSE))</f>
        <v/>
      </c>
      <c r="D83" s="5">
        <f>IF($B83="","",VLOOKUP($B83,Jogos!$A$2:$K$105,10,FALSE))</f>
        <v/>
      </c>
      <c r="E83" s="5" t="inlineStr"/>
      <c r="F83" s="5" t="inlineStr"/>
      <c r="G83" s="8">
        <f>IF($B83="","",VLOOKUP($B83,Jogos!$A$2:$K$105,9,FALSE))</f>
        <v/>
      </c>
      <c r="H83" s="8">
        <f>IF($B83="","",VLOOKUP($B83,Jogos!$A$2:$K$105,11,FALSE))</f>
        <v/>
      </c>
      <c r="I83" s="5">
        <f>IF(OR($A83="", $B83="", $E83="", $F83="", $G83="", $H83=""), "",IF(AND($E83=$G83, $F83=$H83), 3, IF(SIGN($E83-$F83)=SIGN($G83-$H83), 1, 0))))</f>
        <v/>
      </c>
    </row>
    <row r="84">
      <c r="A84" s="5" t="inlineStr"/>
      <c r="B84" s="5" t="inlineStr"/>
      <c r="C84" s="5">
        <f>IF($B84="","",VLOOKUP($B84,Jogos!$A$2:$K$105,8,FALSE))</f>
        <v/>
      </c>
      <c r="D84" s="5">
        <f>IF($B84="","",VLOOKUP($B84,Jogos!$A$2:$K$105,10,FALSE))</f>
        <v/>
      </c>
      <c r="E84" s="5" t="inlineStr"/>
      <c r="F84" s="5" t="inlineStr"/>
      <c r="G84" s="8">
        <f>IF($B84="","",VLOOKUP($B84,Jogos!$A$2:$K$105,9,FALSE))</f>
        <v/>
      </c>
      <c r="H84" s="8">
        <f>IF($B84="","",VLOOKUP($B84,Jogos!$A$2:$K$105,11,FALSE))</f>
        <v/>
      </c>
      <c r="I84" s="5">
        <f>IF(OR($A84="", $B84="", $E84="", $F84="", $G84="", $H84=""), "",IF(AND($E84=$G84, $F84=$H84), 3, IF(SIGN($E84-$F84)=SIGN($G84-$H84), 1, 0))))</f>
        <v/>
      </c>
    </row>
    <row r="85">
      <c r="A85" s="5" t="inlineStr"/>
      <c r="B85" s="5" t="inlineStr"/>
      <c r="C85" s="5">
        <f>IF($B85="","",VLOOKUP($B85,Jogos!$A$2:$K$105,8,FALSE))</f>
        <v/>
      </c>
      <c r="D85" s="5">
        <f>IF($B85="","",VLOOKUP($B85,Jogos!$A$2:$K$105,10,FALSE))</f>
        <v/>
      </c>
      <c r="E85" s="5" t="inlineStr"/>
      <c r="F85" s="5" t="inlineStr"/>
      <c r="G85" s="8">
        <f>IF($B85="","",VLOOKUP($B85,Jogos!$A$2:$K$105,9,FALSE))</f>
        <v/>
      </c>
      <c r="H85" s="8">
        <f>IF($B85="","",VLOOKUP($B85,Jogos!$A$2:$K$105,11,FALSE))</f>
        <v/>
      </c>
      <c r="I85" s="5">
        <f>IF(OR($A85="", $B85="", $E85="", $F85="", $G85="", $H85=""), "",IF(AND($E85=$G85, $F85=$H85), 3, IF(SIGN($E85-$F85)=SIGN($G85-$H85), 1, 0))))</f>
        <v/>
      </c>
    </row>
    <row r="86">
      <c r="A86" s="5" t="inlineStr"/>
      <c r="B86" s="5" t="inlineStr"/>
      <c r="C86" s="5">
        <f>IF($B86="","",VLOOKUP($B86,Jogos!$A$2:$K$105,8,FALSE))</f>
        <v/>
      </c>
      <c r="D86" s="5">
        <f>IF($B86="","",VLOOKUP($B86,Jogos!$A$2:$K$105,10,FALSE))</f>
        <v/>
      </c>
      <c r="E86" s="5" t="inlineStr"/>
      <c r="F86" s="5" t="inlineStr"/>
      <c r="G86" s="8">
        <f>IF($B86="","",VLOOKUP($B86,Jogos!$A$2:$K$105,9,FALSE))</f>
        <v/>
      </c>
      <c r="H86" s="8">
        <f>IF($B86="","",VLOOKUP($B86,Jogos!$A$2:$K$105,11,FALSE))</f>
        <v/>
      </c>
      <c r="I86" s="5">
        <f>IF(OR($A86="", $B86="", $E86="", $F86="", $G86="", $H86=""), "",IF(AND($E86=$G86, $F86=$H86), 3, IF(SIGN($E86-$F86)=SIGN($G86-$H86), 1, 0))))</f>
        <v/>
      </c>
    </row>
    <row r="87">
      <c r="A87" s="5" t="inlineStr"/>
      <c r="B87" s="5" t="inlineStr"/>
      <c r="C87" s="5">
        <f>IF($B87="","",VLOOKUP($B87,Jogos!$A$2:$K$105,8,FALSE))</f>
        <v/>
      </c>
      <c r="D87" s="5">
        <f>IF($B87="","",VLOOKUP($B87,Jogos!$A$2:$K$105,10,FALSE))</f>
        <v/>
      </c>
      <c r="E87" s="5" t="inlineStr"/>
      <c r="F87" s="5" t="inlineStr"/>
      <c r="G87" s="8">
        <f>IF($B87="","",VLOOKUP($B87,Jogos!$A$2:$K$105,9,FALSE))</f>
        <v/>
      </c>
      <c r="H87" s="8">
        <f>IF($B87="","",VLOOKUP($B87,Jogos!$A$2:$K$105,11,FALSE))</f>
        <v/>
      </c>
      <c r="I87" s="5">
        <f>IF(OR($A87="", $B87="", $E87="", $F87="", $G87="", $H87=""), "",IF(AND($E87=$G87, $F87=$H87), 3, IF(SIGN($E87-$F87)=SIGN($G87-$H87), 1, 0))))</f>
        <v/>
      </c>
    </row>
    <row r="88">
      <c r="A88" s="5" t="inlineStr"/>
      <c r="B88" s="5" t="inlineStr"/>
      <c r="C88" s="5">
        <f>IF($B88="","",VLOOKUP($B88,Jogos!$A$2:$K$105,8,FALSE))</f>
        <v/>
      </c>
      <c r="D88" s="5">
        <f>IF($B88="","",VLOOKUP($B88,Jogos!$A$2:$K$105,10,FALSE))</f>
        <v/>
      </c>
      <c r="E88" s="5" t="inlineStr"/>
      <c r="F88" s="5" t="inlineStr"/>
      <c r="G88" s="8">
        <f>IF($B88="","",VLOOKUP($B88,Jogos!$A$2:$K$105,9,FALSE))</f>
        <v/>
      </c>
      <c r="H88" s="8">
        <f>IF($B88="","",VLOOKUP($B88,Jogos!$A$2:$K$105,11,FALSE))</f>
        <v/>
      </c>
      <c r="I88" s="5">
        <f>IF(OR($A88="", $B88="", $E88="", $F88="", $G88="", $H88=""), "",IF(AND($E88=$G88, $F88=$H88), 3, IF(SIGN($E88-$F88)=SIGN($G88-$H88), 1, 0))))</f>
        <v/>
      </c>
    </row>
    <row r="89">
      <c r="A89" s="5" t="inlineStr"/>
      <c r="B89" s="5" t="inlineStr"/>
      <c r="C89" s="5">
        <f>IF($B89="","",VLOOKUP($B89,Jogos!$A$2:$K$105,8,FALSE))</f>
        <v/>
      </c>
      <c r="D89" s="5">
        <f>IF($B89="","",VLOOKUP($B89,Jogos!$A$2:$K$105,10,FALSE))</f>
        <v/>
      </c>
      <c r="E89" s="5" t="inlineStr"/>
      <c r="F89" s="5" t="inlineStr"/>
      <c r="G89" s="8">
        <f>IF($B89="","",VLOOKUP($B89,Jogos!$A$2:$K$105,9,FALSE))</f>
        <v/>
      </c>
      <c r="H89" s="8">
        <f>IF($B89="","",VLOOKUP($B89,Jogos!$A$2:$K$105,11,FALSE))</f>
        <v/>
      </c>
      <c r="I89" s="5">
        <f>IF(OR($A89="", $B89="", $E89="", $F89="", $G89="", $H89=""), "",IF(AND($E89=$G89, $F89=$H89), 3, IF(SIGN($E89-$F89)=SIGN($G89-$H89), 1, 0))))</f>
        <v/>
      </c>
    </row>
    <row r="90">
      <c r="A90" s="5" t="inlineStr"/>
      <c r="B90" s="5" t="inlineStr"/>
      <c r="C90" s="5">
        <f>IF($B90="","",VLOOKUP($B90,Jogos!$A$2:$K$105,8,FALSE))</f>
        <v/>
      </c>
      <c r="D90" s="5">
        <f>IF($B90="","",VLOOKUP($B90,Jogos!$A$2:$K$105,10,FALSE))</f>
        <v/>
      </c>
      <c r="E90" s="5" t="inlineStr"/>
      <c r="F90" s="5" t="inlineStr"/>
      <c r="G90" s="8">
        <f>IF($B90="","",VLOOKUP($B90,Jogos!$A$2:$K$105,9,FALSE))</f>
        <v/>
      </c>
      <c r="H90" s="8">
        <f>IF($B90="","",VLOOKUP($B90,Jogos!$A$2:$K$105,11,FALSE))</f>
        <v/>
      </c>
      <c r="I90" s="5">
        <f>IF(OR($A90="", $B90="", $E90="", $F90="", $G90="", $H90=""), "",IF(AND($E90=$G90, $F90=$H90), 3, IF(SIGN($E90-$F90)=SIGN($G90-$H90), 1, 0))))</f>
        <v/>
      </c>
    </row>
    <row r="91">
      <c r="A91" s="5" t="inlineStr"/>
      <c r="B91" s="5" t="inlineStr"/>
      <c r="C91" s="5">
        <f>IF($B91="","",VLOOKUP($B91,Jogos!$A$2:$K$105,8,FALSE))</f>
        <v/>
      </c>
      <c r="D91" s="5">
        <f>IF($B91="","",VLOOKUP($B91,Jogos!$A$2:$K$105,10,FALSE))</f>
        <v/>
      </c>
      <c r="E91" s="5" t="inlineStr"/>
      <c r="F91" s="5" t="inlineStr"/>
      <c r="G91" s="8">
        <f>IF($B91="","",VLOOKUP($B91,Jogos!$A$2:$K$105,9,FALSE))</f>
        <v/>
      </c>
      <c r="H91" s="8">
        <f>IF($B91="","",VLOOKUP($B91,Jogos!$A$2:$K$105,11,FALSE))</f>
        <v/>
      </c>
      <c r="I91" s="5">
        <f>IF(OR($A91="", $B91="", $E91="", $F91="", $G91="", $H91=""), "",IF(AND($E91=$G91, $F91=$H91), 3, IF(SIGN($E91-$F91)=SIGN($G91-$H91), 1, 0))))</f>
        <v/>
      </c>
    </row>
    <row r="92">
      <c r="A92" s="5" t="inlineStr"/>
      <c r="B92" s="5" t="inlineStr"/>
      <c r="C92" s="5">
        <f>IF($B92="","",VLOOKUP($B92,Jogos!$A$2:$K$105,8,FALSE))</f>
        <v/>
      </c>
      <c r="D92" s="5">
        <f>IF($B92="","",VLOOKUP($B92,Jogos!$A$2:$K$105,10,FALSE))</f>
        <v/>
      </c>
      <c r="E92" s="5" t="inlineStr"/>
      <c r="F92" s="5" t="inlineStr"/>
      <c r="G92" s="8">
        <f>IF($B92="","",VLOOKUP($B92,Jogos!$A$2:$K$105,9,FALSE))</f>
        <v/>
      </c>
      <c r="H92" s="8">
        <f>IF($B92="","",VLOOKUP($B92,Jogos!$A$2:$K$105,11,FALSE))</f>
        <v/>
      </c>
      <c r="I92" s="5">
        <f>IF(OR($A92="", $B92="", $E92="", $F92="", $G92="", $H92=""), "",IF(AND($E92=$G92, $F92=$H92), 3, IF(SIGN($E92-$F92)=SIGN($G92-$H92), 1, 0))))</f>
        <v/>
      </c>
    </row>
    <row r="93">
      <c r="A93" s="5" t="inlineStr"/>
      <c r="B93" s="5" t="inlineStr"/>
      <c r="C93" s="5">
        <f>IF($B93="","",VLOOKUP($B93,Jogos!$A$2:$K$105,8,FALSE))</f>
        <v/>
      </c>
      <c r="D93" s="5">
        <f>IF($B93="","",VLOOKUP($B93,Jogos!$A$2:$K$105,10,FALSE))</f>
        <v/>
      </c>
      <c r="E93" s="5" t="inlineStr"/>
      <c r="F93" s="5" t="inlineStr"/>
      <c r="G93" s="8">
        <f>IF($B93="","",VLOOKUP($B93,Jogos!$A$2:$K$105,9,FALSE))</f>
        <v/>
      </c>
      <c r="H93" s="8">
        <f>IF($B93="","",VLOOKUP($B93,Jogos!$A$2:$K$105,11,FALSE))</f>
        <v/>
      </c>
      <c r="I93" s="5">
        <f>IF(OR($A93="", $B93="", $E93="", $F93="", $G93="", $H93=""), "",IF(AND($E93=$G93, $F93=$H93), 3, IF(SIGN($E93-$F93)=SIGN($G93-$H93), 1, 0))))</f>
        <v/>
      </c>
    </row>
    <row r="94">
      <c r="A94" s="5" t="inlineStr"/>
      <c r="B94" s="5" t="inlineStr"/>
      <c r="C94" s="5">
        <f>IF($B94="","",VLOOKUP($B94,Jogos!$A$2:$K$105,8,FALSE))</f>
        <v/>
      </c>
      <c r="D94" s="5">
        <f>IF($B94="","",VLOOKUP($B94,Jogos!$A$2:$K$105,10,FALSE))</f>
        <v/>
      </c>
      <c r="E94" s="5" t="inlineStr"/>
      <c r="F94" s="5" t="inlineStr"/>
      <c r="G94" s="8">
        <f>IF($B94="","",VLOOKUP($B94,Jogos!$A$2:$K$105,9,FALSE))</f>
        <v/>
      </c>
      <c r="H94" s="8">
        <f>IF($B94="","",VLOOKUP($B94,Jogos!$A$2:$K$105,11,FALSE))</f>
        <v/>
      </c>
      <c r="I94" s="5">
        <f>IF(OR($A94="", $B94="", $E94="", $F94="", $G94="", $H94=""), "",IF(AND($E94=$G94, $F94=$H94), 3, IF(SIGN($E94-$F94)=SIGN($G94-$H94), 1, 0))))</f>
        <v/>
      </c>
    </row>
    <row r="95">
      <c r="A95" s="5" t="inlineStr"/>
      <c r="B95" s="5" t="inlineStr"/>
      <c r="C95" s="5">
        <f>IF($B95="","",VLOOKUP($B95,Jogos!$A$2:$K$105,8,FALSE))</f>
        <v/>
      </c>
      <c r="D95" s="5">
        <f>IF($B95="","",VLOOKUP($B95,Jogos!$A$2:$K$105,10,FALSE))</f>
        <v/>
      </c>
      <c r="E95" s="5" t="inlineStr"/>
      <c r="F95" s="5" t="inlineStr"/>
      <c r="G95" s="8">
        <f>IF($B95="","",VLOOKUP($B95,Jogos!$A$2:$K$105,9,FALSE))</f>
        <v/>
      </c>
      <c r="H95" s="8">
        <f>IF($B95="","",VLOOKUP($B95,Jogos!$A$2:$K$105,11,FALSE))</f>
        <v/>
      </c>
      <c r="I95" s="5">
        <f>IF(OR($A95="", $B95="", $E95="", $F95="", $G95="", $H95=""), "",IF(AND($E95=$G95, $F95=$H95), 3, IF(SIGN($E95-$F95)=SIGN($G95-$H95), 1, 0))))</f>
        <v/>
      </c>
    </row>
    <row r="96">
      <c r="A96" s="5" t="inlineStr"/>
      <c r="B96" s="5" t="inlineStr"/>
      <c r="C96" s="5">
        <f>IF($B96="","",VLOOKUP($B96,Jogos!$A$2:$K$105,8,FALSE))</f>
        <v/>
      </c>
      <c r="D96" s="5">
        <f>IF($B96="","",VLOOKUP($B96,Jogos!$A$2:$K$105,10,FALSE))</f>
        <v/>
      </c>
      <c r="E96" s="5" t="inlineStr"/>
      <c r="F96" s="5" t="inlineStr"/>
      <c r="G96" s="8">
        <f>IF($B96="","",VLOOKUP($B96,Jogos!$A$2:$K$105,9,FALSE))</f>
        <v/>
      </c>
      <c r="H96" s="8">
        <f>IF($B96="","",VLOOKUP($B96,Jogos!$A$2:$K$105,11,FALSE))</f>
        <v/>
      </c>
      <c r="I96" s="5">
        <f>IF(OR($A96="", $B96="", $E96="", $F96="", $G96="", $H96=""), "",IF(AND($E96=$G96, $F96=$H96), 3, IF(SIGN($E96-$F96)=SIGN($G96-$H96), 1, 0))))</f>
        <v/>
      </c>
    </row>
    <row r="97">
      <c r="A97" s="5" t="inlineStr"/>
      <c r="B97" s="5" t="inlineStr"/>
      <c r="C97" s="5">
        <f>IF($B97="","",VLOOKUP($B97,Jogos!$A$2:$K$105,8,FALSE))</f>
        <v/>
      </c>
      <c r="D97" s="5">
        <f>IF($B97="","",VLOOKUP($B97,Jogos!$A$2:$K$105,10,FALSE))</f>
        <v/>
      </c>
      <c r="E97" s="5" t="inlineStr"/>
      <c r="F97" s="5" t="inlineStr"/>
      <c r="G97" s="8">
        <f>IF($B97="","",VLOOKUP($B97,Jogos!$A$2:$K$105,9,FALSE))</f>
        <v/>
      </c>
      <c r="H97" s="8">
        <f>IF($B97="","",VLOOKUP($B97,Jogos!$A$2:$K$105,11,FALSE))</f>
        <v/>
      </c>
      <c r="I97" s="5">
        <f>IF(OR($A97="", $B97="", $E97="", $F97="", $G97="", $H97=""), "",IF(AND($E97=$G97, $F97=$H97), 3, IF(SIGN($E97-$F97)=SIGN($G97-$H97), 1, 0))))</f>
        <v/>
      </c>
    </row>
    <row r="98">
      <c r="A98" s="5" t="inlineStr"/>
      <c r="B98" s="5" t="inlineStr"/>
      <c r="C98" s="5">
        <f>IF($B98="","",VLOOKUP($B98,Jogos!$A$2:$K$105,8,FALSE))</f>
        <v/>
      </c>
      <c r="D98" s="5">
        <f>IF($B98="","",VLOOKUP($B98,Jogos!$A$2:$K$105,10,FALSE))</f>
        <v/>
      </c>
      <c r="E98" s="5" t="inlineStr"/>
      <c r="F98" s="5" t="inlineStr"/>
      <c r="G98" s="8">
        <f>IF($B98="","",VLOOKUP($B98,Jogos!$A$2:$K$105,9,FALSE))</f>
        <v/>
      </c>
      <c r="H98" s="8">
        <f>IF($B98="","",VLOOKUP($B98,Jogos!$A$2:$K$105,11,FALSE))</f>
        <v/>
      </c>
      <c r="I98" s="5">
        <f>IF(OR($A98="", $B98="", $E98="", $F98="", $G98="", $H98=""), "",IF(AND($E98=$G98, $F98=$H98), 3, IF(SIGN($E98-$F98)=SIGN($G98-$H98), 1, 0))))</f>
        <v/>
      </c>
    </row>
    <row r="99">
      <c r="A99" s="5" t="inlineStr"/>
      <c r="B99" s="5" t="inlineStr"/>
      <c r="C99" s="5">
        <f>IF($B99="","",VLOOKUP($B99,Jogos!$A$2:$K$105,8,FALSE))</f>
        <v/>
      </c>
      <c r="D99" s="5">
        <f>IF($B99="","",VLOOKUP($B99,Jogos!$A$2:$K$105,10,FALSE))</f>
        <v/>
      </c>
      <c r="E99" s="5" t="inlineStr"/>
      <c r="F99" s="5" t="inlineStr"/>
      <c r="G99" s="8">
        <f>IF($B99="","",VLOOKUP($B99,Jogos!$A$2:$K$105,9,FALSE))</f>
        <v/>
      </c>
      <c r="H99" s="8">
        <f>IF($B99="","",VLOOKUP($B99,Jogos!$A$2:$K$105,11,FALSE))</f>
        <v/>
      </c>
      <c r="I99" s="5">
        <f>IF(OR($A99="", $B99="", $E99="", $F99="", $G99="", $H99=""), "",IF(AND($E99=$G99, $F99=$H99), 3, IF(SIGN($E99-$F99)=SIGN($G99-$H99), 1, 0))))</f>
        <v/>
      </c>
    </row>
    <row r="100">
      <c r="A100" s="5" t="inlineStr"/>
      <c r="B100" s="5" t="inlineStr"/>
      <c r="C100" s="5">
        <f>IF($B100="","",VLOOKUP($B100,Jogos!$A$2:$K$105,8,FALSE))</f>
        <v/>
      </c>
      <c r="D100" s="5">
        <f>IF($B100="","",VLOOKUP($B100,Jogos!$A$2:$K$105,10,FALSE))</f>
        <v/>
      </c>
      <c r="E100" s="5" t="inlineStr"/>
      <c r="F100" s="5" t="inlineStr"/>
      <c r="G100" s="8">
        <f>IF($B100="","",VLOOKUP($B100,Jogos!$A$2:$K$105,9,FALSE))</f>
        <v/>
      </c>
      <c r="H100" s="8">
        <f>IF($B100="","",VLOOKUP($B100,Jogos!$A$2:$K$105,11,FALSE))</f>
        <v/>
      </c>
      <c r="I100" s="5">
        <f>IF(OR($A100="", $B100="", $E100="", $F100="", $G100="", $H100=""), "",IF(AND($E100=$G100, $F100=$H100), 3, IF(SIGN($E100-$F100)=SIGN($G100-$H100), 1, 0))))</f>
        <v/>
      </c>
    </row>
    <row r="101">
      <c r="A101" s="5" t="inlineStr"/>
      <c r="B101" s="5" t="inlineStr"/>
      <c r="C101" s="5">
        <f>IF($B101="","",VLOOKUP($B101,Jogos!$A$2:$K$105,8,FALSE))</f>
        <v/>
      </c>
      <c r="D101" s="5">
        <f>IF($B101="","",VLOOKUP($B101,Jogos!$A$2:$K$105,10,FALSE))</f>
        <v/>
      </c>
      <c r="E101" s="5" t="inlineStr"/>
      <c r="F101" s="5" t="inlineStr"/>
      <c r="G101" s="8">
        <f>IF($B101="","",VLOOKUP($B101,Jogos!$A$2:$K$105,9,FALSE))</f>
        <v/>
      </c>
      <c r="H101" s="8">
        <f>IF($B101="","",VLOOKUP($B101,Jogos!$A$2:$K$105,11,FALSE))</f>
        <v/>
      </c>
      <c r="I101" s="5">
        <f>IF(OR($A101="", $B101="", $E101="", $F101="", $G101="", $H101=""), "",IF(AND($E101=$G101, $F101=$H101), 3, IF(SIGN($E101-$F101)=SIGN($G101-$H101), 1, 0))))</f>
        <v/>
      </c>
    </row>
    <row r="102">
      <c r="A102" s="5" t="inlineStr"/>
      <c r="B102" s="5" t="inlineStr"/>
      <c r="C102" s="5">
        <f>IF($B102="","",VLOOKUP($B102,Jogos!$A$2:$K$105,8,FALSE))</f>
        <v/>
      </c>
      <c r="D102" s="5">
        <f>IF($B102="","",VLOOKUP($B102,Jogos!$A$2:$K$105,10,FALSE))</f>
        <v/>
      </c>
      <c r="E102" s="5" t="inlineStr"/>
      <c r="F102" s="5" t="inlineStr"/>
      <c r="G102" s="8">
        <f>IF($B102="","",VLOOKUP($B102,Jogos!$A$2:$K$105,9,FALSE))</f>
        <v/>
      </c>
      <c r="H102" s="8">
        <f>IF($B102="","",VLOOKUP($B102,Jogos!$A$2:$K$105,11,FALSE))</f>
        <v/>
      </c>
      <c r="I102" s="5">
        <f>IF(OR($A102="", $B102="", $E102="", $F102="", $G102="", $H102=""), "",IF(AND($E102=$G102, $F102=$H102), 3, IF(SIGN($E102-$F102)=SIGN($G102-$H102), 1, 0))))</f>
        <v/>
      </c>
    </row>
    <row r="103">
      <c r="A103" s="5" t="inlineStr"/>
      <c r="B103" s="5" t="inlineStr"/>
      <c r="C103" s="5">
        <f>IF($B103="","",VLOOKUP($B103,Jogos!$A$2:$K$105,8,FALSE))</f>
        <v/>
      </c>
      <c r="D103" s="5">
        <f>IF($B103="","",VLOOKUP($B103,Jogos!$A$2:$K$105,10,FALSE))</f>
        <v/>
      </c>
      <c r="E103" s="5" t="inlineStr"/>
      <c r="F103" s="5" t="inlineStr"/>
      <c r="G103" s="8">
        <f>IF($B103="","",VLOOKUP($B103,Jogos!$A$2:$K$105,9,FALSE))</f>
        <v/>
      </c>
      <c r="H103" s="8">
        <f>IF($B103="","",VLOOKUP($B103,Jogos!$A$2:$K$105,11,FALSE))</f>
        <v/>
      </c>
      <c r="I103" s="5">
        <f>IF(OR($A103="", $B103="", $E103="", $F103="", $G103="", $H103=""), "",IF(AND($E103=$G103, $F103=$H103), 3, IF(SIGN($E103-$F103)=SIGN($G103-$H103), 1, 0))))</f>
        <v/>
      </c>
    </row>
    <row r="104">
      <c r="A104" s="5" t="inlineStr"/>
      <c r="B104" s="5" t="inlineStr"/>
      <c r="C104" s="5">
        <f>IF($B104="","",VLOOKUP($B104,Jogos!$A$2:$K$105,8,FALSE))</f>
        <v/>
      </c>
      <c r="D104" s="5">
        <f>IF($B104="","",VLOOKUP($B104,Jogos!$A$2:$K$105,10,FALSE))</f>
        <v/>
      </c>
      <c r="E104" s="5" t="inlineStr"/>
      <c r="F104" s="5" t="inlineStr"/>
      <c r="G104" s="8">
        <f>IF($B104="","",VLOOKUP($B104,Jogos!$A$2:$K$105,9,FALSE))</f>
        <v/>
      </c>
      <c r="H104" s="8">
        <f>IF($B104="","",VLOOKUP($B104,Jogos!$A$2:$K$105,11,FALSE))</f>
        <v/>
      </c>
      <c r="I104" s="5">
        <f>IF(OR($A104="", $B104="", $E104="", $F104="", $G104="", $H104=""), "",IF(AND($E104=$G104, $F104=$H104), 3, IF(SIGN($E104-$F104)=SIGN($G104-$H104), 1, 0))))</f>
        <v/>
      </c>
    </row>
    <row r="105">
      <c r="A105" s="5" t="inlineStr"/>
      <c r="B105" s="5" t="inlineStr"/>
      <c r="C105" s="5">
        <f>IF($B105="","",VLOOKUP($B105,Jogos!$A$2:$K$105,8,FALSE))</f>
        <v/>
      </c>
      <c r="D105" s="5">
        <f>IF($B105="","",VLOOKUP($B105,Jogos!$A$2:$K$105,10,FALSE))</f>
        <v/>
      </c>
      <c r="E105" s="5" t="inlineStr"/>
      <c r="F105" s="5" t="inlineStr"/>
      <c r="G105" s="8">
        <f>IF($B105="","",VLOOKUP($B105,Jogos!$A$2:$K$105,9,FALSE))</f>
        <v/>
      </c>
      <c r="H105" s="8">
        <f>IF($B105="","",VLOOKUP($B105,Jogos!$A$2:$K$105,11,FALSE))</f>
        <v/>
      </c>
      <c r="I105" s="5">
        <f>IF(OR($A105="", $B105="", $E105="", $F105="", $G105="", $H105=""), "",IF(AND($E105=$G105, $F105=$H105), 3, IF(SIGN($E105-$F105)=SIGN($G105-$H105), 1, 0))))</f>
        <v/>
      </c>
    </row>
    <row r="106">
      <c r="A106" s="5" t="inlineStr"/>
      <c r="B106" s="5" t="inlineStr"/>
      <c r="C106" s="5">
        <f>IF($B106="","",VLOOKUP($B106,Jogos!$A$2:$K$105,8,FALSE))</f>
        <v/>
      </c>
      <c r="D106" s="5">
        <f>IF($B106="","",VLOOKUP($B106,Jogos!$A$2:$K$105,10,FALSE))</f>
        <v/>
      </c>
      <c r="E106" s="5" t="inlineStr"/>
      <c r="F106" s="5" t="inlineStr"/>
      <c r="G106" s="8">
        <f>IF($B106="","",VLOOKUP($B106,Jogos!$A$2:$K$105,9,FALSE))</f>
        <v/>
      </c>
      <c r="H106" s="8">
        <f>IF($B106="","",VLOOKUP($B106,Jogos!$A$2:$K$105,11,FALSE))</f>
        <v/>
      </c>
      <c r="I106" s="5">
        <f>IF(OR($A106="", $B106="", $E106="", $F106="", $G106="", $H106=""), "",IF(AND($E106=$G106, $F106=$H106), 3, IF(SIGN($E106-$F106)=SIGN($G106-$H106), 1, 0))))</f>
        <v/>
      </c>
    </row>
    <row r="107">
      <c r="A107" s="5" t="inlineStr"/>
      <c r="B107" s="5" t="inlineStr"/>
      <c r="C107" s="5">
        <f>IF($B107="","",VLOOKUP($B107,Jogos!$A$2:$K$105,8,FALSE))</f>
        <v/>
      </c>
      <c r="D107" s="5">
        <f>IF($B107="","",VLOOKUP($B107,Jogos!$A$2:$K$105,10,FALSE))</f>
        <v/>
      </c>
      <c r="E107" s="5" t="inlineStr"/>
      <c r="F107" s="5" t="inlineStr"/>
      <c r="G107" s="8">
        <f>IF($B107="","",VLOOKUP($B107,Jogos!$A$2:$K$105,9,FALSE))</f>
        <v/>
      </c>
      <c r="H107" s="8">
        <f>IF($B107="","",VLOOKUP($B107,Jogos!$A$2:$K$105,11,FALSE))</f>
        <v/>
      </c>
      <c r="I107" s="5">
        <f>IF(OR($A107="", $B107="", $E107="", $F107="", $G107="", $H107=""), "",IF(AND($E107=$G107, $F107=$H107), 3, IF(SIGN($E107-$F107)=SIGN($G107-$H107), 1, 0))))</f>
        <v/>
      </c>
    </row>
    <row r="108">
      <c r="A108" s="5" t="inlineStr"/>
      <c r="B108" s="5" t="inlineStr"/>
      <c r="C108" s="5">
        <f>IF($B108="","",VLOOKUP($B108,Jogos!$A$2:$K$105,8,FALSE))</f>
        <v/>
      </c>
      <c r="D108" s="5">
        <f>IF($B108="","",VLOOKUP($B108,Jogos!$A$2:$K$105,10,FALSE))</f>
        <v/>
      </c>
      <c r="E108" s="5" t="inlineStr"/>
      <c r="F108" s="5" t="inlineStr"/>
      <c r="G108" s="8">
        <f>IF($B108="","",VLOOKUP($B108,Jogos!$A$2:$K$105,9,FALSE))</f>
        <v/>
      </c>
      <c r="H108" s="8">
        <f>IF($B108="","",VLOOKUP($B108,Jogos!$A$2:$K$105,11,FALSE))</f>
        <v/>
      </c>
      <c r="I108" s="5">
        <f>IF(OR($A108="", $B108="", $E108="", $F108="", $G108="", $H108=""), "",IF(AND($E108=$G108, $F108=$H108), 3, IF(SIGN($E108-$F108)=SIGN($G108-$H108), 1, 0))))</f>
        <v/>
      </c>
    </row>
    <row r="109">
      <c r="A109" s="5" t="inlineStr"/>
      <c r="B109" s="5" t="inlineStr"/>
      <c r="C109" s="5">
        <f>IF($B109="","",VLOOKUP($B109,Jogos!$A$2:$K$105,8,FALSE))</f>
        <v/>
      </c>
      <c r="D109" s="5">
        <f>IF($B109="","",VLOOKUP($B109,Jogos!$A$2:$K$105,10,FALSE))</f>
        <v/>
      </c>
      <c r="E109" s="5" t="inlineStr"/>
      <c r="F109" s="5" t="inlineStr"/>
      <c r="G109" s="8">
        <f>IF($B109="","",VLOOKUP($B109,Jogos!$A$2:$K$105,9,FALSE))</f>
        <v/>
      </c>
      <c r="H109" s="8">
        <f>IF($B109="","",VLOOKUP($B109,Jogos!$A$2:$K$105,11,FALSE))</f>
        <v/>
      </c>
      <c r="I109" s="5">
        <f>IF(OR($A109="", $B109="", $E109="", $F109="", $G109="", $H109=""), "",IF(AND($E109=$G109, $F109=$H109), 3, IF(SIGN($E109-$F109)=SIGN($G109-$H109), 1, 0))))</f>
        <v/>
      </c>
    </row>
    <row r="110">
      <c r="A110" s="5" t="inlineStr"/>
      <c r="B110" s="5" t="inlineStr"/>
      <c r="C110" s="5">
        <f>IF($B110="","",VLOOKUP($B110,Jogos!$A$2:$K$105,8,FALSE))</f>
        <v/>
      </c>
      <c r="D110" s="5">
        <f>IF($B110="","",VLOOKUP($B110,Jogos!$A$2:$K$105,10,FALSE))</f>
        <v/>
      </c>
      <c r="E110" s="5" t="inlineStr"/>
      <c r="F110" s="5" t="inlineStr"/>
      <c r="G110" s="8">
        <f>IF($B110="","",VLOOKUP($B110,Jogos!$A$2:$K$105,9,FALSE))</f>
        <v/>
      </c>
      <c r="H110" s="8">
        <f>IF($B110="","",VLOOKUP($B110,Jogos!$A$2:$K$105,11,FALSE))</f>
        <v/>
      </c>
      <c r="I110" s="5">
        <f>IF(OR($A110="", $B110="", $E110="", $F110="", $G110="", $H110=""), "",IF(AND($E110=$G110, $F110=$H110), 3, IF(SIGN($E110-$F110)=SIGN($G110-$H110), 1, 0))))</f>
        <v/>
      </c>
    </row>
    <row r="111">
      <c r="A111" s="5" t="inlineStr"/>
      <c r="B111" s="5" t="inlineStr"/>
      <c r="C111" s="5">
        <f>IF($B111="","",VLOOKUP($B111,Jogos!$A$2:$K$105,8,FALSE))</f>
        <v/>
      </c>
      <c r="D111" s="5">
        <f>IF($B111="","",VLOOKUP($B111,Jogos!$A$2:$K$105,10,FALSE))</f>
        <v/>
      </c>
      <c r="E111" s="5" t="inlineStr"/>
      <c r="F111" s="5" t="inlineStr"/>
      <c r="G111" s="8">
        <f>IF($B111="","",VLOOKUP($B111,Jogos!$A$2:$K$105,9,FALSE))</f>
        <v/>
      </c>
      <c r="H111" s="8">
        <f>IF($B111="","",VLOOKUP($B111,Jogos!$A$2:$K$105,11,FALSE))</f>
        <v/>
      </c>
      <c r="I111" s="5">
        <f>IF(OR($A111="", $B111="", $E111="", $F111="", $G111="", $H111=""), "",IF(AND($E111=$G111, $F111=$H111), 3, IF(SIGN($E111-$F111)=SIGN($G111-$H111), 1, 0))))</f>
        <v/>
      </c>
    </row>
    <row r="112">
      <c r="A112" s="5" t="inlineStr"/>
      <c r="B112" s="5" t="inlineStr"/>
      <c r="C112" s="5">
        <f>IF($B112="","",VLOOKUP($B112,Jogos!$A$2:$K$105,8,FALSE))</f>
        <v/>
      </c>
      <c r="D112" s="5">
        <f>IF($B112="","",VLOOKUP($B112,Jogos!$A$2:$K$105,10,FALSE))</f>
        <v/>
      </c>
      <c r="E112" s="5" t="inlineStr"/>
      <c r="F112" s="5" t="inlineStr"/>
      <c r="G112" s="8">
        <f>IF($B112="","",VLOOKUP($B112,Jogos!$A$2:$K$105,9,FALSE))</f>
        <v/>
      </c>
      <c r="H112" s="8">
        <f>IF($B112="","",VLOOKUP($B112,Jogos!$A$2:$K$105,11,FALSE))</f>
        <v/>
      </c>
      <c r="I112" s="5">
        <f>IF(OR($A112="", $B112="", $E112="", $F112="", $G112="", $H112=""), "",IF(AND($E112=$G112, $F112=$H112), 3, IF(SIGN($E112-$F112)=SIGN($G112-$H112), 1, 0))))</f>
        <v/>
      </c>
    </row>
    <row r="113">
      <c r="A113" s="5" t="inlineStr"/>
      <c r="B113" s="5" t="inlineStr"/>
      <c r="C113" s="5">
        <f>IF($B113="","",VLOOKUP($B113,Jogos!$A$2:$K$105,8,FALSE))</f>
        <v/>
      </c>
      <c r="D113" s="5">
        <f>IF($B113="","",VLOOKUP($B113,Jogos!$A$2:$K$105,10,FALSE))</f>
        <v/>
      </c>
      <c r="E113" s="5" t="inlineStr"/>
      <c r="F113" s="5" t="inlineStr"/>
      <c r="G113" s="8">
        <f>IF($B113="","",VLOOKUP($B113,Jogos!$A$2:$K$105,9,FALSE))</f>
        <v/>
      </c>
      <c r="H113" s="8">
        <f>IF($B113="","",VLOOKUP($B113,Jogos!$A$2:$K$105,11,FALSE))</f>
        <v/>
      </c>
      <c r="I113" s="5">
        <f>IF(OR($A113="", $B113="", $E113="", $F113="", $G113="", $H113=""), "",IF(AND($E113=$G113, $F113=$H113), 3, IF(SIGN($E113-$F113)=SIGN($G113-$H113), 1, 0))))</f>
        <v/>
      </c>
    </row>
    <row r="114">
      <c r="A114" s="5" t="inlineStr"/>
      <c r="B114" s="5" t="inlineStr"/>
      <c r="C114" s="5">
        <f>IF($B114="","",VLOOKUP($B114,Jogos!$A$2:$K$105,8,FALSE))</f>
        <v/>
      </c>
      <c r="D114" s="5">
        <f>IF($B114="","",VLOOKUP($B114,Jogos!$A$2:$K$105,10,FALSE))</f>
        <v/>
      </c>
      <c r="E114" s="5" t="inlineStr"/>
      <c r="F114" s="5" t="inlineStr"/>
      <c r="G114" s="8">
        <f>IF($B114="","",VLOOKUP($B114,Jogos!$A$2:$K$105,9,FALSE))</f>
        <v/>
      </c>
      <c r="H114" s="8">
        <f>IF($B114="","",VLOOKUP($B114,Jogos!$A$2:$K$105,11,FALSE))</f>
        <v/>
      </c>
      <c r="I114" s="5">
        <f>IF(OR($A114="", $B114="", $E114="", $F114="", $G114="", $H114=""), "",IF(AND($E114=$G114, $F114=$H114), 3, IF(SIGN($E114-$F114)=SIGN($G114-$H114), 1, 0))))</f>
        <v/>
      </c>
    </row>
    <row r="115">
      <c r="A115" s="5" t="inlineStr"/>
      <c r="B115" s="5" t="inlineStr"/>
      <c r="C115" s="5">
        <f>IF($B115="","",VLOOKUP($B115,Jogos!$A$2:$K$105,8,FALSE))</f>
        <v/>
      </c>
      <c r="D115" s="5">
        <f>IF($B115="","",VLOOKUP($B115,Jogos!$A$2:$K$105,10,FALSE))</f>
        <v/>
      </c>
      <c r="E115" s="5" t="inlineStr"/>
      <c r="F115" s="5" t="inlineStr"/>
      <c r="G115" s="8">
        <f>IF($B115="","",VLOOKUP($B115,Jogos!$A$2:$K$105,9,FALSE))</f>
        <v/>
      </c>
      <c r="H115" s="8">
        <f>IF($B115="","",VLOOKUP($B115,Jogos!$A$2:$K$105,11,FALSE))</f>
        <v/>
      </c>
      <c r="I115" s="5">
        <f>IF(OR($A115="", $B115="", $E115="", $F115="", $G115="", $H115=""), "",IF(AND($E115=$G115, $F115=$H115), 3, IF(SIGN($E115-$F115)=SIGN($G115-$H115), 1, 0))))</f>
        <v/>
      </c>
    </row>
    <row r="116">
      <c r="A116" s="5" t="inlineStr"/>
      <c r="B116" s="5" t="inlineStr"/>
      <c r="C116" s="5">
        <f>IF($B116="","",VLOOKUP($B116,Jogos!$A$2:$K$105,8,FALSE))</f>
        <v/>
      </c>
      <c r="D116" s="5">
        <f>IF($B116="","",VLOOKUP($B116,Jogos!$A$2:$K$105,10,FALSE))</f>
        <v/>
      </c>
      <c r="E116" s="5" t="inlineStr"/>
      <c r="F116" s="5" t="inlineStr"/>
      <c r="G116" s="8">
        <f>IF($B116="","",VLOOKUP($B116,Jogos!$A$2:$K$105,9,FALSE))</f>
        <v/>
      </c>
      <c r="H116" s="8">
        <f>IF($B116="","",VLOOKUP($B116,Jogos!$A$2:$K$105,11,FALSE))</f>
        <v/>
      </c>
      <c r="I116" s="5">
        <f>IF(OR($A116="", $B116="", $E116="", $F116="", $G116="", $H116=""), "",IF(AND($E116=$G116, $F116=$H116), 3, IF(SIGN($E116-$F116)=SIGN($G116-$H116), 1, 0))))</f>
        <v/>
      </c>
    </row>
    <row r="117">
      <c r="A117" s="5" t="inlineStr"/>
      <c r="B117" s="5" t="inlineStr"/>
      <c r="C117" s="5">
        <f>IF($B117="","",VLOOKUP($B117,Jogos!$A$2:$K$105,8,FALSE))</f>
        <v/>
      </c>
      <c r="D117" s="5">
        <f>IF($B117="","",VLOOKUP($B117,Jogos!$A$2:$K$105,10,FALSE))</f>
        <v/>
      </c>
      <c r="E117" s="5" t="inlineStr"/>
      <c r="F117" s="5" t="inlineStr"/>
      <c r="G117" s="8">
        <f>IF($B117="","",VLOOKUP($B117,Jogos!$A$2:$K$105,9,FALSE))</f>
        <v/>
      </c>
      <c r="H117" s="8">
        <f>IF($B117="","",VLOOKUP($B117,Jogos!$A$2:$K$105,11,FALSE))</f>
        <v/>
      </c>
      <c r="I117" s="5">
        <f>IF(OR($A117="", $B117="", $E117="", $F117="", $G117="", $H117=""), "",IF(AND($E117=$G117, $F117=$H117), 3, IF(SIGN($E117-$F117)=SIGN($G117-$H117), 1, 0))))</f>
        <v/>
      </c>
    </row>
    <row r="118">
      <c r="A118" s="5" t="inlineStr"/>
      <c r="B118" s="5" t="inlineStr"/>
      <c r="C118" s="5">
        <f>IF($B118="","",VLOOKUP($B118,Jogos!$A$2:$K$105,8,FALSE))</f>
        <v/>
      </c>
      <c r="D118" s="5">
        <f>IF($B118="","",VLOOKUP($B118,Jogos!$A$2:$K$105,10,FALSE))</f>
        <v/>
      </c>
      <c r="E118" s="5" t="inlineStr"/>
      <c r="F118" s="5" t="inlineStr"/>
      <c r="G118" s="8">
        <f>IF($B118="","",VLOOKUP($B118,Jogos!$A$2:$K$105,9,FALSE))</f>
        <v/>
      </c>
      <c r="H118" s="8">
        <f>IF($B118="","",VLOOKUP($B118,Jogos!$A$2:$K$105,11,FALSE))</f>
        <v/>
      </c>
      <c r="I118" s="5">
        <f>IF(OR($A118="", $B118="", $E118="", $F118="", $G118="", $H118=""), "",IF(AND($E118=$G118, $F118=$H118), 3, IF(SIGN($E118-$F118)=SIGN($G118-$H118), 1, 0))))</f>
        <v/>
      </c>
    </row>
    <row r="119">
      <c r="A119" s="5" t="inlineStr"/>
      <c r="B119" s="5" t="inlineStr"/>
      <c r="C119" s="5">
        <f>IF($B119="","",VLOOKUP($B119,Jogos!$A$2:$K$105,8,FALSE))</f>
        <v/>
      </c>
      <c r="D119" s="5">
        <f>IF($B119="","",VLOOKUP($B119,Jogos!$A$2:$K$105,10,FALSE))</f>
        <v/>
      </c>
      <c r="E119" s="5" t="inlineStr"/>
      <c r="F119" s="5" t="inlineStr"/>
      <c r="G119" s="8">
        <f>IF($B119="","",VLOOKUP($B119,Jogos!$A$2:$K$105,9,FALSE))</f>
        <v/>
      </c>
      <c r="H119" s="8">
        <f>IF($B119="","",VLOOKUP($B119,Jogos!$A$2:$K$105,11,FALSE))</f>
        <v/>
      </c>
      <c r="I119" s="5">
        <f>IF(OR($A119="", $B119="", $E119="", $F119="", $G119="", $H119=""), "",IF(AND($E119=$G119, $F119=$H119), 3, IF(SIGN($E119-$F119)=SIGN($G119-$H119), 1, 0))))</f>
        <v/>
      </c>
    </row>
    <row r="120">
      <c r="A120" s="5" t="inlineStr"/>
      <c r="B120" s="5" t="inlineStr"/>
      <c r="C120" s="5">
        <f>IF($B120="","",VLOOKUP($B120,Jogos!$A$2:$K$105,8,FALSE))</f>
        <v/>
      </c>
      <c r="D120" s="5">
        <f>IF($B120="","",VLOOKUP($B120,Jogos!$A$2:$K$105,10,FALSE))</f>
        <v/>
      </c>
      <c r="E120" s="5" t="inlineStr"/>
      <c r="F120" s="5" t="inlineStr"/>
      <c r="G120" s="8">
        <f>IF($B120="","",VLOOKUP($B120,Jogos!$A$2:$K$105,9,FALSE))</f>
        <v/>
      </c>
      <c r="H120" s="8">
        <f>IF($B120="","",VLOOKUP($B120,Jogos!$A$2:$K$105,11,FALSE))</f>
        <v/>
      </c>
      <c r="I120" s="5">
        <f>IF(OR($A120="", $B120="", $E120="", $F120="", $G120="", $H120=""), "",IF(AND($E120=$G120, $F120=$H120), 3, IF(SIGN($E120-$F120)=SIGN($G120-$H120), 1, 0))))</f>
        <v/>
      </c>
    </row>
    <row r="121">
      <c r="A121" s="5" t="inlineStr"/>
      <c r="B121" s="5" t="inlineStr"/>
      <c r="C121" s="5">
        <f>IF($B121="","",VLOOKUP($B121,Jogos!$A$2:$K$105,8,FALSE))</f>
        <v/>
      </c>
      <c r="D121" s="5">
        <f>IF($B121="","",VLOOKUP($B121,Jogos!$A$2:$K$105,10,FALSE))</f>
        <v/>
      </c>
      <c r="E121" s="5" t="inlineStr"/>
      <c r="F121" s="5" t="inlineStr"/>
      <c r="G121" s="8">
        <f>IF($B121="","",VLOOKUP($B121,Jogos!$A$2:$K$105,9,FALSE))</f>
        <v/>
      </c>
      <c r="H121" s="8">
        <f>IF($B121="","",VLOOKUP($B121,Jogos!$A$2:$K$105,11,FALSE))</f>
        <v/>
      </c>
      <c r="I121" s="5">
        <f>IF(OR($A121="", $B121="", $E121="", $F121="", $G121="", $H121=""), "",IF(AND($E121=$G121, $F121=$H121), 3, IF(SIGN($E121-$F121)=SIGN($G121-$H121), 1, 0))))</f>
        <v/>
      </c>
    </row>
    <row r="122">
      <c r="A122" s="5" t="inlineStr"/>
      <c r="B122" s="5" t="inlineStr"/>
      <c r="C122" s="5">
        <f>IF($B122="","",VLOOKUP($B122,Jogos!$A$2:$K$105,8,FALSE))</f>
        <v/>
      </c>
      <c r="D122" s="5">
        <f>IF($B122="","",VLOOKUP($B122,Jogos!$A$2:$K$105,10,FALSE))</f>
        <v/>
      </c>
      <c r="E122" s="5" t="inlineStr"/>
      <c r="F122" s="5" t="inlineStr"/>
      <c r="G122" s="8">
        <f>IF($B122="","",VLOOKUP($B122,Jogos!$A$2:$K$105,9,FALSE))</f>
        <v/>
      </c>
      <c r="H122" s="8">
        <f>IF($B122="","",VLOOKUP($B122,Jogos!$A$2:$K$105,11,FALSE))</f>
        <v/>
      </c>
      <c r="I122" s="5">
        <f>IF(OR($A122="", $B122="", $E122="", $F122="", $G122="", $H122=""), "",IF(AND($E122=$G122, $F122=$H122), 3, IF(SIGN($E122-$F122)=SIGN($G122-$H122), 1, 0))))</f>
        <v/>
      </c>
    </row>
    <row r="123">
      <c r="A123" s="5" t="inlineStr"/>
      <c r="B123" s="5" t="inlineStr"/>
      <c r="C123" s="5">
        <f>IF($B123="","",VLOOKUP($B123,Jogos!$A$2:$K$105,8,FALSE))</f>
        <v/>
      </c>
      <c r="D123" s="5">
        <f>IF($B123="","",VLOOKUP($B123,Jogos!$A$2:$K$105,10,FALSE))</f>
        <v/>
      </c>
      <c r="E123" s="5" t="inlineStr"/>
      <c r="F123" s="5" t="inlineStr"/>
      <c r="G123" s="8">
        <f>IF($B123="","",VLOOKUP($B123,Jogos!$A$2:$K$105,9,FALSE))</f>
        <v/>
      </c>
      <c r="H123" s="8">
        <f>IF($B123="","",VLOOKUP($B123,Jogos!$A$2:$K$105,11,FALSE))</f>
        <v/>
      </c>
      <c r="I123" s="5">
        <f>IF(OR($A123="", $B123="", $E123="", $F123="", $G123="", $H123=""), "",IF(AND($E123=$G123, $F123=$H123), 3, IF(SIGN($E123-$F123)=SIGN($G123-$H123), 1, 0))))</f>
        <v/>
      </c>
    </row>
    <row r="124">
      <c r="A124" s="5" t="inlineStr"/>
      <c r="B124" s="5" t="inlineStr"/>
      <c r="C124" s="5">
        <f>IF($B124="","",VLOOKUP($B124,Jogos!$A$2:$K$105,8,FALSE))</f>
        <v/>
      </c>
      <c r="D124" s="5">
        <f>IF($B124="","",VLOOKUP($B124,Jogos!$A$2:$K$105,10,FALSE))</f>
        <v/>
      </c>
      <c r="E124" s="5" t="inlineStr"/>
      <c r="F124" s="5" t="inlineStr"/>
      <c r="G124" s="8">
        <f>IF($B124="","",VLOOKUP($B124,Jogos!$A$2:$K$105,9,FALSE))</f>
        <v/>
      </c>
      <c r="H124" s="8">
        <f>IF($B124="","",VLOOKUP($B124,Jogos!$A$2:$K$105,11,FALSE))</f>
        <v/>
      </c>
      <c r="I124" s="5">
        <f>IF(OR($A124="", $B124="", $E124="", $F124="", $G124="", $H124=""), "",IF(AND($E124=$G124, $F124=$H124), 3, IF(SIGN($E124-$F124)=SIGN($G124-$H124), 1, 0))))</f>
        <v/>
      </c>
    </row>
    <row r="125">
      <c r="A125" s="5" t="inlineStr"/>
      <c r="B125" s="5" t="inlineStr"/>
      <c r="C125" s="5">
        <f>IF($B125="","",VLOOKUP($B125,Jogos!$A$2:$K$105,8,FALSE))</f>
        <v/>
      </c>
      <c r="D125" s="5">
        <f>IF($B125="","",VLOOKUP($B125,Jogos!$A$2:$K$105,10,FALSE))</f>
        <v/>
      </c>
      <c r="E125" s="5" t="inlineStr"/>
      <c r="F125" s="5" t="inlineStr"/>
      <c r="G125" s="8">
        <f>IF($B125="","",VLOOKUP($B125,Jogos!$A$2:$K$105,9,FALSE))</f>
        <v/>
      </c>
      <c r="H125" s="8">
        <f>IF($B125="","",VLOOKUP($B125,Jogos!$A$2:$K$105,11,FALSE))</f>
        <v/>
      </c>
      <c r="I125" s="5">
        <f>IF(OR($A125="", $B125="", $E125="", $F125="", $G125="", $H125=""), "",IF(AND($E125=$G125, $F125=$H125), 3, IF(SIGN($E125-$F125)=SIGN($G125-$H125), 1, 0))))</f>
        <v/>
      </c>
    </row>
    <row r="126">
      <c r="A126" s="5" t="inlineStr"/>
      <c r="B126" s="5" t="inlineStr"/>
      <c r="C126" s="5">
        <f>IF($B126="","",VLOOKUP($B126,Jogos!$A$2:$K$105,8,FALSE))</f>
        <v/>
      </c>
      <c r="D126" s="5">
        <f>IF($B126="","",VLOOKUP($B126,Jogos!$A$2:$K$105,10,FALSE))</f>
        <v/>
      </c>
      <c r="E126" s="5" t="inlineStr"/>
      <c r="F126" s="5" t="inlineStr"/>
      <c r="G126" s="8">
        <f>IF($B126="","",VLOOKUP($B126,Jogos!$A$2:$K$105,9,FALSE))</f>
        <v/>
      </c>
      <c r="H126" s="8">
        <f>IF($B126="","",VLOOKUP($B126,Jogos!$A$2:$K$105,11,FALSE))</f>
        <v/>
      </c>
      <c r="I126" s="5">
        <f>IF(OR($A126="", $B126="", $E126="", $F126="", $G126="", $H126=""), "",IF(AND($E126=$G126, $F126=$H126), 3, IF(SIGN($E126-$F126)=SIGN($G126-$H126), 1, 0))))</f>
        <v/>
      </c>
    </row>
    <row r="127">
      <c r="A127" s="5" t="inlineStr"/>
      <c r="B127" s="5" t="inlineStr"/>
      <c r="C127" s="5">
        <f>IF($B127="","",VLOOKUP($B127,Jogos!$A$2:$K$105,8,FALSE))</f>
        <v/>
      </c>
      <c r="D127" s="5">
        <f>IF($B127="","",VLOOKUP($B127,Jogos!$A$2:$K$105,10,FALSE))</f>
        <v/>
      </c>
      <c r="E127" s="5" t="inlineStr"/>
      <c r="F127" s="5" t="inlineStr"/>
      <c r="G127" s="8">
        <f>IF($B127="","",VLOOKUP($B127,Jogos!$A$2:$K$105,9,FALSE))</f>
        <v/>
      </c>
      <c r="H127" s="8">
        <f>IF($B127="","",VLOOKUP($B127,Jogos!$A$2:$K$105,11,FALSE))</f>
        <v/>
      </c>
      <c r="I127" s="5">
        <f>IF(OR($A127="", $B127="", $E127="", $F127="", $G127="", $H127=""), "",IF(AND($E127=$G127, $F127=$H127), 3, IF(SIGN($E127-$F127)=SIGN($G127-$H127), 1, 0))))</f>
        <v/>
      </c>
    </row>
    <row r="128">
      <c r="A128" s="5" t="inlineStr"/>
      <c r="B128" s="5" t="inlineStr"/>
      <c r="C128" s="5">
        <f>IF($B128="","",VLOOKUP($B128,Jogos!$A$2:$K$105,8,FALSE))</f>
        <v/>
      </c>
      <c r="D128" s="5">
        <f>IF($B128="","",VLOOKUP($B128,Jogos!$A$2:$K$105,10,FALSE))</f>
        <v/>
      </c>
      <c r="E128" s="5" t="inlineStr"/>
      <c r="F128" s="5" t="inlineStr"/>
      <c r="G128" s="8">
        <f>IF($B128="","",VLOOKUP($B128,Jogos!$A$2:$K$105,9,FALSE))</f>
        <v/>
      </c>
      <c r="H128" s="8">
        <f>IF($B128="","",VLOOKUP($B128,Jogos!$A$2:$K$105,11,FALSE))</f>
        <v/>
      </c>
      <c r="I128" s="5">
        <f>IF(OR($A128="", $B128="", $E128="", $F128="", $G128="", $H128=""), "",IF(AND($E128=$G128, $F128=$H128), 3, IF(SIGN($E128-$F128)=SIGN($G128-$H128), 1, 0))))</f>
        <v/>
      </c>
    </row>
    <row r="129">
      <c r="A129" s="5" t="inlineStr"/>
      <c r="B129" s="5" t="inlineStr"/>
      <c r="C129" s="5">
        <f>IF($B129="","",VLOOKUP($B129,Jogos!$A$2:$K$105,8,FALSE))</f>
        <v/>
      </c>
      <c r="D129" s="5">
        <f>IF($B129="","",VLOOKUP($B129,Jogos!$A$2:$K$105,10,FALSE))</f>
        <v/>
      </c>
      <c r="E129" s="5" t="inlineStr"/>
      <c r="F129" s="5" t="inlineStr"/>
      <c r="G129" s="8">
        <f>IF($B129="","",VLOOKUP($B129,Jogos!$A$2:$K$105,9,FALSE))</f>
        <v/>
      </c>
      <c r="H129" s="8">
        <f>IF($B129="","",VLOOKUP($B129,Jogos!$A$2:$K$105,11,FALSE))</f>
        <v/>
      </c>
      <c r="I129" s="5">
        <f>IF(OR($A129="", $B129="", $E129="", $F129="", $G129="", $H129=""), "",IF(AND($E129=$G129, $F129=$H129), 3, IF(SIGN($E129-$F129)=SIGN($G129-$H129), 1, 0))))</f>
        <v/>
      </c>
    </row>
    <row r="130">
      <c r="A130" s="5" t="inlineStr"/>
      <c r="B130" s="5" t="inlineStr"/>
      <c r="C130" s="5">
        <f>IF($B130="","",VLOOKUP($B130,Jogos!$A$2:$K$105,8,FALSE))</f>
        <v/>
      </c>
      <c r="D130" s="5">
        <f>IF($B130="","",VLOOKUP($B130,Jogos!$A$2:$K$105,10,FALSE))</f>
        <v/>
      </c>
      <c r="E130" s="5" t="inlineStr"/>
      <c r="F130" s="5" t="inlineStr"/>
      <c r="G130" s="8">
        <f>IF($B130="","",VLOOKUP($B130,Jogos!$A$2:$K$105,9,FALSE))</f>
        <v/>
      </c>
      <c r="H130" s="8">
        <f>IF($B130="","",VLOOKUP($B130,Jogos!$A$2:$K$105,11,FALSE))</f>
        <v/>
      </c>
      <c r="I130" s="5">
        <f>IF(OR($A130="", $B130="", $E130="", $F130="", $G130="", $H130=""), "",IF(AND($E130=$G130, $F130=$H130), 3, IF(SIGN($E130-$F130)=SIGN($G130-$H130), 1, 0))))</f>
        <v/>
      </c>
    </row>
    <row r="131">
      <c r="A131" s="5" t="inlineStr"/>
      <c r="B131" s="5" t="inlineStr"/>
      <c r="C131" s="5">
        <f>IF($B131="","",VLOOKUP($B131,Jogos!$A$2:$K$105,8,FALSE))</f>
        <v/>
      </c>
      <c r="D131" s="5">
        <f>IF($B131="","",VLOOKUP($B131,Jogos!$A$2:$K$105,10,FALSE))</f>
        <v/>
      </c>
      <c r="E131" s="5" t="inlineStr"/>
      <c r="F131" s="5" t="inlineStr"/>
      <c r="G131" s="8">
        <f>IF($B131="","",VLOOKUP($B131,Jogos!$A$2:$K$105,9,FALSE))</f>
        <v/>
      </c>
      <c r="H131" s="8">
        <f>IF($B131="","",VLOOKUP($B131,Jogos!$A$2:$K$105,11,FALSE))</f>
        <v/>
      </c>
      <c r="I131" s="5">
        <f>IF(OR($A131="", $B131="", $E131="", $F131="", $G131="", $H131=""), "",IF(AND($E131=$G131, $F131=$H131), 3, IF(SIGN($E131-$F131)=SIGN($G131-$H131), 1, 0))))</f>
        <v/>
      </c>
    </row>
    <row r="132">
      <c r="A132" s="5" t="inlineStr"/>
      <c r="B132" s="5" t="inlineStr"/>
      <c r="C132" s="5">
        <f>IF($B132="","",VLOOKUP($B132,Jogos!$A$2:$K$105,8,FALSE))</f>
        <v/>
      </c>
      <c r="D132" s="5">
        <f>IF($B132="","",VLOOKUP($B132,Jogos!$A$2:$K$105,10,FALSE))</f>
        <v/>
      </c>
      <c r="E132" s="5" t="inlineStr"/>
      <c r="F132" s="5" t="inlineStr"/>
      <c r="G132" s="8">
        <f>IF($B132="","",VLOOKUP($B132,Jogos!$A$2:$K$105,9,FALSE))</f>
        <v/>
      </c>
      <c r="H132" s="8">
        <f>IF($B132="","",VLOOKUP($B132,Jogos!$A$2:$K$105,11,FALSE))</f>
        <v/>
      </c>
      <c r="I132" s="5">
        <f>IF(OR($A132="", $B132="", $E132="", $F132="", $G132="", $H132=""), "",IF(AND($E132=$G132, $F132=$H132), 3, IF(SIGN($E132-$F132)=SIGN($G132-$H132), 1, 0))))</f>
        <v/>
      </c>
    </row>
    <row r="133">
      <c r="A133" s="5" t="inlineStr"/>
      <c r="B133" s="5" t="inlineStr"/>
      <c r="C133" s="5">
        <f>IF($B133="","",VLOOKUP($B133,Jogos!$A$2:$K$105,8,FALSE))</f>
        <v/>
      </c>
      <c r="D133" s="5">
        <f>IF($B133="","",VLOOKUP($B133,Jogos!$A$2:$K$105,10,FALSE))</f>
        <v/>
      </c>
      <c r="E133" s="5" t="inlineStr"/>
      <c r="F133" s="5" t="inlineStr"/>
      <c r="G133" s="8">
        <f>IF($B133="","",VLOOKUP($B133,Jogos!$A$2:$K$105,9,FALSE))</f>
        <v/>
      </c>
      <c r="H133" s="8">
        <f>IF($B133="","",VLOOKUP($B133,Jogos!$A$2:$K$105,11,FALSE))</f>
        <v/>
      </c>
      <c r="I133" s="5">
        <f>IF(OR($A133="", $B133="", $E133="", $F133="", $G133="", $H133=""), "",IF(AND($E133=$G133, $F133=$H133), 3, IF(SIGN($E133-$F133)=SIGN($G133-$H133), 1, 0))))</f>
        <v/>
      </c>
    </row>
    <row r="134">
      <c r="A134" s="5" t="inlineStr"/>
      <c r="B134" s="5" t="inlineStr"/>
      <c r="C134" s="5">
        <f>IF($B134="","",VLOOKUP($B134,Jogos!$A$2:$K$105,8,FALSE))</f>
        <v/>
      </c>
      <c r="D134" s="5">
        <f>IF($B134="","",VLOOKUP($B134,Jogos!$A$2:$K$105,10,FALSE))</f>
        <v/>
      </c>
      <c r="E134" s="5" t="inlineStr"/>
      <c r="F134" s="5" t="inlineStr"/>
      <c r="G134" s="8">
        <f>IF($B134="","",VLOOKUP($B134,Jogos!$A$2:$K$105,9,FALSE))</f>
        <v/>
      </c>
      <c r="H134" s="8">
        <f>IF($B134="","",VLOOKUP($B134,Jogos!$A$2:$K$105,11,FALSE))</f>
        <v/>
      </c>
      <c r="I134" s="5">
        <f>IF(OR($A134="", $B134="", $E134="", $F134="", $G134="", $H134=""), "",IF(AND($E134=$G134, $F134=$H134), 3, IF(SIGN($E134-$F134)=SIGN($G134-$H134), 1, 0))))</f>
        <v/>
      </c>
    </row>
    <row r="135">
      <c r="A135" s="5" t="inlineStr"/>
      <c r="B135" s="5" t="inlineStr"/>
      <c r="C135" s="5">
        <f>IF($B135="","",VLOOKUP($B135,Jogos!$A$2:$K$105,8,FALSE))</f>
        <v/>
      </c>
      <c r="D135" s="5">
        <f>IF($B135="","",VLOOKUP($B135,Jogos!$A$2:$K$105,10,FALSE))</f>
        <v/>
      </c>
      <c r="E135" s="5" t="inlineStr"/>
      <c r="F135" s="5" t="inlineStr"/>
      <c r="G135" s="8">
        <f>IF($B135="","",VLOOKUP($B135,Jogos!$A$2:$K$105,9,FALSE))</f>
        <v/>
      </c>
      <c r="H135" s="8">
        <f>IF($B135="","",VLOOKUP($B135,Jogos!$A$2:$K$105,11,FALSE))</f>
        <v/>
      </c>
      <c r="I135" s="5">
        <f>IF(OR($A135="", $B135="", $E135="", $F135="", $G135="", $H135=""), "",IF(AND($E135=$G135, $F135=$H135), 3, IF(SIGN($E135-$F135)=SIGN($G135-$H135), 1, 0))))</f>
        <v/>
      </c>
    </row>
    <row r="136">
      <c r="A136" s="5" t="inlineStr"/>
      <c r="B136" s="5" t="inlineStr"/>
      <c r="C136" s="5">
        <f>IF($B136="","",VLOOKUP($B136,Jogos!$A$2:$K$105,8,FALSE))</f>
        <v/>
      </c>
      <c r="D136" s="5">
        <f>IF($B136="","",VLOOKUP($B136,Jogos!$A$2:$K$105,10,FALSE))</f>
        <v/>
      </c>
      <c r="E136" s="5" t="inlineStr"/>
      <c r="F136" s="5" t="inlineStr"/>
      <c r="G136" s="8">
        <f>IF($B136="","",VLOOKUP($B136,Jogos!$A$2:$K$105,9,FALSE))</f>
        <v/>
      </c>
      <c r="H136" s="8">
        <f>IF($B136="","",VLOOKUP($B136,Jogos!$A$2:$K$105,11,FALSE))</f>
        <v/>
      </c>
      <c r="I136" s="5">
        <f>IF(OR($A136="", $B136="", $E136="", $F136="", $G136="", $H136=""), "",IF(AND($E136=$G136, $F136=$H136), 3, IF(SIGN($E136-$F136)=SIGN($G136-$H136), 1, 0))))</f>
        <v/>
      </c>
    </row>
    <row r="137">
      <c r="A137" s="5" t="inlineStr"/>
      <c r="B137" s="5" t="inlineStr"/>
      <c r="C137" s="5">
        <f>IF($B137="","",VLOOKUP($B137,Jogos!$A$2:$K$105,8,FALSE))</f>
        <v/>
      </c>
      <c r="D137" s="5">
        <f>IF($B137="","",VLOOKUP($B137,Jogos!$A$2:$K$105,10,FALSE))</f>
        <v/>
      </c>
      <c r="E137" s="5" t="inlineStr"/>
      <c r="F137" s="5" t="inlineStr"/>
      <c r="G137" s="8">
        <f>IF($B137="","",VLOOKUP($B137,Jogos!$A$2:$K$105,9,FALSE))</f>
        <v/>
      </c>
      <c r="H137" s="8">
        <f>IF($B137="","",VLOOKUP($B137,Jogos!$A$2:$K$105,11,FALSE))</f>
        <v/>
      </c>
      <c r="I137" s="5">
        <f>IF(OR($A137="", $B137="", $E137="", $F137="", $G137="", $H137=""), "",IF(AND($E137=$G137, $F137=$H137), 3, IF(SIGN($E137-$F137)=SIGN($G137-$H137), 1, 0))))</f>
        <v/>
      </c>
    </row>
    <row r="138">
      <c r="A138" s="5" t="inlineStr"/>
      <c r="B138" s="5" t="inlineStr"/>
      <c r="C138" s="5">
        <f>IF($B138="","",VLOOKUP($B138,Jogos!$A$2:$K$105,8,FALSE))</f>
        <v/>
      </c>
      <c r="D138" s="5">
        <f>IF($B138="","",VLOOKUP($B138,Jogos!$A$2:$K$105,10,FALSE))</f>
        <v/>
      </c>
      <c r="E138" s="5" t="inlineStr"/>
      <c r="F138" s="5" t="inlineStr"/>
      <c r="G138" s="8">
        <f>IF($B138="","",VLOOKUP($B138,Jogos!$A$2:$K$105,9,FALSE))</f>
        <v/>
      </c>
      <c r="H138" s="8">
        <f>IF($B138="","",VLOOKUP($B138,Jogos!$A$2:$K$105,11,FALSE))</f>
        <v/>
      </c>
      <c r="I138" s="5">
        <f>IF(OR($A138="", $B138="", $E138="", $F138="", $G138="", $H138=""), "",IF(AND($E138=$G138, $F138=$H138), 3, IF(SIGN($E138-$F138)=SIGN($G138-$H138), 1, 0))))</f>
        <v/>
      </c>
    </row>
    <row r="139">
      <c r="A139" s="5" t="inlineStr"/>
      <c r="B139" s="5" t="inlineStr"/>
      <c r="C139" s="5">
        <f>IF($B139="","",VLOOKUP($B139,Jogos!$A$2:$K$105,8,FALSE))</f>
        <v/>
      </c>
      <c r="D139" s="5">
        <f>IF($B139="","",VLOOKUP($B139,Jogos!$A$2:$K$105,10,FALSE))</f>
        <v/>
      </c>
      <c r="E139" s="5" t="inlineStr"/>
      <c r="F139" s="5" t="inlineStr"/>
      <c r="G139" s="8">
        <f>IF($B139="","",VLOOKUP($B139,Jogos!$A$2:$K$105,9,FALSE))</f>
        <v/>
      </c>
      <c r="H139" s="8">
        <f>IF($B139="","",VLOOKUP($B139,Jogos!$A$2:$K$105,11,FALSE))</f>
        <v/>
      </c>
      <c r="I139" s="5">
        <f>IF(OR($A139="", $B139="", $E139="", $F139="", $G139="", $H139=""), "",IF(AND($E139=$G139, $F139=$H139), 3, IF(SIGN($E139-$F139)=SIGN($G139-$H139), 1, 0))))</f>
        <v/>
      </c>
    </row>
    <row r="140">
      <c r="A140" s="5" t="inlineStr"/>
      <c r="B140" s="5" t="inlineStr"/>
      <c r="C140" s="5">
        <f>IF($B140="","",VLOOKUP($B140,Jogos!$A$2:$K$105,8,FALSE))</f>
        <v/>
      </c>
      <c r="D140" s="5">
        <f>IF($B140="","",VLOOKUP($B140,Jogos!$A$2:$K$105,10,FALSE))</f>
        <v/>
      </c>
      <c r="E140" s="5" t="inlineStr"/>
      <c r="F140" s="5" t="inlineStr"/>
      <c r="G140" s="8">
        <f>IF($B140="","",VLOOKUP($B140,Jogos!$A$2:$K$105,9,FALSE))</f>
        <v/>
      </c>
      <c r="H140" s="8">
        <f>IF($B140="","",VLOOKUP($B140,Jogos!$A$2:$K$105,11,FALSE))</f>
        <v/>
      </c>
      <c r="I140" s="5">
        <f>IF(OR($A140="", $B140="", $E140="", $F140="", $G140="", $H140=""), "",IF(AND($E140=$G140, $F140=$H140), 3, IF(SIGN($E140-$F140)=SIGN($G140-$H140), 1, 0))))</f>
        <v/>
      </c>
    </row>
    <row r="141">
      <c r="A141" s="5" t="inlineStr"/>
      <c r="B141" s="5" t="inlineStr"/>
      <c r="C141" s="5">
        <f>IF($B141="","",VLOOKUP($B141,Jogos!$A$2:$K$105,8,FALSE))</f>
        <v/>
      </c>
      <c r="D141" s="5">
        <f>IF($B141="","",VLOOKUP($B141,Jogos!$A$2:$K$105,10,FALSE))</f>
        <v/>
      </c>
      <c r="E141" s="5" t="inlineStr"/>
      <c r="F141" s="5" t="inlineStr"/>
      <c r="G141" s="8">
        <f>IF($B141="","",VLOOKUP($B141,Jogos!$A$2:$K$105,9,FALSE))</f>
        <v/>
      </c>
      <c r="H141" s="8">
        <f>IF($B141="","",VLOOKUP($B141,Jogos!$A$2:$K$105,11,FALSE))</f>
        <v/>
      </c>
      <c r="I141" s="5">
        <f>IF(OR($A141="", $B141="", $E141="", $F141="", $G141="", $H141=""), "",IF(AND($E141=$G141, $F141=$H141), 3, IF(SIGN($E141-$F141)=SIGN($G141-$H141), 1, 0))))</f>
        <v/>
      </c>
    </row>
    <row r="142">
      <c r="A142" s="5" t="inlineStr"/>
      <c r="B142" s="5" t="inlineStr"/>
      <c r="C142" s="5">
        <f>IF($B142="","",VLOOKUP($B142,Jogos!$A$2:$K$105,8,FALSE))</f>
        <v/>
      </c>
      <c r="D142" s="5">
        <f>IF($B142="","",VLOOKUP($B142,Jogos!$A$2:$K$105,10,FALSE))</f>
        <v/>
      </c>
      <c r="E142" s="5" t="inlineStr"/>
      <c r="F142" s="5" t="inlineStr"/>
      <c r="G142" s="8">
        <f>IF($B142="","",VLOOKUP($B142,Jogos!$A$2:$K$105,9,FALSE))</f>
        <v/>
      </c>
      <c r="H142" s="8">
        <f>IF($B142="","",VLOOKUP($B142,Jogos!$A$2:$K$105,11,FALSE))</f>
        <v/>
      </c>
      <c r="I142" s="5">
        <f>IF(OR($A142="", $B142="", $E142="", $F142="", $G142="", $H142=""), "",IF(AND($E142=$G142, $F142=$H142), 3, IF(SIGN($E142-$F142)=SIGN($G142-$H142), 1, 0))))</f>
        <v/>
      </c>
    </row>
    <row r="143">
      <c r="A143" s="5" t="inlineStr"/>
      <c r="B143" s="5" t="inlineStr"/>
      <c r="C143" s="5">
        <f>IF($B143="","",VLOOKUP($B143,Jogos!$A$2:$K$105,8,FALSE))</f>
        <v/>
      </c>
      <c r="D143" s="5">
        <f>IF($B143="","",VLOOKUP($B143,Jogos!$A$2:$K$105,10,FALSE))</f>
        <v/>
      </c>
      <c r="E143" s="5" t="inlineStr"/>
      <c r="F143" s="5" t="inlineStr"/>
      <c r="G143" s="8">
        <f>IF($B143="","",VLOOKUP($B143,Jogos!$A$2:$K$105,9,FALSE))</f>
        <v/>
      </c>
      <c r="H143" s="8">
        <f>IF($B143="","",VLOOKUP($B143,Jogos!$A$2:$K$105,11,FALSE))</f>
        <v/>
      </c>
      <c r="I143" s="5">
        <f>IF(OR($A143="", $B143="", $E143="", $F143="", $G143="", $H143=""), "",IF(AND($E143=$G143, $F143=$H143), 3, IF(SIGN($E143-$F143)=SIGN($G143-$H143), 1, 0))))</f>
        <v/>
      </c>
    </row>
    <row r="144">
      <c r="A144" s="5" t="inlineStr"/>
      <c r="B144" s="5" t="inlineStr"/>
      <c r="C144" s="5">
        <f>IF($B144="","",VLOOKUP($B144,Jogos!$A$2:$K$105,8,FALSE))</f>
        <v/>
      </c>
      <c r="D144" s="5">
        <f>IF($B144="","",VLOOKUP($B144,Jogos!$A$2:$K$105,10,FALSE))</f>
        <v/>
      </c>
      <c r="E144" s="5" t="inlineStr"/>
      <c r="F144" s="5" t="inlineStr"/>
      <c r="G144" s="8">
        <f>IF($B144="","",VLOOKUP($B144,Jogos!$A$2:$K$105,9,FALSE))</f>
        <v/>
      </c>
      <c r="H144" s="8">
        <f>IF($B144="","",VLOOKUP($B144,Jogos!$A$2:$K$105,11,FALSE))</f>
        <v/>
      </c>
      <c r="I144" s="5">
        <f>IF(OR($A144="", $B144="", $E144="", $F144="", $G144="", $H144=""), "",IF(AND($E144=$G144, $F144=$H144), 3, IF(SIGN($E144-$F144)=SIGN($G144-$H144), 1, 0))))</f>
        <v/>
      </c>
    </row>
    <row r="145">
      <c r="A145" s="5" t="inlineStr"/>
      <c r="B145" s="5" t="inlineStr"/>
      <c r="C145" s="5">
        <f>IF($B145="","",VLOOKUP($B145,Jogos!$A$2:$K$105,8,FALSE))</f>
        <v/>
      </c>
      <c r="D145" s="5">
        <f>IF($B145="","",VLOOKUP($B145,Jogos!$A$2:$K$105,10,FALSE))</f>
        <v/>
      </c>
      <c r="E145" s="5" t="inlineStr"/>
      <c r="F145" s="5" t="inlineStr"/>
      <c r="G145" s="8">
        <f>IF($B145="","",VLOOKUP($B145,Jogos!$A$2:$K$105,9,FALSE))</f>
        <v/>
      </c>
      <c r="H145" s="8">
        <f>IF($B145="","",VLOOKUP($B145,Jogos!$A$2:$K$105,11,FALSE))</f>
        <v/>
      </c>
      <c r="I145" s="5">
        <f>IF(OR($A145="", $B145="", $E145="", $F145="", $G145="", $H145=""), "",IF(AND($E145=$G145, $F145=$H145), 3, IF(SIGN($E145-$F145)=SIGN($G145-$H145), 1, 0))))</f>
        <v/>
      </c>
    </row>
    <row r="146">
      <c r="A146" s="5" t="inlineStr"/>
      <c r="B146" s="5" t="inlineStr"/>
      <c r="C146" s="5">
        <f>IF($B146="","",VLOOKUP($B146,Jogos!$A$2:$K$105,8,FALSE))</f>
        <v/>
      </c>
      <c r="D146" s="5">
        <f>IF($B146="","",VLOOKUP($B146,Jogos!$A$2:$K$105,10,FALSE))</f>
        <v/>
      </c>
      <c r="E146" s="5" t="inlineStr"/>
      <c r="F146" s="5" t="inlineStr"/>
      <c r="G146" s="8">
        <f>IF($B146="","",VLOOKUP($B146,Jogos!$A$2:$K$105,9,FALSE))</f>
        <v/>
      </c>
      <c r="H146" s="8">
        <f>IF($B146="","",VLOOKUP($B146,Jogos!$A$2:$K$105,11,FALSE))</f>
        <v/>
      </c>
      <c r="I146" s="5">
        <f>IF(OR($A146="", $B146="", $E146="", $F146="", $G146="", $H146=""), "",IF(AND($E146=$G146, $F146=$H146), 3, IF(SIGN($E146-$F146)=SIGN($G146-$H146), 1, 0))))</f>
        <v/>
      </c>
    </row>
    <row r="147">
      <c r="A147" s="5" t="inlineStr"/>
      <c r="B147" s="5" t="inlineStr"/>
      <c r="C147" s="5">
        <f>IF($B147="","",VLOOKUP($B147,Jogos!$A$2:$K$105,8,FALSE))</f>
        <v/>
      </c>
      <c r="D147" s="5">
        <f>IF($B147="","",VLOOKUP($B147,Jogos!$A$2:$K$105,10,FALSE))</f>
        <v/>
      </c>
      <c r="E147" s="5" t="inlineStr"/>
      <c r="F147" s="5" t="inlineStr"/>
      <c r="G147" s="8">
        <f>IF($B147="","",VLOOKUP($B147,Jogos!$A$2:$K$105,9,FALSE))</f>
        <v/>
      </c>
      <c r="H147" s="8">
        <f>IF($B147="","",VLOOKUP($B147,Jogos!$A$2:$K$105,11,FALSE))</f>
        <v/>
      </c>
      <c r="I147" s="5">
        <f>IF(OR($A147="", $B147="", $E147="", $F147="", $G147="", $H147=""), "",IF(AND($E147=$G147, $F147=$H147), 3, IF(SIGN($E147-$F147)=SIGN($G147-$H147), 1, 0))))</f>
        <v/>
      </c>
    </row>
    <row r="148">
      <c r="A148" s="5" t="inlineStr"/>
      <c r="B148" s="5" t="inlineStr"/>
      <c r="C148" s="5">
        <f>IF($B148="","",VLOOKUP($B148,Jogos!$A$2:$K$105,8,FALSE))</f>
        <v/>
      </c>
      <c r="D148" s="5">
        <f>IF($B148="","",VLOOKUP($B148,Jogos!$A$2:$K$105,10,FALSE))</f>
        <v/>
      </c>
      <c r="E148" s="5" t="inlineStr"/>
      <c r="F148" s="5" t="inlineStr"/>
      <c r="G148" s="8">
        <f>IF($B148="","",VLOOKUP($B148,Jogos!$A$2:$K$105,9,FALSE))</f>
        <v/>
      </c>
      <c r="H148" s="8">
        <f>IF($B148="","",VLOOKUP($B148,Jogos!$A$2:$K$105,11,FALSE))</f>
        <v/>
      </c>
      <c r="I148" s="5">
        <f>IF(OR($A148="", $B148="", $E148="", $F148="", $G148="", $H148=""), "",IF(AND($E148=$G148, $F148=$H148), 3, IF(SIGN($E148-$F148)=SIGN($G148-$H148), 1, 0))))</f>
        <v/>
      </c>
    </row>
    <row r="149">
      <c r="A149" s="5" t="inlineStr"/>
      <c r="B149" s="5" t="inlineStr"/>
      <c r="C149" s="5">
        <f>IF($B149="","",VLOOKUP($B149,Jogos!$A$2:$K$105,8,FALSE))</f>
        <v/>
      </c>
      <c r="D149" s="5">
        <f>IF($B149="","",VLOOKUP($B149,Jogos!$A$2:$K$105,10,FALSE))</f>
        <v/>
      </c>
      <c r="E149" s="5" t="inlineStr"/>
      <c r="F149" s="5" t="inlineStr"/>
      <c r="G149" s="8">
        <f>IF($B149="","",VLOOKUP($B149,Jogos!$A$2:$K$105,9,FALSE))</f>
        <v/>
      </c>
      <c r="H149" s="8">
        <f>IF($B149="","",VLOOKUP($B149,Jogos!$A$2:$K$105,11,FALSE))</f>
        <v/>
      </c>
      <c r="I149" s="5">
        <f>IF(OR($A149="", $B149="", $E149="", $F149="", $G149="", $H149=""), "",IF(AND($E149=$G149, $F149=$H149), 3, IF(SIGN($E149-$F149)=SIGN($G149-$H149), 1, 0))))</f>
        <v/>
      </c>
    </row>
    <row r="150">
      <c r="A150" s="5" t="inlineStr"/>
      <c r="B150" s="5" t="inlineStr"/>
      <c r="C150" s="5">
        <f>IF($B150="","",VLOOKUP($B150,Jogos!$A$2:$K$105,8,FALSE))</f>
        <v/>
      </c>
      <c r="D150" s="5">
        <f>IF($B150="","",VLOOKUP($B150,Jogos!$A$2:$K$105,10,FALSE))</f>
        <v/>
      </c>
      <c r="E150" s="5" t="inlineStr"/>
      <c r="F150" s="5" t="inlineStr"/>
      <c r="G150" s="8">
        <f>IF($B150="","",VLOOKUP($B150,Jogos!$A$2:$K$105,9,FALSE))</f>
        <v/>
      </c>
      <c r="H150" s="8">
        <f>IF($B150="","",VLOOKUP($B150,Jogos!$A$2:$K$105,11,FALSE))</f>
        <v/>
      </c>
      <c r="I150" s="5">
        <f>IF(OR($A150="", $B150="", $E150="", $F150="", $G150="", $H150=""), "",IF(AND($E150=$G150, $F150=$H150), 3, IF(SIGN($E150-$F150)=SIGN($G150-$H150), 1, 0))))</f>
        <v/>
      </c>
    </row>
    <row r="151">
      <c r="A151" s="5" t="inlineStr"/>
      <c r="B151" s="5" t="inlineStr"/>
      <c r="C151" s="5">
        <f>IF($B151="","",VLOOKUP($B151,Jogos!$A$2:$K$105,8,FALSE))</f>
        <v/>
      </c>
      <c r="D151" s="5">
        <f>IF($B151="","",VLOOKUP($B151,Jogos!$A$2:$K$105,10,FALSE))</f>
        <v/>
      </c>
      <c r="E151" s="5" t="inlineStr"/>
      <c r="F151" s="5" t="inlineStr"/>
      <c r="G151" s="8">
        <f>IF($B151="","",VLOOKUP($B151,Jogos!$A$2:$K$105,9,FALSE))</f>
        <v/>
      </c>
      <c r="H151" s="8">
        <f>IF($B151="","",VLOOKUP($B151,Jogos!$A$2:$K$105,11,FALSE))</f>
        <v/>
      </c>
      <c r="I151" s="5">
        <f>IF(OR($A151="", $B151="", $E151="", $F151="", $G151="", $H151=""), "",IF(AND($E151=$G151, $F151=$H151), 3, IF(SIGN($E151-$F151)=SIGN($G151-$H151), 1, 0))))</f>
        <v/>
      </c>
    </row>
    <row r="152">
      <c r="A152" s="5" t="inlineStr"/>
      <c r="B152" s="5" t="inlineStr"/>
      <c r="C152" s="5">
        <f>IF($B152="","",VLOOKUP($B152,Jogos!$A$2:$K$105,8,FALSE))</f>
        <v/>
      </c>
      <c r="D152" s="5">
        <f>IF($B152="","",VLOOKUP($B152,Jogos!$A$2:$K$105,10,FALSE))</f>
        <v/>
      </c>
      <c r="E152" s="5" t="inlineStr"/>
      <c r="F152" s="5" t="inlineStr"/>
      <c r="G152" s="8">
        <f>IF($B152="","",VLOOKUP($B152,Jogos!$A$2:$K$105,9,FALSE))</f>
        <v/>
      </c>
      <c r="H152" s="8">
        <f>IF($B152="","",VLOOKUP($B152,Jogos!$A$2:$K$105,11,FALSE))</f>
        <v/>
      </c>
      <c r="I152" s="5">
        <f>IF(OR($A152="", $B152="", $E152="", $F152="", $G152="", $H152=""), "",IF(AND($E152=$G152, $F152=$H152), 3, IF(SIGN($E152-$F152)=SIGN($G152-$H152), 1, 0))))</f>
        <v/>
      </c>
    </row>
    <row r="153">
      <c r="A153" s="5" t="inlineStr"/>
      <c r="B153" s="5" t="inlineStr"/>
      <c r="C153" s="5">
        <f>IF($B153="","",VLOOKUP($B153,Jogos!$A$2:$K$105,8,FALSE))</f>
        <v/>
      </c>
      <c r="D153" s="5">
        <f>IF($B153="","",VLOOKUP($B153,Jogos!$A$2:$K$105,10,FALSE))</f>
        <v/>
      </c>
      <c r="E153" s="5" t="inlineStr"/>
      <c r="F153" s="5" t="inlineStr"/>
      <c r="G153" s="8">
        <f>IF($B153="","",VLOOKUP($B153,Jogos!$A$2:$K$105,9,FALSE))</f>
        <v/>
      </c>
      <c r="H153" s="8">
        <f>IF($B153="","",VLOOKUP($B153,Jogos!$A$2:$K$105,11,FALSE))</f>
        <v/>
      </c>
      <c r="I153" s="5">
        <f>IF(OR($A153="", $B153="", $E153="", $F153="", $G153="", $H153=""), "",IF(AND($E153=$G153, $F153=$H153), 3, IF(SIGN($E153-$F153)=SIGN($G153-$H153), 1, 0))))</f>
        <v/>
      </c>
    </row>
    <row r="154">
      <c r="A154" s="5" t="inlineStr"/>
      <c r="B154" s="5" t="inlineStr"/>
      <c r="C154" s="5">
        <f>IF($B154="","",VLOOKUP($B154,Jogos!$A$2:$K$105,8,FALSE))</f>
        <v/>
      </c>
      <c r="D154" s="5">
        <f>IF($B154="","",VLOOKUP($B154,Jogos!$A$2:$K$105,10,FALSE))</f>
        <v/>
      </c>
      <c r="E154" s="5" t="inlineStr"/>
      <c r="F154" s="5" t="inlineStr"/>
      <c r="G154" s="8">
        <f>IF($B154="","",VLOOKUP($B154,Jogos!$A$2:$K$105,9,FALSE))</f>
        <v/>
      </c>
      <c r="H154" s="8">
        <f>IF($B154="","",VLOOKUP($B154,Jogos!$A$2:$K$105,11,FALSE))</f>
        <v/>
      </c>
      <c r="I154" s="5">
        <f>IF(OR($A154="", $B154="", $E154="", $F154="", $G154="", $H154=""), "",IF(AND($E154=$G154, $F154=$H154), 3, IF(SIGN($E154-$F154)=SIGN($G154-$H154), 1, 0))))</f>
        <v/>
      </c>
    </row>
    <row r="155">
      <c r="A155" s="5" t="inlineStr"/>
      <c r="B155" s="5" t="inlineStr"/>
      <c r="C155" s="5">
        <f>IF($B155="","",VLOOKUP($B155,Jogos!$A$2:$K$105,8,FALSE))</f>
        <v/>
      </c>
      <c r="D155" s="5">
        <f>IF($B155="","",VLOOKUP($B155,Jogos!$A$2:$K$105,10,FALSE))</f>
        <v/>
      </c>
      <c r="E155" s="5" t="inlineStr"/>
      <c r="F155" s="5" t="inlineStr"/>
      <c r="G155" s="8">
        <f>IF($B155="","",VLOOKUP($B155,Jogos!$A$2:$K$105,9,FALSE))</f>
        <v/>
      </c>
      <c r="H155" s="8">
        <f>IF($B155="","",VLOOKUP($B155,Jogos!$A$2:$K$105,11,FALSE))</f>
        <v/>
      </c>
      <c r="I155" s="5">
        <f>IF(OR($A155="", $B155="", $E155="", $F155="", $G155="", $H155=""), "",IF(AND($E155=$G155, $F155=$H155), 3, IF(SIGN($E155-$F155)=SIGN($G155-$H155), 1, 0))))</f>
        <v/>
      </c>
    </row>
    <row r="156">
      <c r="A156" s="5" t="inlineStr"/>
      <c r="B156" s="5" t="inlineStr"/>
      <c r="C156" s="5">
        <f>IF($B156="","",VLOOKUP($B156,Jogos!$A$2:$K$105,8,FALSE))</f>
        <v/>
      </c>
      <c r="D156" s="5">
        <f>IF($B156="","",VLOOKUP($B156,Jogos!$A$2:$K$105,10,FALSE))</f>
        <v/>
      </c>
      <c r="E156" s="5" t="inlineStr"/>
      <c r="F156" s="5" t="inlineStr"/>
      <c r="G156" s="8">
        <f>IF($B156="","",VLOOKUP($B156,Jogos!$A$2:$K$105,9,FALSE))</f>
        <v/>
      </c>
      <c r="H156" s="8">
        <f>IF($B156="","",VLOOKUP($B156,Jogos!$A$2:$K$105,11,FALSE))</f>
        <v/>
      </c>
      <c r="I156" s="5">
        <f>IF(OR($A156="", $B156="", $E156="", $F156="", $G156="", $H156=""), "",IF(AND($E156=$G156, $F156=$H156), 3, IF(SIGN($E156-$F156)=SIGN($G156-$H156), 1, 0))))</f>
        <v/>
      </c>
    </row>
    <row r="157">
      <c r="A157" s="5" t="inlineStr"/>
      <c r="B157" s="5" t="inlineStr"/>
      <c r="C157" s="5">
        <f>IF($B157="","",VLOOKUP($B157,Jogos!$A$2:$K$105,8,FALSE))</f>
        <v/>
      </c>
      <c r="D157" s="5">
        <f>IF($B157="","",VLOOKUP($B157,Jogos!$A$2:$K$105,10,FALSE))</f>
        <v/>
      </c>
      <c r="E157" s="5" t="inlineStr"/>
      <c r="F157" s="5" t="inlineStr"/>
      <c r="G157" s="8">
        <f>IF($B157="","",VLOOKUP($B157,Jogos!$A$2:$K$105,9,FALSE))</f>
        <v/>
      </c>
      <c r="H157" s="8">
        <f>IF($B157="","",VLOOKUP($B157,Jogos!$A$2:$K$105,11,FALSE))</f>
        <v/>
      </c>
      <c r="I157" s="5">
        <f>IF(OR($A157="", $B157="", $E157="", $F157="", $G157="", $H157=""), "",IF(AND($E157=$G157, $F157=$H157), 3, IF(SIGN($E157-$F157)=SIGN($G157-$H157), 1, 0))))</f>
        <v/>
      </c>
    </row>
    <row r="158">
      <c r="A158" s="5" t="inlineStr"/>
      <c r="B158" s="5" t="inlineStr"/>
      <c r="C158" s="5">
        <f>IF($B158="","",VLOOKUP($B158,Jogos!$A$2:$K$105,8,FALSE))</f>
        <v/>
      </c>
      <c r="D158" s="5">
        <f>IF($B158="","",VLOOKUP($B158,Jogos!$A$2:$K$105,10,FALSE))</f>
        <v/>
      </c>
      <c r="E158" s="5" t="inlineStr"/>
      <c r="F158" s="5" t="inlineStr"/>
      <c r="G158" s="8">
        <f>IF($B158="","",VLOOKUP($B158,Jogos!$A$2:$K$105,9,FALSE))</f>
        <v/>
      </c>
      <c r="H158" s="8">
        <f>IF($B158="","",VLOOKUP($B158,Jogos!$A$2:$K$105,11,FALSE))</f>
        <v/>
      </c>
      <c r="I158" s="5">
        <f>IF(OR($A158="", $B158="", $E158="", $F158="", $G158="", $H158=""), "",IF(AND($E158=$G158, $F158=$H158), 3, IF(SIGN($E158-$F158)=SIGN($G158-$H158), 1, 0))))</f>
        <v/>
      </c>
    </row>
    <row r="159">
      <c r="A159" s="5" t="inlineStr"/>
      <c r="B159" s="5" t="inlineStr"/>
      <c r="C159" s="5">
        <f>IF($B159="","",VLOOKUP($B159,Jogos!$A$2:$K$105,8,FALSE))</f>
        <v/>
      </c>
      <c r="D159" s="5">
        <f>IF($B159="","",VLOOKUP($B159,Jogos!$A$2:$K$105,10,FALSE))</f>
        <v/>
      </c>
      <c r="E159" s="5" t="inlineStr"/>
      <c r="F159" s="5" t="inlineStr"/>
      <c r="G159" s="8">
        <f>IF($B159="","",VLOOKUP($B159,Jogos!$A$2:$K$105,9,FALSE))</f>
        <v/>
      </c>
      <c r="H159" s="8">
        <f>IF($B159="","",VLOOKUP($B159,Jogos!$A$2:$K$105,11,FALSE))</f>
        <v/>
      </c>
      <c r="I159" s="5">
        <f>IF(OR($A159="", $B159="", $E159="", $F159="", $G159="", $H159=""), "",IF(AND($E159=$G159, $F159=$H159), 3, IF(SIGN($E159-$F159)=SIGN($G159-$H159), 1, 0))))</f>
        <v/>
      </c>
    </row>
    <row r="160">
      <c r="A160" s="5" t="inlineStr"/>
      <c r="B160" s="5" t="inlineStr"/>
      <c r="C160" s="5">
        <f>IF($B160="","",VLOOKUP($B160,Jogos!$A$2:$K$105,8,FALSE))</f>
        <v/>
      </c>
      <c r="D160" s="5">
        <f>IF($B160="","",VLOOKUP($B160,Jogos!$A$2:$K$105,10,FALSE))</f>
        <v/>
      </c>
      <c r="E160" s="5" t="inlineStr"/>
      <c r="F160" s="5" t="inlineStr"/>
      <c r="G160" s="8">
        <f>IF($B160="","",VLOOKUP($B160,Jogos!$A$2:$K$105,9,FALSE))</f>
        <v/>
      </c>
      <c r="H160" s="8">
        <f>IF($B160="","",VLOOKUP($B160,Jogos!$A$2:$K$105,11,FALSE))</f>
        <v/>
      </c>
      <c r="I160" s="5">
        <f>IF(OR($A160="", $B160="", $E160="", $F160="", $G160="", $H160=""), "",IF(AND($E160=$G160, $F160=$H160), 3, IF(SIGN($E160-$F160)=SIGN($G160-$H160), 1, 0))))</f>
        <v/>
      </c>
    </row>
    <row r="161">
      <c r="A161" s="5" t="inlineStr"/>
      <c r="B161" s="5" t="inlineStr"/>
      <c r="C161" s="5">
        <f>IF($B161="","",VLOOKUP($B161,Jogos!$A$2:$K$105,8,FALSE))</f>
        <v/>
      </c>
      <c r="D161" s="5">
        <f>IF($B161="","",VLOOKUP($B161,Jogos!$A$2:$K$105,10,FALSE))</f>
        <v/>
      </c>
      <c r="E161" s="5" t="inlineStr"/>
      <c r="F161" s="5" t="inlineStr"/>
      <c r="G161" s="8">
        <f>IF($B161="","",VLOOKUP($B161,Jogos!$A$2:$K$105,9,FALSE))</f>
        <v/>
      </c>
      <c r="H161" s="8">
        <f>IF($B161="","",VLOOKUP($B161,Jogos!$A$2:$K$105,11,FALSE))</f>
        <v/>
      </c>
      <c r="I161" s="5">
        <f>IF(OR($A161="", $B161="", $E161="", $F161="", $G161="", $H161=""), "",IF(AND($E161=$G161, $F161=$H161), 3, IF(SIGN($E161-$F161)=SIGN($G161-$H161), 1, 0))))</f>
        <v/>
      </c>
    </row>
    <row r="162">
      <c r="A162" s="5" t="inlineStr"/>
      <c r="B162" s="5" t="inlineStr"/>
      <c r="C162" s="5">
        <f>IF($B162="","",VLOOKUP($B162,Jogos!$A$2:$K$105,8,FALSE))</f>
        <v/>
      </c>
      <c r="D162" s="5">
        <f>IF($B162="","",VLOOKUP($B162,Jogos!$A$2:$K$105,10,FALSE))</f>
        <v/>
      </c>
      <c r="E162" s="5" t="inlineStr"/>
      <c r="F162" s="5" t="inlineStr"/>
      <c r="G162" s="8">
        <f>IF($B162="","",VLOOKUP($B162,Jogos!$A$2:$K$105,9,FALSE))</f>
        <v/>
      </c>
      <c r="H162" s="8">
        <f>IF($B162="","",VLOOKUP($B162,Jogos!$A$2:$K$105,11,FALSE))</f>
        <v/>
      </c>
      <c r="I162" s="5">
        <f>IF(OR($A162="", $B162="", $E162="", $F162="", $G162="", $H162=""), "",IF(AND($E162=$G162, $F162=$H162), 3, IF(SIGN($E162-$F162)=SIGN($G162-$H162), 1, 0))))</f>
        <v/>
      </c>
    </row>
    <row r="163">
      <c r="A163" s="5" t="inlineStr"/>
      <c r="B163" s="5" t="inlineStr"/>
      <c r="C163" s="5">
        <f>IF($B163="","",VLOOKUP($B163,Jogos!$A$2:$K$105,8,FALSE))</f>
        <v/>
      </c>
      <c r="D163" s="5">
        <f>IF($B163="","",VLOOKUP($B163,Jogos!$A$2:$K$105,10,FALSE))</f>
        <v/>
      </c>
      <c r="E163" s="5" t="inlineStr"/>
      <c r="F163" s="5" t="inlineStr"/>
      <c r="G163" s="8">
        <f>IF($B163="","",VLOOKUP($B163,Jogos!$A$2:$K$105,9,FALSE))</f>
        <v/>
      </c>
      <c r="H163" s="8">
        <f>IF($B163="","",VLOOKUP($B163,Jogos!$A$2:$K$105,11,FALSE))</f>
        <v/>
      </c>
      <c r="I163" s="5">
        <f>IF(OR($A163="", $B163="", $E163="", $F163="", $G163="", $H163=""), "",IF(AND($E163=$G163, $F163=$H163), 3, IF(SIGN($E163-$F163)=SIGN($G163-$H163), 1, 0))))</f>
        <v/>
      </c>
    </row>
    <row r="164">
      <c r="A164" s="5" t="inlineStr"/>
      <c r="B164" s="5" t="inlineStr"/>
      <c r="C164" s="5">
        <f>IF($B164="","",VLOOKUP($B164,Jogos!$A$2:$K$105,8,FALSE))</f>
        <v/>
      </c>
      <c r="D164" s="5">
        <f>IF($B164="","",VLOOKUP($B164,Jogos!$A$2:$K$105,10,FALSE))</f>
        <v/>
      </c>
      <c r="E164" s="5" t="inlineStr"/>
      <c r="F164" s="5" t="inlineStr"/>
      <c r="G164" s="8">
        <f>IF($B164="","",VLOOKUP($B164,Jogos!$A$2:$K$105,9,FALSE))</f>
        <v/>
      </c>
      <c r="H164" s="8">
        <f>IF($B164="","",VLOOKUP($B164,Jogos!$A$2:$K$105,11,FALSE))</f>
        <v/>
      </c>
      <c r="I164" s="5">
        <f>IF(OR($A164="", $B164="", $E164="", $F164="", $G164="", $H164=""), "",IF(AND($E164=$G164, $F164=$H164), 3, IF(SIGN($E164-$F164)=SIGN($G164-$H164), 1, 0))))</f>
        <v/>
      </c>
    </row>
    <row r="165">
      <c r="A165" s="5" t="inlineStr"/>
      <c r="B165" s="5" t="inlineStr"/>
      <c r="C165" s="5">
        <f>IF($B165="","",VLOOKUP($B165,Jogos!$A$2:$K$105,8,FALSE))</f>
        <v/>
      </c>
      <c r="D165" s="5">
        <f>IF($B165="","",VLOOKUP($B165,Jogos!$A$2:$K$105,10,FALSE))</f>
        <v/>
      </c>
      <c r="E165" s="5" t="inlineStr"/>
      <c r="F165" s="5" t="inlineStr"/>
      <c r="G165" s="8">
        <f>IF($B165="","",VLOOKUP($B165,Jogos!$A$2:$K$105,9,FALSE))</f>
        <v/>
      </c>
      <c r="H165" s="8">
        <f>IF($B165="","",VLOOKUP($B165,Jogos!$A$2:$K$105,11,FALSE))</f>
        <v/>
      </c>
      <c r="I165" s="5">
        <f>IF(OR($A165="", $B165="", $E165="", $F165="", $G165="", $H165=""), "",IF(AND($E165=$G165, $F165=$H165), 3, IF(SIGN($E165-$F165)=SIGN($G165-$H165), 1, 0))))</f>
        <v/>
      </c>
    </row>
    <row r="166">
      <c r="A166" s="5" t="inlineStr"/>
      <c r="B166" s="5" t="inlineStr"/>
      <c r="C166" s="5">
        <f>IF($B166="","",VLOOKUP($B166,Jogos!$A$2:$K$105,8,FALSE))</f>
        <v/>
      </c>
      <c r="D166" s="5">
        <f>IF($B166="","",VLOOKUP($B166,Jogos!$A$2:$K$105,10,FALSE))</f>
        <v/>
      </c>
      <c r="E166" s="5" t="inlineStr"/>
      <c r="F166" s="5" t="inlineStr"/>
      <c r="G166" s="8">
        <f>IF($B166="","",VLOOKUP($B166,Jogos!$A$2:$K$105,9,FALSE))</f>
        <v/>
      </c>
      <c r="H166" s="8">
        <f>IF($B166="","",VLOOKUP($B166,Jogos!$A$2:$K$105,11,FALSE))</f>
        <v/>
      </c>
      <c r="I166" s="5">
        <f>IF(OR($A166="", $B166="", $E166="", $F166="", $G166="", $H166=""), "",IF(AND($E166=$G166, $F166=$H166), 3, IF(SIGN($E166-$F166)=SIGN($G166-$H166), 1, 0))))</f>
        <v/>
      </c>
    </row>
    <row r="167">
      <c r="A167" s="5" t="inlineStr"/>
      <c r="B167" s="5" t="inlineStr"/>
      <c r="C167" s="5">
        <f>IF($B167="","",VLOOKUP($B167,Jogos!$A$2:$K$105,8,FALSE))</f>
        <v/>
      </c>
      <c r="D167" s="5">
        <f>IF($B167="","",VLOOKUP($B167,Jogos!$A$2:$K$105,10,FALSE))</f>
        <v/>
      </c>
      <c r="E167" s="5" t="inlineStr"/>
      <c r="F167" s="5" t="inlineStr"/>
      <c r="G167" s="8">
        <f>IF($B167="","",VLOOKUP($B167,Jogos!$A$2:$K$105,9,FALSE))</f>
        <v/>
      </c>
      <c r="H167" s="8">
        <f>IF($B167="","",VLOOKUP($B167,Jogos!$A$2:$K$105,11,FALSE))</f>
        <v/>
      </c>
      <c r="I167" s="5">
        <f>IF(OR($A167="", $B167="", $E167="", $F167="", $G167="", $H167=""), "",IF(AND($E167=$G167, $F167=$H167), 3, IF(SIGN($E167-$F167)=SIGN($G167-$H167), 1, 0))))</f>
        <v/>
      </c>
    </row>
    <row r="168">
      <c r="A168" s="5" t="inlineStr"/>
      <c r="B168" s="5" t="inlineStr"/>
      <c r="C168" s="5">
        <f>IF($B168="","",VLOOKUP($B168,Jogos!$A$2:$K$105,8,FALSE))</f>
        <v/>
      </c>
      <c r="D168" s="5">
        <f>IF($B168="","",VLOOKUP($B168,Jogos!$A$2:$K$105,10,FALSE))</f>
        <v/>
      </c>
      <c r="E168" s="5" t="inlineStr"/>
      <c r="F168" s="5" t="inlineStr"/>
      <c r="G168" s="8">
        <f>IF($B168="","",VLOOKUP($B168,Jogos!$A$2:$K$105,9,FALSE))</f>
        <v/>
      </c>
      <c r="H168" s="8">
        <f>IF($B168="","",VLOOKUP($B168,Jogos!$A$2:$K$105,11,FALSE))</f>
        <v/>
      </c>
      <c r="I168" s="5">
        <f>IF(OR($A168="", $B168="", $E168="", $F168="", $G168="", $H168=""), "",IF(AND($E168=$G168, $F168=$H168), 3, IF(SIGN($E168-$F168)=SIGN($G168-$H168), 1, 0))))</f>
        <v/>
      </c>
    </row>
    <row r="169">
      <c r="A169" s="5" t="inlineStr"/>
      <c r="B169" s="5" t="inlineStr"/>
      <c r="C169" s="5">
        <f>IF($B169="","",VLOOKUP($B169,Jogos!$A$2:$K$105,8,FALSE))</f>
        <v/>
      </c>
      <c r="D169" s="5">
        <f>IF($B169="","",VLOOKUP($B169,Jogos!$A$2:$K$105,10,FALSE))</f>
        <v/>
      </c>
      <c r="E169" s="5" t="inlineStr"/>
      <c r="F169" s="5" t="inlineStr"/>
      <c r="G169" s="8">
        <f>IF($B169="","",VLOOKUP($B169,Jogos!$A$2:$K$105,9,FALSE))</f>
        <v/>
      </c>
      <c r="H169" s="8">
        <f>IF($B169="","",VLOOKUP($B169,Jogos!$A$2:$K$105,11,FALSE))</f>
        <v/>
      </c>
      <c r="I169" s="5">
        <f>IF(OR($A169="", $B169="", $E169="", $F169="", $G169="", $H169=""), "",IF(AND($E169=$G169, $F169=$H169), 3, IF(SIGN($E169-$F169)=SIGN($G169-$H169), 1, 0))))</f>
        <v/>
      </c>
    </row>
    <row r="170">
      <c r="A170" s="5" t="inlineStr"/>
      <c r="B170" s="5" t="inlineStr"/>
      <c r="C170" s="5">
        <f>IF($B170="","",VLOOKUP($B170,Jogos!$A$2:$K$105,8,FALSE))</f>
        <v/>
      </c>
      <c r="D170" s="5">
        <f>IF($B170="","",VLOOKUP($B170,Jogos!$A$2:$K$105,10,FALSE))</f>
        <v/>
      </c>
      <c r="E170" s="5" t="inlineStr"/>
      <c r="F170" s="5" t="inlineStr"/>
      <c r="G170" s="8">
        <f>IF($B170="","",VLOOKUP($B170,Jogos!$A$2:$K$105,9,FALSE))</f>
        <v/>
      </c>
      <c r="H170" s="8">
        <f>IF($B170="","",VLOOKUP($B170,Jogos!$A$2:$K$105,11,FALSE))</f>
        <v/>
      </c>
      <c r="I170" s="5">
        <f>IF(OR($A170="", $B170="", $E170="", $F170="", $G170="", $H170=""), "",IF(AND($E170=$G170, $F170=$H170), 3, IF(SIGN($E170-$F170)=SIGN($G170-$H170), 1, 0))))</f>
        <v/>
      </c>
    </row>
    <row r="171">
      <c r="A171" s="5" t="inlineStr"/>
      <c r="B171" s="5" t="inlineStr"/>
      <c r="C171" s="5">
        <f>IF($B171="","",VLOOKUP($B171,Jogos!$A$2:$K$105,8,FALSE))</f>
        <v/>
      </c>
      <c r="D171" s="5">
        <f>IF($B171="","",VLOOKUP($B171,Jogos!$A$2:$K$105,10,FALSE))</f>
        <v/>
      </c>
      <c r="E171" s="5" t="inlineStr"/>
      <c r="F171" s="5" t="inlineStr"/>
      <c r="G171" s="8">
        <f>IF($B171="","",VLOOKUP($B171,Jogos!$A$2:$K$105,9,FALSE))</f>
        <v/>
      </c>
      <c r="H171" s="8">
        <f>IF($B171="","",VLOOKUP($B171,Jogos!$A$2:$K$105,11,FALSE))</f>
        <v/>
      </c>
      <c r="I171" s="5">
        <f>IF(OR($A171="", $B171="", $E171="", $F171="", $G171="", $H171=""), "",IF(AND($E171=$G171, $F171=$H171), 3, IF(SIGN($E171-$F171)=SIGN($G171-$H171), 1, 0))))</f>
        <v/>
      </c>
    </row>
    <row r="172">
      <c r="A172" s="5" t="inlineStr"/>
      <c r="B172" s="5" t="inlineStr"/>
      <c r="C172" s="5">
        <f>IF($B172="","",VLOOKUP($B172,Jogos!$A$2:$K$105,8,FALSE))</f>
        <v/>
      </c>
      <c r="D172" s="5">
        <f>IF($B172="","",VLOOKUP($B172,Jogos!$A$2:$K$105,10,FALSE))</f>
        <v/>
      </c>
      <c r="E172" s="5" t="inlineStr"/>
      <c r="F172" s="5" t="inlineStr"/>
      <c r="G172" s="8">
        <f>IF($B172="","",VLOOKUP($B172,Jogos!$A$2:$K$105,9,FALSE))</f>
        <v/>
      </c>
      <c r="H172" s="8">
        <f>IF($B172="","",VLOOKUP($B172,Jogos!$A$2:$K$105,11,FALSE))</f>
        <v/>
      </c>
      <c r="I172" s="5">
        <f>IF(OR($A172="", $B172="", $E172="", $F172="", $G172="", $H172=""), "",IF(AND($E172=$G172, $F172=$H172), 3, IF(SIGN($E172-$F172)=SIGN($G172-$H172), 1, 0))))</f>
        <v/>
      </c>
    </row>
    <row r="173">
      <c r="A173" s="5" t="inlineStr"/>
      <c r="B173" s="5" t="inlineStr"/>
      <c r="C173" s="5">
        <f>IF($B173="","",VLOOKUP($B173,Jogos!$A$2:$K$105,8,FALSE))</f>
        <v/>
      </c>
      <c r="D173" s="5">
        <f>IF($B173="","",VLOOKUP($B173,Jogos!$A$2:$K$105,10,FALSE))</f>
        <v/>
      </c>
      <c r="E173" s="5" t="inlineStr"/>
      <c r="F173" s="5" t="inlineStr"/>
      <c r="G173" s="8">
        <f>IF($B173="","",VLOOKUP($B173,Jogos!$A$2:$K$105,9,FALSE))</f>
        <v/>
      </c>
      <c r="H173" s="8">
        <f>IF($B173="","",VLOOKUP($B173,Jogos!$A$2:$K$105,11,FALSE))</f>
        <v/>
      </c>
      <c r="I173" s="5">
        <f>IF(OR($A173="", $B173="", $E173="", $F173="", $G173="", $H173=""), "",IF(AND($E173=$G173, $F173=$H173), 3, IF(SIGN($E173-$F173)=SIGN($G173-$H173), 1, 0))))</f>
        <v/>
      </c>
    </row>
    <row r="174">
      <c r="A174" s="5" t="inlineStr"/>
      <c r="B174" s="5" t="inlineStr"/>
      <c r="C174" s="5">
        <f>IF($B174="","",VLOOKUP($B174,Jogos!$A$2:$K$105,8,FALSE))</f>
        <v/>
      </c>
      <c r="D174" s="5">
        <f>IF($B174="","",VLOOKUP($B174,Jogos!$A$2:$K$105,10,FALSE))</f>
        <v/>
      </c>
      <c r="E174" s="5" t="inlineStr"/>
      <c r="F174" s="5" t="inlineStr"/>
      <c r="G174" s="8">
        <f>IF($B174="","",VLOOKUP($B174,Jogos!$A$2:$K$105,9,FALSE))</f>
        <v/>
      </c>
      <c r="H174" s="8">
        <f>IF($B174="","",VLOOKUP($B174,Jogos!$A$2:$K$105,11,FALSE))</f>
        <v/>
      </c>
      <c r="I174" s="5">
        <f>IF(OR($A174="", $B174="", $E174="", $F174="", $G174="", $H174=""), "",IF(AND($E174=$G174, $F174=$H174), 3, IF(SIGN($E174-$F174)=SIGN($G174-$H174), 1, 0))))</f>
        <v/>
      </c>
    </row>
    <row r="175">
      <c r="A175" s="5" t="inlineStr"/>
      <c r="B175" s="5" t="inlineStr"/>
      <c r="C175" s="5">
        <f>IF($B175="","",VLOOKUP($B175,Jogos!$A$2:$K$105,8,FALSE))</f>
        <v/>
      </c>
      <c r="D175" s="5">
        <f>IF($B175="","",VLOOKUP($B175,Jogos!$A$2:$K$105,10,FALSE))</f>
        <v/>
      </c>
      <c r="E175" s="5" t="inlineStr"/>
      <c r="F175" s="5" t="inlineStr"/>
      <c r="G175" s="8">
        <f>IF($B175="","",VLOOKUP($B175,Jogos!$A$2:$K$105,9,FALSE))</f>
        <v/>
      </c>
      <c r="H175" s="8">
        <f>IF($B175="","",VLOOKUP($B175,Jogos!$A$2:$K$105,11,FALSE))</f>
        <v/>
      </c>
      <c r="I175" s="5">
        <f>IF(OR($A175="", $B175="", $E175="", $F175="", $G175="", $H175=""), "",IF(AND($E175=$G175, $F175=$H175), 3, IF(SIGN($E175-$F175)=SIGN($G175-$H175), 1, 0))))</f>
        <v/>
      </c>
    </row>
    <row r="176">
      <c r="A176" s="5" t="inlineStr"/>
      <c r="B176" s="5" t="inlineStr"/>
      <c r="C176" s="5">
        <f>IF($B176="","",VLOOKUP($B176,Jogos!$A$2:$K$105,8,FALSE))</f>
        <v/>
      </c>
      <c r="D176" s="5">
        <f>IF($B176="","",VLOOKUP($B176,Jogos!$A$2:$K$105,10,FALSE))</f>
        <v/>
      </c>
      <c r="E176" s="5" t="inlineStr"/>
      <c r="F176" s="5" t="inlineStr"/>
      <c r="G176" s="8">
        <f>IF($B176="","",VLOOKUP($B176,Jogos!$A$2:$K$105,9,FALSE))</f>
        <v/>
      </c>
      <c r="H176" s="8">
        <f>IF($B176="","",VLOOKUP($B176,Jogos!$A$2:$K$105,11,FALSE))</f>
        <v/>
      </c>
      <c r="I176" s="5">
        <f>IF(OR($A176="", $B176="", $E176="", $F176="", $G176="", $H176=""), "",IF(AND($E176=$G176, $F176=$H176), 3, IF(SIGN($E176-$F176)=SIGN($G176-$H176), 1, 0))))</f>
        <v/>
      </c>
    </row>
    <row r="177">
      <c r="A177" s="5" t="inlineStr"/>
      <c r="B177" s="5" t="inlineStr"/>
      <c r="C177" s="5">
        <f>IF($B177="","",VLOOKUP($B177,Jogos!$A$2:$K$105,8,FALSE))</f>
        <v/>
      </c>
      <c r="D177" s="5">
        <f>IF($B177="","",VLOOKUP($B177,Jogos!$A$2:$K$105,10,FALSE))</f>
        <v/>
      </c>
      <c r="E177" s="5" t="inlineStr"/>
      <c r="F177" s="5" t="inlineStr"/>
      <c r="G177" s="8">
        <f>IF($B177="","",VLOOKUP($B177,Jogos!$A$2:$K$105,9,FALSE))</f>
        <v/>
      </c>
      <c r="H177" s="8">
        <f>IF($B177="","",VLOOKUP($B177,Jogos!$A$2:$K$105,11,FALSE))</f>
        <v/>
      </c>
      <c r="I177" s="5">
        <f>IF(OR($A177="", $B177="", $E177="", $F177="", $G177="", $H177=""), "",IF(AND($E177=$G177, $F177=$H177), 3, IF(SIGN($E177-$F177)=SIGN($G177-$H177), 1, 0))))</f>
        <v/>
      </c>
    </row>
    <row r="178">
      <c r="A178" s="5" t="inlineStr"/>
      <c r="B178" s="5" t="inlineStr"/>
      <c r="C178" s="5">
        <f>IF($B178="","",VLOOKUP($B178,Jogos!$A$2:$K$105,8,FALSE))</f>
        <v/>
      </c>
      <c r="D178" s="5">
        <f>IF($B178="","",VLOOKUP($B178,Jogos!$A$2:$K$105,10,FALSE))</f>
        <v/>
      </c>
      <c r="E178" s="5" t="inlineStr"/>
      <c r="F178" s="5" t="inlineStr"/>
      <c r="G178" s="8">
        <f>IF($B178="","",VLOOKUP($B178,Jogos!$A$2:$K$105,9,FALSE))</f>
        <v/>
      </c>
      <c r="H178" s="8">
        <f>IF($B178="","",VLOOKUP($B178,Jogos!$A$2:$K$105,11,FALSE))</f>
        <v/>
      </c>
      <c r="I178" s="5">
        <f>IF(OR($A178="", $B178="", $E178="", $F178="", $G178="", $H178=""), "",IF(AND($E178=$G178, $F178=$H178), 3, IF(SIGN($E178-$F178)=SIGN($G178-$H178), 1, 0))))</f>
        <v/>
      </c>
    </row>
    <row r="179">
      <c r="A179" s="5" t="inlineStr"/>
      <c r="B179" s="5" t="inlineStr"/>
      <c r="C179" s="5">
        <f>IF($B179="","",VLOOKUP($B179,Jogos!$A$2:$K$105,8,FALSE))</f>
        <v/>
      </c>
      <c r="D179" s="5">
        <f>IF($B179="","",VLOOKUP($B179,Jogos!$A$2:$K$105,10,FALSE))</f>
        <v/>
      </c>
      <c r="E179" s="5" t="inlineStr"/>
      <c r="F179" s="5" t="inlineStr"/>
      <c r="G179" s="8">
        <f>IF($B179="","",VLOOKUP($B179,Jogos!$A$2:$K$105,9,FALSE))</f>
        <v/>
      </c>
      <c r="H179" s="8">
        <f>IF($B179="","",VLOOKUP($B179,Jogos!$A$2:$K$105,11,FALSE))</f>
        <v/>
      </c>
      <c r="I179" s="5">
        <f>IF(OR($A179="", $B179="", $E179="", $F179="", $G179="", $H179=""), "",IF(AND($E179=$G179, $F179=$H179), 3, IF(SIGN($E179-$F179)=SIGN($G179-$H179), 1, 0))))</f>
        <v/>
      </c>
    </row>
    <row r="180">
      <c r="A180" s="5" t="inlineStr"/>
      <c r="B180" s="5" t="inlineStr"/>
      <c r="C180" s="5">
        <f>IF($B180="","",VLOOKUP($B180,Jogos!$A$2:$K$105,8,FALSE))</f>
        <v/>
      </c>
      <c r="D180" s="5">
        <f>IF($B180="","",VLOOKUP($B180,Jogos!$A$2:$K$105,10,FALSE))</f>
        <v/>
      </c>
      <c r="E180" s="5" t="inlineStr"/>
      <c r="F180" s="5" t="inlineStr"/>
      <c r="G180" s="8">
        <f>IF($B180="","",VLOOKUP($B180,Jogos!$A$2:$K$105,9,FALSE))</f>
        <v/>
      </c>
      <c r="H180" s="8">
        <f>IF($B180="","",VLOOKUP($B180,Jogos!$A$2:$K$105,11,FALSE))</f>
        <v/>
      </c>
      <c r="I180" s="5">
        <f>IF(OR($A180="", $B180="", $E180="", $F180="", $G180="", $H180=""), "",IF(AND($E180=$G180, $F180=$H180), 3, IF(SIGN($E180-$F180)=SIGN($G180-$H180), 1, 0))))</f>
        <v/>
      </c>
    </row>
    <row r="181">
      <c r="A181" s="5" t="inlineStr"/>
      <c r="B181" s="5" t="inlineStr"/>
      <c r="C181" s="5">
        <f>IF($B181="","",VLOOKUP($B181,Jogos!$A$2:$K$105,8,FALSE))</f>
        <v/>
      </c>
      <c r="D181" s="5">
        <f>IF($B181="","",VLOOKUP($B181,Jogos!$A$2:$K$105,10,FALSE))</f>
        <v/>
      </c>
      <c r="E181" s="5" t="inlineStr"/>
      <c r="F181" s="5" t="inlineStr"/>
      <c r="G181" s="8">
        <f>IF($B181="","",VLOOKUP($B181,Jogos!$A$2:$K$105,9,FALSE))</f>
        <v/>
      </c>
      <c r="H181" s="8">
        <f>IF($B181="","",VLOOKUP($B181,Jogos!$A$2:$K$105,11,FALSE))</f>
        <v/>
      </c>
      <c r="I181" s="5">
        <f>IF(OR($A181="", $B181="", $E181="", $F181="", $G181="", $H181=""), "",IF(AND($E181=$G181, $F181=$H181), 3, IF(SIGN($E181-$F181)=SIGN($G181-$H181), 1, 0))))</f>
        <v/>
      </c>
    </row>
    <row r="182">
      <c r="A182" s="5" t="inlineStr"/>
      <c r="B182" s="5" t="inlineStr"/>
      <c r="C182" s="5">
        <f>IF($B182="","",VLOOKUP($B182,Jogos!$A$2:$K$105,8,FALSE))</f>
        <v/>
      </c>
      <c r="D182" s="5">
        <f>IF($B182="","",VLOOKUP($B182,Jogos!$A$2:$K$105,10,FALSE))</f>
        <v/>
      </c>
      <c r="E182" s="5" t="inlineStr"/>
      <c r="F182" s="5" t="inlineStr"/>
      <c r="G182" s="8">
        <f>IF($B182="","",VLOOKUP($B182,Jogos!$A$2:$K$105,9,FALSE))</f>
        <v/>
      </c>
      <c r="H182" s="8">
        <f>IF($B182="","",VLOOKUP($B182,Jogos!$A$2:$K$105,11,FALSE))</f>
        <v/>
      </c>
      <c r="I182" s="5">
        <f>IF(OR($A182="", $B182="", $E182="", $F182="", $G182="", $H182=""), "",IF(AND($E182=$G182, $F182=$H182), 3, IF(SIGN($E182-$F182)=SIGN($G182-$H182), 1, 0))))</f>
        <v/>
      </c>
    </row>
    <row r="183">
      <c r="A183" s="5" t="inlineStr"/>
      <c r="B183" s="5" t="inlineStr"/>
      <c r="C183" s="5">
        <f>IF($B183="","",VLOOKUP($B183,Jogos!$A$2:$K$105,8,FALSE))</f>
        <v/>
      </c>
      <c r="D183" s="5">
        <f>IF($B183="","",VLOOKUP($B183,Jogos!$A$2:$K$105,10,FALSE))</f>
        <v/>
      </c>
      <c r="E183" s="5" t="inlineStr"/>
      <c r="F183" s="5" t="inlineStr"/>
      <c r="G183" s="8">
        <f>IF($B183="","",VLOOKUP($B183,Jogos!$A$2:$K$105,9,FALSE))</f>
        <v/>
      </c>
      <c r="H183" s="8">
        <f>IF($B183="","",VLOOKUP($B183,Jogos!$A$2:$K$105,11,FALSE))</f>
        <v/>
      </c>
      <c r="I183" s="5">
        <f>IF(OR($A183="", $B183="", $E183="", $F183="", $G183="", $H183=""), "",IF(AND($E183=$G183, $F183=$H183), 3, IF(SIGN($E183-$F183)=SIGN($G183-$H183), 1, 0))))</f>
        <v/>
      </c>
    </row>
    <row r="184">
      <c r="A184" s="5" t="inlineStr"/>
      <c r="B184" s="5" t="inlineStr"/>
      <c r="C184" s="5">
        <f>IF($B184="","",VLOOKUP($B184,Jogos!$A$2:$K$105,8,FALSE))</f>
        <v/>
      </c>
      <c r="D184" s="5">
        <f>IF($B184="","",VLOOKUP($B184,Jogos!$A$2:$K$105,10,FALSE))</f>
        <v/>
      </c>
      <c r="E184" s="5" t="inlineStr"/>
      <c r="F184" s="5" t="inlineStr"/>
      <c r="G184" s="8">
        <f>IF($B184="","",VLOOKUP($B184,Jogos!$A$2:$K$105,9,FALSE))</f>
        <v/>
      </c>
      <c r="H184" s="8">
        <f>IF($B184="","",VLOOKUP($B184,Jogos!$A$2:$K$105,11,FALSE))</f>
        <v/>
      </c>
      <c r="I184" s="5">
        <f>IF(OR($A184="", $B184="", $E184="", $F184="", $G184="", $H184=""), "",IF(AND($E184=$G184, $F184=$H184), 3, IF(SIGN($E184-$F184)=SIGN($G184-$H184), 1, 0))))</f>
        <v/>
      </c>
    </row>
    <row r="185">
      <c r="A185" s="5" t="inlineStr"/>
      <c r="B185" s="5" t="inlineStr"/>
      <c r="C185" s="5">
        <f>IF($B185="","",VLOOKUP($B185,Jogos!$A$2:$K$105,8,FALSE))</f>
        <v/>
      </c>
      <c r="D185" s="5">
        <f>IF($B185="","",VLOOKUP($B185,Jogos!$A$2:$K$105,10,FALSE))</f>
        <v/>
      </c>
      <c r="E185" s="5" t="inlineStr"/>
      <c r="F185" s="5" t="inlineStr"/>
      <c r="G185" s="8">
        <f>IF($B185="","",VLOOKUP($B185,Jogos!$A$2:$K$105,9,FALSE))</f>
        <v/>
      </c>
      <c r="H185" s="8">
        <f>IF($B185="","",VLOOKUP($B185,Jogos!$A$2:$K$105,11,FALSE))</f>
        <v/>
      </c>
      <c r="I185" s="5">
        <f>IF(OR($A185="", $B185="", $E185="", $F185="", $G185="", $H185=""), "",IF(AND($E185=$G185, $F185=$H185), 3, IF(SIGN($E185-$F185)=SIGN($G185-$H185), 1, 0))))</f>
        <v/>
      </c>
    </row>
    <row r="186">
      <c r="A186" s="5" t="inlineStr"/>
      <c r="B186" s="5" t="inlineStr"/>
      <c r="C186" s="5">
        <f>IF($B186="","",VLOOKUP($B186,Jogos!$A$2:$K$105,8,FALSE))</f>
        <v/>
      </c>
      <c r="D186" s="5">
        <f>IF($B186="","",VLOOKUP($B186,Jogos!$A$2:$K$105,10,FALSE))</f>
        <v/>
      </c>
      <c r="E186" s="5" t="inlineStr"/>
      <c r="F186" s="5" t="inlineStr"/>
      <c r="G186" s="8">
        <f>IF($B186="","",VLOOKUP($B186,Jogos!$A$2:$K$105,9,FALSE))</f>
        <v/>
      </c>
      <c r="H186" s="8">
        <f>IF($B186="","",VLOOKUP($B186,Jogos!$A$2:$K$105,11,FALSE))</f>
        <v/>
      </c>
      <c r="I186" s="5">
        <f>IF(OR($A186="", $B186="", $E186="", $F186="", $G186="", $H186=""), "",IF(AND($E186=$G186, $F186=$H186), 3, IF(SIGN($E186-$F186)=SIGN($G186-$H186), 1, 0))))</f>
        <v/>
      </c>
    </row>
    <row r="187">
      <c r="A187" s="5" t="inlineStr"/>
      <c r="B187" s="5" t="inlineStr"/>
      <c r="C187" s="5">
        <f>IF($B187="","",VLOOKUP($B187,Jogos!$A$2:$K$105,8,FALSE))</f>
        <v/>
      </c>
      <c r="D187" s="5">
        <f>IF($B187="","",VLOOKUP($B187,Jogos!$A$2:$K$105,10,FALSE))</f>
        <v/>
      </c>
      <c r="E187" s="5" t="inlineStr"/>
      <c r="F187" s="5" t="inlineStr"/>
      <c r="G187" s="8">
        <f>IF($B187="","",VLOOKUP($B187,Jogos!$A$2:$K$105,9,FALSE))</f>
        <v/>
      </c>
      <c r="H187" s="8">
        <f>IF($B187="","",VLOOKUP($B187,Jogos!$A$2:$K$105,11,FALSE))</f>
        <v/>
      </c>
      <c r="I187" s="5">
        <f>IF(OR($A187="", $B187="", $E187="", $F187="", $G187="", $H187=""), "",IF(AND($E187=$G187, $F187=$H187), 3, IF(SIGN($E187-$F187)=SIGN($G187-$H187), 1, 0))))</f>
        <v/>
      </c>
    </row>
    <row r="188">
      <c r="A188" s="5" t="inlineStr"/>
      <c r="B188" s="5" t="inlineStr"/>
      <c r="C188" s="5">
        <f>IF($B188="","",VLOOKUP($B188,Jogos!$A$2:$K$105,8,FALSE))</f>
        <v/>
      </c>
      <c r="D188" s="5">
        <f>IF($B188="","",VLOOKUP($B188,Jogos!$A$2:$K$105,10,FALSE))</f>
        <v/>
      </c>
      <c r="E188" s="5" t="inlineStr"/>
      <c r="F188" s="5" t="inlineStr"/>
      <c r="G188" s="8">
        <f>IF($B188="","",VLOOKUP($B188,Jogos!$A$2:$K$105,9,FALSE))</f>
        <v/>
      </c>
      <c r="H188" s="8">
        <f>IF($B188="","",VLOOKUP($B188,Jogos!$A$2:$K$105,11,FALSE))</f>
        <v/>
      </c>
      <c r="I188" s="5">
        <f>IF(OR($A188="", $B188="", $E188="", $F188="", $G188="", $H188=""), "",IF(AND($E188=$G188, $F188=$H188), 3, IF(SIGN($E188-$F188)=SIGN($G188-$H188), 1, 0))))</f>
        <v/>
      </c>
    </row>
    <row r="189">
      <c r="A189" s="5" t="inlineStr"/>
      <c r="B189" s="5" t="inlineStr"/>
      <c r="C189" s="5">
        <f>IF($B189="","",VLOOKUP($B189,Jogos!$A$2:$K$105,8,FALSE))</f>
        <v/>
      </c>
      <c r="D189" s="5">
        <f>IF($B189="","",VLOOKUP($B189,Jogos!$A$2:$K$105,10,FALSE))</f>
        <v/>
      </c>
      <c r="E189" s="5" t="inlineStr"/>
      <c r="F189" s="5" t="inlineStr"/>
      <c r="G189" s="8">
        <f>IF($B189="","",VLOOKUP($B189,Jogos!$A$2:$K$105,9,FALSE))</f>
        <v/>
      </c>
      <c r="H189" s="8">
        <f>IF($B189="","",VLOOKUP($B189,Jogos!$A$2:$K$105,11,FALSE))</f>
        <v/>
      </c>
      <c r="I189" s="5">
        <f>IF(OR($A189="", $B189="", $E189="", $F189="", $G189="", $H189=""), "",IF(AND($E189=$G189, $F189=$H189), 3, IF(SIGN($E189-$F189)=SIGN($G189-$H189), 1, 0))))</f>
        <v/>
      </c>
    </row>
    <row r="190">
      <c r="A190" s="5" t="inlineStr"/>
      <c r="B190" s="5" t="inlineStr"/>
      <c r="C190" s="5">
        <f>IF($B190="","",VLOOKUP($B190,Jogos!$A$2:$K$105,8,FALSE))</f>
        <v/>
      </c>
      <c r="D190" s="5">
        <f>IF($B190="","",VLOOKUP($B190,Jogos!$A$2:$K$105,10,FALSE))</f>
        <v/>
      </c>
      <c r="E190" s="5" t="inlineStr"/>
      <c r="F190" s="5" t="inlineStr"/>
      <c r="G190" s="8">
        <f>IF($B190="","",VLOOKUP($B190,Jogos!$A$2:$K$105,9,FALSE))</f>
        <v/>
      </c>
      <c r="H190" s="8">
        <f>IF($B190="","",VLOOKUP($B190,Jogos!$A$2:$K$105,11,FALSE))</f>
        <v/>
      </c>
      <c r="I190" s="5">
        <f>IF(OR($A190="", $B190="", $E190="", $F190="", $G190="", $H190=""), "",IF(AND($E190=$G190, $F190=$H190), 3, IF(SIGN($E190-$F190)=SIGN($G190-$H190), 1, 0))))</f>
        <v/>
      </c>
    </row>
    <row r="191">
      <c r="A191" s="5" t="inlineStr"/>
      <c r="B191" s="5" t="inlineStr"/>
      <c r="C191" s="5">
        <f>IF($B191="","",VLOOKUP($B191,Jogos!$A$2:$K$105,8,FALSE))</f>
        <v/>
      </c>
      <c r="D191" s="5">
        <f>IF($B191="","",VLOOKUP($B191,Jogos!$A$2:$K$105,10,FALSE))</f>
        <v/>
      </c>
      <c r="E191" s="5" t="inlineStr"/>
      <c r="F191" s="5" t="inlineStr"/>
      <c r="G191" s="8">
        <f>IF($B191="","",VLOOKUP($B191,Jogos!$A$2:$K$105,9,FALSE))</f>
        <v/>
      </c>
      <c r="H191" s="8">
        <f>IF($B191="","",VLOOKUP($B191,Jogos!$A$2:$K$105,11,FALSE))</f>
        <v/>
      </c>
      <c r="I191" s="5">
        <f>IF(OR($A191="", $B191="", $E191="", $F191="", $G191="", $H191=""), "",IF(AND($E191=$G191, $F191=$H191), 3, IF(SIGN($E191-$F191)=SIGN($G191-$H191), 1, 0))))</f>
        <v/>
      </c>
    </row>
    <row r="192">
      <c r="A192" s="5" t="inlineStr"/>
      <c r="B192" s="5" t="inlineStr"/>
      <c r="C192" s="5">
        <f>IF($B192="","",VLOOKUP($B192,Jogos!$A$2:$K$105,8,FALSE))</f>
        <v/>
      </c>
      <c r="D192" s="5">
        <f>IF($B192="","",VLOOKUP($B192,Jogos!$A$2:$K$105,10,FALSE))</f>
        <v/>
      </c>
      <c r="E192" s="5" t="inlineStr"/>
      <c r="F192" s="5" t="inlineStr"/>
      <c r="G192" s="8">
        <f>IF($B192="","",VLOOKUP($B192,Jogos!$A$2:$K$105,9,FALSE))</f>
        <v/>
      </c>
      <c r="H192" s="8">
        <f>IF($B192="","",VLOOKUP($B192,Jogos!$A$2:$K$105,11,FALSE))</f>
        <v/>
      </c>
      <c r="I192" s="5">
        <f>IF(OR($A192="", $B192="", $E192="", $F192="", $G192="", $H192=""), "",IF(AND($E192=$G192, $F192=$H192), 3, IF(SIGN($E192-$F192)=SIGN($G192-$H192), 1, 0))))</f>
        <v/>
      </c>
    </row>
    <row r="193">
      <c r="A193" s="5" t="inlineStr"/>
      <c r="B193" s="5" t="inlineStr"/>
      <c r="C193" s="5">
        <f>IF($B193="","",VLOOKUP($B193,Jogos!$A$2:$K$105,8,FALSE))</f>
        <v/>
      </c>
      <c r="D193" s="5">
        <f>IF($B193="","",VLOOKUP($B193,Jogos!$A$2:$K$105,10,FALSE))</f>
        <v/>
      </c>
      <c r="E193" s="5" t="inlineStr"/>
      <c r="F193" s="5" t="inlineStr"/>
      <c r="G193" s="8">
        <f>IF($B193="","",VLOOKUP($B193,Jogos!$A$2:$K$105,9,FALSE))</f>
        <v/>
      </c>
      <c r="H193" s="8">
        <f>IF($B193="","",VLOOKUP($B193,Jogos!$A$2:$K$105,11,FALSE))</f>
        <v/>
      </c>
      <c r="I193" s="5">
        <f>IF(OR($A193="", $B193="", $E193="", $F193="", $G193="", $H193=""), "",IF(AND($E193=$G193, $F193=$H193), 3, IF(SIGN($E193-$F193)=SIGN($G193-$H193), 1, 0))))</f>
        <v/>
      </c>
    </row>
    <row r="194">
      <c r="A194" s="5" t="inlineStr"/>
      <c r="B194" s="5" t="inlineStr"/>
      <c r="C194" s="5">
        <f>IF($B194="","",VLOOKUP($B194,Jogos!$A$2:$K$105,8,FALSE))</f>
        <v/>
      </c>
      <c r="D194" s="5">
        <f>IF($B194="","",VLOOKUP($B194,Jogos!$A$2:$K$105,10,FALSE))</f>
        <v/>
      </c>
      <c r="E194" s="5" t="inlineStr"/>
      <c r="F194" s="5" t="inlineStr"/>
      <c r="G194" s="8">
        <f>IF($B194="","",VLOOKUP($B194,Jogos!$A$2:$K$105,9,FALSE))</f>
        <v/>
      </c>
      <c r="H194" s="8">
        <f>IF($B194="","",VLOOKUP($B194,Jogos!$A$2:$K$105,11,FALSE))</f>
        <v/>
      </c>
      <c r="I194" s="5">
        <f>IF(OR($A194="", $B194="", $E194="", $F194="", $G194="", $H194=""), "",IF(AND($E194=$G194, $F194=$H194), 3, IF(SIGN($E194-$F194)=SIGN($G194-$H194), 1, 0))))</f>
        <v/>
      </c>
    </row>
    <row r="195">
      <c r="A195" s="5" t="inlineStr"/>
      <c r="B195" s="5" t="inlineStr"/>
      <c r="C195" s="5">
        <f>IF($B195="","",VLOOKUP($B195,Jogos!$A$2:$K$105,8,FALSE))</f>
        <v/>
      </c>
      <c r="D195" s="5">
        <f>IF($B195="","",VLOOKUP($B195,Jogos!$A$2:$K$105,10,FALSE))</f>
        <v/>
      </c>
      <c r="E195" s="5" t="inlineStr"/>
      <c r="F195" s="5" t="inlineStr"/>
      <c r="G195" s="8">
        <f>IF($B195="","",VLOOKUP($B195,Jogos!$A$2:$K$105,9,FALSE))</f>
        <v/>
      </c>
      <c r="H195" s="8">
        <f>IF($B195="","",VLOOKUP($B195,Jogos!$A$2:$K$105,11,FALSE))</f>
        <v/>
      </c>
      <c r="I195" s="5">
        <f>IF(OR($A195="", $B195="", $E195="", $F195="", $G195="", $H195=""), "",IF(AND($E195=$G195, $F195=$H195), 3, IF(SIGN($E195-$F195)=SIGN($G195-$H195), 1, 0))))</f>
        <v/>
      </c>
    </row>
    <row r="196">
      <c r="A196" s="5" t="inlineStr"/>
      <c r="B196" s="5" t="inlineStr"/>
      <c r="C196" s="5">
        <f>IF($B196="","",VLOOKUP($B196,Jogos!$A$2:$K$105,8,FALSE))</f>
        <v/>
      </c>
      <c r="D196" s="5">
        <f>IF($B196="","",VLOOKUP($B196,Jogos!$A$2:$K$105,10,FALSE))</f>
        <v/>
      </c>
      <c r="E196" s="5" t="inlineStr"/>
      <c r="F196" s="5" t="inlineStr"/>
      <c r="G196" s="8">
        <f>IF($B196="","",VLOOKUP($B196,Jogos!$A$2:$K$105,9,FALSE))</f>
        <v/>
      </c>
      <c r="H196" s="8">
        <f>IF($B196="","",VLOOKUP($B196,Jogos!$A$2:$K$105,11,FALSE))</f>
        <v/>
      </c>
      <c r="I196" s="5">
        <f>IF(OR($A196="", $B196="", $E196="", $F196="", $G196="", $H196=""), "",IF(AND($E196=$G196, $F196=$H196), 3, IF(SIGN($E196-$F196)=SIGN($G196-$H196), 1, 0))))</f>
        <v/>
      </c>
    </row>
    <row r="197">
      <c r="A197" s="5" t="inlineStr"/>
      <c r="B197" s="5" t="inlineStr"/>
      <c r="C197" s="5">
        <f>IF($B197="","",VLOOKUP($B197,Jogos!$A$2:$K$105,8,FALSE))</f>
        <v/>
      </c>
      <c r="D197" s="5">
        <f>IF($B197="","",VLOOKUP($B197,Jogos!$A$2:$K$105,10,FALSE))</f>
        <v/>
      </c>
      <c r="E197" s="5" t="inlineStr"/>
      <c r="F197" s="5" t="inlineStr"/>
      <c r="G197" s="8">
        <f>IF($B197="","",VLOOKUP($B197,Jogos!$A$2:$K$105,9,FALSE))</f>
        <v/>
      </c>
      <c r="H197" s="8">
        <f>IF($B197="","",VLOOKUP($B197,Jogos!$A$2:$K$105,11,FALSE))</f>
        <v/>
      </c>
      <c r="I197" s="5">
        <f>IF(OR($A197="", $B197="", $E197="", $F197="", $G197="", $H197=""), "",IF(AND($E197=$G197, $F197=$H197), 3, IF(SIGN($E197-$F197)=SIGN($G197-$H197), 1, 0))))</f>
        <v/>
      </c>
    </row>
    <row r="198">
      <c r="A198" s="5" t="inlineStr"/>
      <c r="B198" s="5" t="inlineStr"/>
      <c r="C198" s="5">
        <f>IF($B198="","",VLOOKUP($B198,Jogos!$A$2:$K$105,8,FALSE))</f>
        <v/>
      </c>
      <c r="D198" s="5">
        <f>IF($B198="","",VLOOKUP($B198,Jogos!$A$2:$K$105,10,FALSE))</f>
        <v/>
      </c>
      <c r="E198" s="5" t="inlineStr"/>
      <c r="F198" s="5" t="inlineStr"/>
      <c r="G198" s="8">
        <f>IF($B198="","",VLOOKUP($B198,Jogos!$A$2:$K$105,9,FALSE))</f>
        <v/>
      </c>
      <c r="H198" s="8">
        <f>IF($B198="","",VLOOKUP($B198,Jogos!$A$2:$K$105,11,FALSE))</f>
        <v/>
      </c>
      <c r="I198" s="5">
        <f>IF(OR($A198="", $B198="", $E198="", $F198="", $G198="", $H198=""), "",IF(AND($E198=$G198, $F198=$H198), 3, IF(SIGN($E198-$F198)=SIGN($G198-$H198), 1, 0))))</f>
        <v/>
      </c>
    </row>
    <row r="199">
      <c r="A199" s="5" t="inlineStr"/>
      <c r="B199" s="5" t="inlineStr"/>
      <c r="C199" s="5">
        <f>IF($B199="","",VLOOKUP($B199,Jogos!$A$2:$K$105,8,FALSE))</f>
        <v/>
      </c>
      <c r="D199" s="5">
        <f>IF($B199="","",VLOOKUP($B199,Jogos!$A$2:$K$105,10,FALSE))</f>
        <v/>
      </c>
      <c r="E199" s="5" t="inlineStr"/>
      <c r="F199" s="5" t="inlineStr"/>
      <c r="G199" s="8">
        <f>IF($B199="","",VLOOKUP($B199,Jogos!$A$2:$K$105,9,FALSE))</f>
        <v/>
      </c>
      <c r="H199" s="8">
        <f>IF($B199="","",VLOOKUP($B199,Jogos!$A$2:$K$105,11,FALSE))</f>
        <v/>
      </c>
      <c r="I199" s="5">
        <f>IF(OR($A199="", $B199="", $E199="", $F199="", $G199="", $H199=""), "",IF(AND($E199=$G199, $F199=$H199), 3, IF(SIGN($E199-$F199)=SIGN($G199-$H199), 1, 0))))</f>
        <v/>
      </c>
    </row>
    <row r="200">
      <c r="A200" s="5" t="inlineStr"/>
      <c r="B200" s="5" t="inlineStr"/>
      <c r="C200" s="5">
        <f>IF($B200="","",VLOOKUP($B200,Jogos!$A$2:$K$105,8,FALSE))</f>
        <v/>
      </c>
      <c r="D200" s="5">
        <f>IF($B200="","",VLOOKUP($B200,Jogos!$A$2:$K$105,10,FALSE))</f>
        <v/>
      </c>
      <c r="E200" s="5" t="inlineStr"/>
      <c r="F200" s="5" t="inlineStr"/>
      <c r="G200" s="8">
        <f>IF($B200="","",VLOOKUP($B200,Jogos!$A$2:$K$105,9,FALSE))</f>
        <v/>
      </c>
      <c r="H200" s="8">
        <f>IF($B200="","",VLOOKUP($B200,Jogos!$A$2:$K$105,11,FALSE))</f>
        <v/>
      </c>
      <c r="I200" s="5">
        <f>IF(OR($A200="", $B200="", $E200="", $F200="", $G200="", $H200=""), "",IF(AND($E200=$G200, $F200=$H200), 3, IF(SIGN($E200-$F200)=SIGN($G200-$H200), 1, 0))))</f>
        <v/>
      </c>
    </row>
    <row r="201">
      <c r="A201" s="5" t="inlineStr"/>
      <c r="B201" s="5" t="inlineStr"/>
      <c r="C201" s="5">
        <f>IF($B201="","",VLOOKUP($B201,Jogos!$A$2:$K$105,8,FALSE))</f>
        <v/>
      </c>
      <c r="D201" s="5">
        <f>IF($B201="","",VLOOKUP($B201,Jogos!$A$2:$K$105,10,FALSE))</f>
        <v/>
      </c>
      <c r="E201" s="5" t="inlineStr"/>
      <c r="F201" s="5" t="inlineStr"/>
      <c r="G201" s="8">
        <f>IF($B201="","",VLOOKUP($B201,Jogos!$A$2:$K$105,9,FALSE))</f>
        <v/>
      </c>
      <c r="H201" s="8">
        <f>IF($B201="","",VLOOKUP($B201,Jogos!$A$2:$K$105,11,FALSE))</f>
        <v/>
      </c>
      <c r="I201" s="5">
        <f>IF(OR($A201="", $B201="", $E201="", $F201="", $G201="", $H201=""), "",IF(AND($E201=$G201, $F201=$H201), 3, IF(SIGN($E201-$F201)=SIGN($G201-$H201), 1, 0))))</f>
        <v/>
      </c>
    </row>
    <row r="202">
      <c r="A202" s="5" t="inlineStr"/>
      <c r="B202" s="5" t="inlineStr"/>
      <c r="C202" s="5">
        <f>IF($B202="","",VLOOKUP($B202,Jogos!$A$2:$K$105,8,FALSE))</f>
        <v/>
      </c>
      <c r="D202" s="5">
        <f>IF($B202="","",VLOOKUP($B202,Jogos!$A$2:$K$105,10,FALSE))</f>
        <v/>
      </c>
      <c r="E202" s="5" t="inlineStr"/>
      <c r="F202" s="5" t="inlineStr"/>
      <c r="G202" s="8">
        <f>IF($B202="","",VLOOKUP($B202,Jogos!$A$2:$K$105,9,FALSE))</f>
        <v/>
      </c>
      <c r="H202" s="8">
        <f>IF($B202="","",VLOOKUP($B202,Jogos!$A$2:$K$105,11,FALSE))</f>
        <v/>
      </c>
      <c r="I202" s="5">
        <f>IF(OR($A202="", $B202="", $E202="", $F202="", $G202="", $H202=""), "",IF(AND($E202=$G202, $F202=$H202), 3, IF(SIGN($E202-$F202)=SIGN($G202-$H202), 1, 0))))</f>
        <v/>
      </c>
    </row>
    <row r="203">
      <c r="A203" s="5" t="inlineStr"/>
      <c r="B203" s="5" t="inlineStr"/>
      <c r="C203" s="5">
        <f>IF($B203="","",VLOOKUP($B203,Jogos!$A$2:$K$105,8,FALSE))</f>
        <v/>
      </c>
      <c r="D203" s="5">
        <f>IF($B203="","",VLOOKUP($B203,Jogos!$A$2:$K$105,10,FALSE))</f>
        <v/>
      </c>
      <c r="E203" s="5" t="inlineStr"/>
      <c r="F203" s="5" t="inlineStr"/>
      <c r="G203" s="8">
        <f>IF($B203="","",VLOOKUP($B203,Jogos!$A$2:$K$105,9,FALSE))</f>
        <v/>
      </c>
      <c r="H203" s="8">
        <f>IF($B203="","",VLOOKUP($B203,Jogos!$A$2:$K$105,11,FALSE))</f>
        <v/>
      </c>
      <c r="I203" s="5">
        <f>IF(OR($A203="", $B203="", $E203="", $F203="", $G203="", $H203=""), "",IF(AND($E203=$G203, $F203=$H203), 3, IF(SIGN($E203-$F203)=SIGN($G203-$H203), 1, 0))))</f>
        <v/>
      </c>
    </row>
    <row r="204">
      <c r="A204" s="5" t="inlineStr"/>
      <c r="B204" s="5" t="inlineStr"/>
      <c r="C204" s="5">
        <f>IF($B204="","",VLOOKUP($B204,Jogos!$A$2:$K$105,8,FALSE))</f>
        <v/>
      </c>
      <c r="D204" s="5">
        <f>IF($B204="","",VLOOKUP($B204,Jogos!$A$2:$K$105,10,FALSE))</f>
        <v/>
      </c>
      <c r="E204" s="5" t="inlineStr"/>
      <c r="F204" s="5" t="inlineStr"/>
      <c r="G204" s="8">
        <f>IF($B204="","",VLOOKUP($B204,Jogos!$A$2:$K$105,9,FALSE))</f>
        <v/>
      </c>
      <c r="H204" s="8">
        <f>IF($B204="","",VLOOKUP($B204,Jogos!$A$2:$K$105,11,FALSE))</f>
        <v/>
      </c>
      <c r="I204" s="5">
        <f>IF(OR($A204="", $B204="", $E204="", $F204="", $G204="", $H204=""), "",IF(AND($E204=$G204, $F204=$H204), 3, IF(SIGN($E204-$F204)=SIGN($G204-$H204), 1, 0))))</f>
        <v/>
      </c>
    </row>
    <row r="205">
      <c r="A205" s="5" t="inlineStr"/>
      <c r="B205" s="5" t="inlineStr"/>
      <c r="C205" s="5">
        <f>IF($B205="","",VLOOKUP($B205,Jogos!$A$2:$K$105,8,FALSE))</f>
        <v/>
      </c>
      <c r="D205" s="5">
        <f>IF($B205="","",VLOOKUP($B205,Jogos!$A$2:$K$105,10,FALSE))</f>
        <v/>
      </c>
      <c r="E205" s="5" t="inlineStr"/>
      <c r="F205" s="5" t="inlineStr"/>
      <c r="G205" s="8">
        <f>IF($B205="","",VLOOKUP($B205,Jogos!$A$2:$K$105,9,FALSE))</f>
        <v/>
      </c>
      <c r="H205" s="8">
        <f>IF($B205="","",VLOOKUP($B205,Jogos!$A$2:$K$105,11,FALSE))</f>
        <v/>
      </c>
      <c r="I205" s="5">
        <f>IF(OR($A205="", $B205="", $E205="", $F205="", $G205="", $H205=""), "",IF(AND($E205=$G205, $F205=$H205), 3, IF(SIGN($E205-$F205)=SIGN($G205-$H205), 1, 0))))</f>
        <v/>
      </c>
    </row>
    <row r="206">
      <c r="A206" s="5" t="inlineStr"/>
      <c r="B206" s="5" t="inlineStr"/>
      <c r="C206" s="5">
        <f>IF($B206="","",VLOOKUP($B206,Jogos!$A$2:$K$105,8,FALSE))</f>
        <v/>
      </c>
      <c r="D206" s="5">
        <f>IF($B206="","",VLOOKUP($B206,Jogos!$A$2:$K$105,10,FALSE))</f>
        <v/>
      </c>
      <c r="E206" s="5" t="inlineStr"/>
      <c r="F206" s="5" t="inlineStr"/>
      <c r="G206" s="8">
        <f>IF($B206="","",VLOOKUP($B206,Jogos!$A$2:$K$105,9,FALSE))</f>
        <v/>
      </c>
      <c r="H206" s="8">
        <f>IF($B206="","",VLOOKUP($B206,Jogos!$A$2:$K$105,11,FALSE))</f>
        <v/>
      </c>
      <c r="I206" s="5">
        <f>IF(OR($A206="", $B206="", $E206="", $F206="", $G206="", $H206=""), "",IF(AND($E206=$G206, $F206=$H206), 3, IF(SIGN($E206-$F206)=SIGN($G206-$H206), 1, 0))))</f>
        <v/>
      </c>
    </row>
    <row r="207">
      <c r="A207" s="5" t="inlineStr"/>
      <c r="B207" s="5" t="inlineStr"/>
      <c r="C207" s="5">
        <f>IF($B207="","",VLOOKUP($B207,Jogos!$A$2:$K$105,8,FALSE))</f>
        <v/>
      </c>
      <c r="D207" s="5">
        <f>IF($B207="","",VLOOKUP($B207,Jogos!$A$2:$K$105,10,FALSE))</f>
        <v/>
      </c>
      <c r="E207" s="5" t="inlineStr"/>
      <c r="F207" s="5" t="inlineStr"/>
      <c r="G207" s="8">
        <f>IF($B207="","",VLOOKUP($B207,Jogos!$A$2:$K$105,9,FALSE))</f>
        <v/>
      </c>
      <c r="H207" s="8">
        <f>IF($B207="","",VLOOKUP($B207,Jogos!$A$2:$K$105,11,FALSE))</f>
        <v/>
      </c>
      <c r="I207" s="5">
        <f>IF(OR($A207="", $B207="", $E207="", $F207="", $G207="", $H207=""), "",IF(AND($E207=$G207, $F207=$H207), 3, IF(SIGN($E207-$F207)=SIGN($G207-$H207), 1, 0))))</f>
        <v/>
      </c>
    </row>
    <row r="208">
      <c r="A208" s="5" t="inlineStr"/>
      <c r="B208" s="5" t="inlineStr"/>
      <c r="C208" s="5">
        <f>IF($B208="","",VLOOKUP($B208,Jogos!$A$2:$K$105,8,FALSE))</f>
        <v/>
      </c>
      <c r="D208" s="5">
        <f>IF($B208="","",VLOOKUP($B208,Jogos!$A$2:$K$105,10,FALSE))</f>
        <v/>
      </c>
      <c r="E208" s="5" t="inlineStr"/>
      <c r="F208" s="5" t="inlineStr"/>
      <c r="G208" s="8">
        <f>IF($B208="","",VLOOKUP($B208,Jogos!$A$2:$K$105,9,FALSE))</f>
        <v/>
      </c>
      <c r="H208" s="8">
        <f>IF($B208="","",VLOOKUP($B208,Jogos!$A$2:$K$105,11,FALSE))</f>
        <v/>
      </c>
      <c r="I208" s="5">
        <f>IF(OR($A208="", $B208="", $E208="", $F208="", $G208="", $H208=""), "",IF(AND($E208=$G208, $F208=$H208), 3, IF(SIGN($E208-$F208)=SIGN($G208-$H208), 1, 0))))</f>
        <v/>
      </c>
    </row>
    <row r="209">
      <c r="A209" s="5" t="inlineStr"/>
      <c r="B209" s="5" t="inlineStr"/>
      <c r="C209" s="5">
        <f>IF($B209="","",VLOOKUP($B209,Jogos!$A$2:$K$105,8,FALSE))</f>
        <v/>
      </c>
      <c r="D209" s="5">
        <f>IF($B209="","",VLOOKUP($B209,Jogos!$A$2:$K$105,10,FALSE))</f>
        <v/>
      </c>
      <c r="E209" s="5" t="inlineStr"/>
      <c r="F209" s="5" t="inlineStr"/>
      <c r="G209" s="8">
        <f>IF($B209="","",VLOOKUP($B209,Jogos!$A$2:$K$105,9,FALSE))</f>
        <v/>
      </c>
      <c r="H209" s="8">
        <f>IF($B209="","",VLOOKUP($B209,Jogos!$A$2:$K$105,11,FALSE))</f>
        <v/>
      </c>
      <c r="I209" s="5">
        <f>IF(OR($A209="", $B209="", $E209="", $F209="", $G209="", $H209=""), "",IF(AND($E209=$G209, $F209=$H209), 3, IF(SIGN($E209-$F209)=SIGN($G209-$H209), 1, 0))))</f>
        <v/>
      </c>
    </row>
    <row r="210">
      <c r="A210" s="5" t="inlineStr"/>
      <c r="B210" s="5" t="inlineStr"/>
      <c r="C210" s="5">
        <f>IF($B210="","",VLOOKUP($B210,Jogos!$A$2:$K$105,8,FALSE))</f>
        <v/>
      </c>
      <c r="D210" s="5">
        <f>IF($B210="","",VLOOKUP($B210,Jogos!$A$2:$K$105,10,FALSE))</f>
        <v/>
      </c>
      <c r="E210" s="5" t="inlineStr"/>
      <c r="F210" s="5" t="inlineStr"/>
      <c r="G210" s="8">
        <f>IF($B210="","",VLOOKUP($B210,Jogos!$A$2:$K$105,9,FALSE))</f>
        <v/>
      </c>
      <c r="H210" s="8">
        <f>IF($B210="","",VLOOKUP($B210,Jogos!$A$2:$K$105,11,FALSE))</f>
        <v/>
      </c>
      <c r="I210" s="5">
        <f>IF(OR($A210="", $B210="", $E210="", $F210="", $G210="", $H210=""), "",IF(AND($E210=$G210, $F210=$H210), 3, IF(SIGN($E210-$F210)=SIGN($G210-$H210), 1, 0))))</f>
        <v/>
      </c>
    </row>
    <row r="211">
      <c r="A211" s="5" t="inlineStr"/>
      <c r="B211" s="5" t="inlineStr"/>
      <c r="C211" s="5">
        <f>IF($B211="","",VLOOKUP($B211,Jogos!$A$2:$K$105,8,FALSE))</f>
        <v/>
      </c>
      <c r="D211" s="5">
        <f>IF($B211="","",VLOOKUP($B211,Jogos!$A$2:$K$105,10,FALSE))</f>
        <v/>
      </c>
      <c r="E211" s="5" t="inlineStr"/>
      <c r="F211" s="5" t="inlineStr"/>
      <c r="G211" s="8">
        <f>IF($B211="","",VLOOKUP($B211,Jogos!$A$2:$K$105,9,FALSE))</f>
        <v/>
      </c>
      <c r="H211" s="8">
        <f>IF($B211="","",VLOOKUP($B211,Jogos!$A$2:$K$105,11,FALSE))</f>
        <v/>
      </c>
      <c r="I211" s="5">
        <f>IF(OR($A211="", $B211="", $E211="", $F211="", $G211="", $H211=""), "",IF(AND($E211=$G211, $F211=$H211), 3, IF(SIGN($E211-$F211)=SIGN($G211-$H211), 1, 0))))</f>
        <v/>
      </c>
    </row>
    <row r="212">
      <c r="A212" s="5" t="inlineStr"/>
      <c r="B212" s="5" t="inlineStr"/>
      <c r="C212" s="5">
        <f>IF($B212="","",VLOOKUP($B212,Jogos!$A$2:$K$105,8,FALSE))</f>
        <v/>
      </c>
      <c r="D212" s="5">
        <f>IF($B212="","",VLOOKUP($B212,Jogos!$A$2:$K$105,10,FALSE))</f>
        <v/>
      </c>
      <c r="E212" s="5" t="inlineStr"/>
      <c r="F212" s="5" t="inlineStr"/>
      <c r="G212" s="8">
        <f>IF($B212="","",VLOOKUP($B212,Jogos!$A$2:$K$105,9,FALSE))</f>
        <v/>
      </c>
      <c r="H212" s="8">
        <f>IF($B212="","",VLOOKUP($B212,Jogos!$A$2:$K$105,11,FALSE))</f>
        <v/>
      </c>
      <c r="I212" s="5">
        <f>IF(OR($A212="", $B212="", $E212="", $F212="", $G212="", $H212=""), "",IF(AND($E212=$G212, $F212=$H212), 3, IF(SIGN($E212-$F212)=SIGN($G212-$H212), 1, 0))))</f>
        <v/>
      </c>
    </row>
    <row r="213">
      <c r="A213" s="5" t="inlineStr"/>
      <c r="B213" s="5" t="inlineStr"/>
      <c r="C213" s="5">
        <f>IF($B213="","",VLOOKUP($B213,Jogos!$A$2:$K$105,8,FALSE))</f>
        <v/>
      </c>
      <c r="D213" s="5">
        <f>IF($B213="","",VLOOKUP($B213,Jogos!$A$2:$K$105,10,FALSE))</f>
        <v/>
      </c>
      <c r="E213" s="5" t="inlineStr"/>
      <c r="F213" s="5" t="inlineStr"/>
      <c r="G213" s="8">
        <f>IF($B213="","",VLOOKUP($B213,Jogos!$A$2:$K$105,9,FALSE))</f>
        <v/>
      </c>
      <c r="H213" s="8">
        <f>IF($B213="","",VLOOKUP($B213,Jogos!$A$2:$K$105,11,FALSE))</f>
        <v/>
      </c>
      <c r="I213" s="5">
        <f>IF(OR($A213="", $B213="", $E213="", $F213="", $G213="", $H213=""), "",IF(AND($E213=$G213, $F213=$H213), 3, IF(SIGN($E213-$F213)=SIGN($G213-$H213), 1, 0))))</f>
        <v/>
      </c>
    </row>
    <row r="214">
      <c r="A214" s="5" t="inlineStr"/>
      <c r="B214" s="5" t="inlineStr"/>
      <c r="C214" s="5">
        <f>IF($B214="","",VLOOKUP($B214,Jogos!$A$2:$K$105,8,FALSE))</f>
        <v/>
      </c>
      <c r="D214" s="5">
        <f>IF($B214="","",VLOOKUP($B214,Jogos!$A$2:$K$105,10,FALSE))</f>
        <v/>
      </c>
      <c r="E214" s="5" t="inlineStr"/>
      <c r="F214" s="5" t="inlineStr"/>
      <c r="G214" s="8">
        <f>IF($B214="","",VLOOKUP($B214,Jogos!$A$2:$K$105,9,FALSE))</f>
        <v/>
      </c>
      <c r="H214" s="8">
        <f>IF($B214="","",VLOOKUP($B214,Jogos!$A$2:$K$105,11,FALSE))</f>
        <v/>
      </c>
      <c r="I214" s="5">
        <f>IF(OR($A214="", $B214="", $E214="", $F214="", $G214="", $H214=""), "",IF(AND($E214=$G214, $F214=$H214), 3, IF(SIGN($E214-$F214)=SIGN($G214-$H214), 1, 0))))</f>
        <v/>
      </c>
    </row>
    <row r="215">
      <c r="A215" s="5" t="inlineStr"/>
      <c r="B215" s="5" t="inlineStr"/>
      <c r="C215" s="5">
        <f>IF($B215="","",VLOOKUP($B215,Jogos!$A$2:$K$105,8,FALSE))</f>
        <v/>
      </c>
      <c r="D215" s="5">
        <f>IF($B215="","",VLOOKUP($B215,Jogos!$A$2:$K$105,10,FALSE))</f>
        <v/>
      </c>
      <c r="E215" s="5" t="inlineStr"/>
      <c r="F215" s="5" t="inlineStr"/>
      <c r="G215" s="8">
        <f>IF($B215="","",VLOOKUP($B215,Jogos!$A$2:$K$105,9,FALSE))</f>
        <v/>
      </c>
      <c r="H215" s="8">
        <f>IF($B215="","",VLOOKUP($B215,Jogos!$A$2:$K$105,11,FALSE))</f>
        <v/>
      </c>
      <c r="I215" s="5">
        <f>IF(OR($A215="", $B215="", $E215="", $F215="", $G215="", $H215=""), "",IF(AND($E215=$G215, $F215=$H215), 3, IF(SIGN($E215-$F215)=SIGN($G215-$H215), 1, 0))))</f>
        <v/>
      </c>
    </row>
    <row r="216">
      <c r="A216" s="5" t="inlineStr"/>
      <c r="B216" s="5" t="inlineStr"/>
      <c r="C216" s="5">
        <f>IF($B216="","",VLOOKUP($B216,Jogos!$A$2:$K$105,8,FALSE))</f>
        <v/>
      </c>
      <c r="D216" s="5">
        <f>IF($B216="","",VLOOKUP($B216,Jogos!$A$2:$K$105,10,FALSE))</f>
        <v/>
      </c>
      <c r="E216" s="5" t="inlineStr"/>
      <c r="F216" s="5" t="inlineStr"/>
      <c r="G216" s="8">
        <f>IF($B216="","",VLOOKUP($B216,Jogos!$A$2:$K$105,9,FALSE))</f>
        <v/>
      </c>
      <c r="H216" s="8">
        <f>IF($B216="","",VLOOKUP($B216,Jogos!$A$2:$K$105,11,FALSE))</f>
        <v/>
      </c>
      <c r="I216" s="5">
        <f>IF(OR($A216="", $B216="", $E216="", $F216="", $G216="", $H216=""), "",IF(AND($E216=$G216, $F216=$H216), 3, IF(SIGN($E216-$F216)=SIGN($G216-$H216), 1, 0))))</f>
        <v/>
      </c>
    </row>
    <row r="217">
      <c r="A217" s="5" t="inlineStr"/>
      <c r="B217" s="5" t="inlineStr"/>
      <c r="C217" s="5">
        <f>IF($B217="","",VLOOKUP($B217,Jogos!$A$2:$K$105,8,FALSE))</f>
        <v/>
      </c>
      <c r="D217" s="5">
        <f>IF($B217="","",VLOOKUP($B217,Jogos!$A$2:$K$105,10,FALSE))</f>
        <v/>
      </c>
      <c r="E217" s="5" t="inlineStr"/>
      <c r="F217" s="5" t="inlineStr"/>
      <c r="G217" s="8">
        <f>IF($B217="","",VLOOKUP($B217,Jogos!$A$2:$K$105,9,FALSE))</f>
        <v/>
      </c>
      <c r="H217" s="8">
        <f>IF($B217="","",VLOOKUP($B217,Jogos!$A$2:$K$105,11,FALSE))</f>
        <v/>
      </c>
      <c r="I217" s="5">
        <f>IF(OR($A217="", $B217="", $E217="", $F217="", $G217="", $H217=""), "",IF(AND($E217=$G217, $F217=$H217), 3, IF(SIGN($E217-$F217)=SIGN($G217-$H217), 1, 0))))</f>
        <v/>
      </c>
    </row>
    <row r="218">
      <c r="A218" s="5" t="inlineStr"/>
      <c r="B218" s="5" t="inlineStr"/>
      <c r="C218" s="5">
        <f>IF($B218="","",VLOOKUP($B218,Jogos!$A$2:$K$105,8,FALSE))</f>
        <v/>
      </c>
      <c r="D218" s="5">
        <f>IF($B218="","",VLOOKUP($B218,Jogos!$A$2:$K$105,10,FALSE))</f>
        <v/>
      </c>
      <c r="E218" s="5" t="inlineStr"/>
      <c r="F218" s="5" t="inlineStr"/>
      <c r="G218" s="8">
        <f>IF($B218="","",VLOOKUP($B218,Jogos!$A$2:$K$105,9,FALSE))</f>
        <v/>
      </c>
      <c r="H218" s="8">
        <f>IF($B218="","",VLOOKUP($B218,Jogos!$A$2:$K$105,11,FALSE))</f>
        <v/>
      </c>
      <c r="I218" s="5">
        <f>IF(OR($A218="", $B218="", $E218="", $F218="", $G218="", $H218=""), "",IF(AND($E218=$G218, $F218=$H218), 3, IF(SIGN($E218-$F218)=SIGN($G218-$H218), 1, 0))))</f>
        <v/>
      </c>
    </row>
    <row r="219">
      <c r="A219" s="5" t="inlineStr"/>
      <c r="B219" s="5" t="inlineStr"/>
      <c r="C219" s="5">
        <f>IF($B219="","",VLOOKUP($B219,Jogos!$A$2:$K$105,8,FALSE))</f>
        <v/>
      </c>
      <c r="D219" s="5">
        <f>IF($B219="","",VLOOKUP($B219,Jogos!$A$2:$K$105,10,FALSE))</f>
        <v/>
      </c>
      <c r="E219" s="5" t="inlineStr"/>
      <c r="F219" s="5" t="inlineStr"/>
      <c r="G219" s="8">
        <f>IF($B219="","",VLOOKUP($B219,Jogos!$A$2:$K$105,9,FALSE))</f>
        <v/>
      </c>
      <c r="H219" s="8">
        <f>IF($B219="","",VLOOKUP($B219,Jogos!$A$2:$K$105,11,FALSE))</f>
        <v/>
      </c>
      <c r="I219" s="5">
        <f>IF(OR($A219="", $B219="", $E219="", $F219="", $G219="", $H219=""), "",IF(AND($E219=$G219, $F219=$H219), 3, IF(SIGN($E219-$F219)=SIGN($G219-$H219), 1, 0))))</f>
        <v/>
      </c>
    </row>
    <row r="220">
      <c r="A220" s="5" t="inlineStr"/>
      <c r="B220" s="5" t="inlineStr"/>
      <c r="C220" s="5">
        <f>IF($B220="","",VLOOKUP($B220,Jogos!$A$2:$K$105,8,FALSE))</f>
        <v/>
      </c>
      <c r="D220" s="5">
        <f>IF($B220="","",VLOOKUP($B220,Jogos!$A$2:$K$105,10,FALSE))</f>
        <v/>
      </c>
      <c r="E220" s="5" t="inlineStr"/>
      <c r="F220" s="5" t="inlineStr"/>
      <c r="G220" s="8">
        <f>IF($B220="","",VLOOKUP($B220,Jogos!$A$2:$K$105,9,FALSE))</f>
        <v/>
      </c>
      <c r="H220" s="8">
        <f>IF($B220="","",VLOOKUP($B220,Jogos!$A$2:$K$105,11,FALSE))</f>
        <v/>
      </c>
      <c r="I220" s="5">
        <f>IF(OR($A220="", $B220="", $E220="", $F220="", $G220="", $H220=""), "",IF(AND($E220=$G220, $F220=$H220), 3, IF(SIGN($E220-$F220)=SIGN($G220-$H220), 1, 0))))</f>
        <v/>
      </c>
    </row>
    <row r="221">
      <c r="A221" s="5" t="inlineStr"/>
      <c r="B221" s="5" t="inlineStr"/>
      <c r="C221" s="5">
        <f>IF($B221="","",VLOOKUP($B221,Jogos!$A$2:$K$105,8,FALSE))</f>
        <v/>
      </c>
      <c r="D221" s="5">
        <f>IF($B221="","",VLOOKUP($B221,Jogos!$A$2:$K$105,10,FALSE))</f>
        <v/>
      </c>
      <c r="E221" s="5" t="inlineStr"/>
      <c r="F221" s="5" t="inlineStr"/>
      <c r="G221" s="8">
        <f>IF($B221="","",VLOOKUP($B221,Jogos!$A$2:$K$105,9,FALSE))</f>
        <v/>
      </c>
      <c r="H221" s="8">
        <f>IF($B221="","",VLOOKUP($B221,Jogos!$A$2:$K$105,11,FALSE))</f>
        <v/>
      </c>
      <c r="I221" s="5">
        <f>IF(OR($A221="", $B221="", $E221="", $F221="", $G221="", $H221=""), "",IF(AND($E221=$G221, $F221=$H221), 3, IF(SIGN($E221-$F221)=SIGN($G221-$H221), 1, 0))))</f>
        <v/>
      </c>
    </row>
    <row r="222">
      <c r="A222" s="5" t="inlineStr"/>
      <c r="B222" s="5" t="inlineStr"/>
      <c r="C222" s="5">
        <f>IF($B222="","",VLOOKUP($B222,Jogos!$A$2:$K$105,8,FALSE))</f>
        <v/>
      </c>
      <c r="D222" s="5">
        <f>IF($B222="","",VLOOKUP($B222,Jogos!$A$2:$K$105,10,FALSE))</f>
        <v/>
      </c>
      <c r="E222" s="5" t="inlineStr"/>
      <c r="F222" s="5" t="inlineStr"/>
      <c r="G222" s="8">
        <f>IF($B222="","",VLOOKUP($B222,Jogos!$A$2:$K$105,9,FALSE))</f>
        <v/>
      </c>
      <c r="H222" s="8">
        <f>IF($B222="","",VLOOKUP($B222,Jogos!$A$2:$K$105,11,FALSE))</f>
        <v/>
      </c>
      <c r="I222" s="5">
        <f>IF(OR($A222="", $B222="", $E222="", $F222="", $G222="", $H222=""), "",IF(AND($E222=$G222, $F222=$H222), 3, IF(SIGN($E222-$F222)=SIGN($G222-$H222), 1, 0))))</f>
        <v/>
      </c>
    </row>
    <row r="223">
      <c r="A223" s="5" t="inlineStr"/>
      <c r="B223" s="5" t="inlineStr"/>
      <c r="C223" s="5">
        <f>IF($B223="","",VLOOKUP($B223,Jogos!$A$2:$K$105,8,FALSE))</f>
        <v/>
      </c>
      <c r="D223" s="5">
        <f>IF($B223="","",VLOOKUP($B223,Jogos!$A$2:$K$105,10,FALSE))</f>
        <v/>
      </c>
      <c r="E223" s="5" t="inlineStr"/>
      <c r="F223" s="5" t="inlineStr"/>
      <c r="G223" s="8">
        <f>IF($B223="","",VLOOKUP($B223,Jogos!$A$2:$K$105,9,FALSE))</f>
        <v/>
      </c>
      <c r="H223" s="8">
        <f>IF($B223="","",VLOOKUP($B223,Jogos!$A$2:$K$105,11,FALSE))</f>
        <v/>
      </c>
      <c r="I223" s="5">
        <f>IF(OR($A223="", $B223="", $E223="", $F223="", $G223="", $H223=""), "",IF(AND($E223=$G223, $F223=$H223), 3, IF(SIGN($E223-$F223)=SIGN($G223-$H223), 1, 0))))</f>
        <v/>
      </c>
    </row>
    <row r="224">
      <c r="A224" s="5" t="inlineStr"/>
      <c r="B224" s="5" t="inlineStr"/>
      <c r="C224" s="5">
        <f>IF($B224="","",VLOOKUP($B224,Jogos!$A$2:$K$105,8,FALSE))</f>
        <v/>
      </c>
      <c r="D224" s="5">
        <f>IF($B224="","",VLOOKUP($B224,Jogos!$A$2:$K$105,10,FALSE))</f>
        <v/>
      </c>
      <c r="E224" s="5" t="inlineStr"/>
      <c r="F224" s="5" t="inlineStr"/>
      <c r="G224" s="8">
        <f>IF($B224="","",VLOOKUP($B224,Jogos!$A$2:$K$105,9,FALSE))</f>
        <v/>
      </c>
      <c r="H224" s="8">
        <f>IF($B224="","",VLOOKUP($B224,Jogos!$A$2:$K$105,11,FALSE))</f>
        <v/>
      </c>
      <c r="I224" s="5">
        <f>IF(OR($A224="", $B224="", $E224="", $F224="", $G224="", $H224=""), "",IF(AND($E224=$G224, $F224=$H224), 3, IF(SIGN($E224-$F224)=SIGN($G224-$H224), 1, 0))))</f>
        <v/>
      </c>
    </row>
    <row r="225">
      <c r="A225" s="5" t="inlineStr"/>
      <c r="B225" s="5" t="inlineStr"/>
      <c r="C225" s="5">
        <f>IF($B225="","",VLOOKUP($B225,Jogos!$A$2:$K$105,8,FALSE))</f>
        <v/>
      </c>
      <c r="D225" s="5">
        <f>IF($B225="","",VLOOKUP($B225,Jogos!$A$2:$K$105,10,FALSE))</f>
        <v/>
      </c>
      <c r="E225" s="5" t="inlineStr"/>
      <c r="F225" s="5" t="inlineStr"/>
      <c r="G225" s="8">
        <f>IF($B225="","",VLOOKUP($B225,Jogos!$A$2:$K$105,9,FALSE))</f>
        <v/>
      </c>
      <c r="H225" s="8">
        <f>IF($B225="","",VLOOKUP($B225,Jogos!$A$2:$K$105,11,FALSE))</f>
        <v/>
      </c>
      <c r="I225" s="5">
        <f>IF(OR($A225="", $B225="", $E225="", $F225="", $G225="", $H225=""), "",IF(AND($E225=$G225, $F225=$H225), 3, IF(SIGN($E225-$F225)=SIGN($G225-$H225), 1, 0))))</f>
        <v/>
      </c>
    </row>
    <row r="226">
      <c r="A226" s="5" t="inlineStr"/>
      <c r="B226" s="5" t="inlineStr"/>
      <c r="C226" s="5">
        <f>IF($B226="","",VLOOKUP($B226,Jogos!$A$2:$K$105,8,FALSE))</f>
        <v/>
      </c>
      <c r="D226" s="5">
        <f>IF($B226="","",VLOOKUP($B226,Jogos!$A$2:$K$105,10,FALSE))</f>
        <v/>
      </c>
      <c r="E226" s="5" t="inlineStr"/>
      <c r="F226" s="5" t="inlineStr"/>
      <c r="G226" s="8">
        <f>IF($B226="","",VLOOKUP($B226,Jogos!$A$2:$K$105,9,FALSE))</f>
        <v/>
      </c>
      <c r="H226" s="8">
        <f>IF($B226="","",VLOOKUP($B226,Jogos!$A$2:$K$105,11,FALSE))</f>
        <v/>
      </c>
      <c r="I226" s="5">
        <f>IF(OR($A226="", $B226="", $E226="", $F226="", $G226="", $H226=""), "",IF(AND($E226=$G226, $F226=$H226), 3, IF(SIGN($E226-$F226)=SIGN($G226-$H226), 1, 0))))</f>
        <v/>
      </c>
    </row>
    <row r="227">
      <c r="A227" s="5" t="inlineStr"/>
      <c r="B227" s="5" t="inlineStr"/>
      <c r="C227" s="5">
        <f>IF($B227="","",VLOOKUP($B227,Jogos!$A$2:$K$105,8,FALSE))</f>
        <v/>
      </c>
      <c r="D227" s="5">
        <f>IF($B227="","",VLOOKUP($B227,Jogos!$A$2:$K$105,10,FALSE))</f>
        <v/>
      </c>
      <c r="E227" s="5" t="inlineStr"/>
      <c r="F227" s="5" t="inlineStr"/>
      <c r="G227" s="8">
        <f>IF($B227="","",VLOOKUP($B227,Jogos!$A$2:$K$105,9,FALSE))</f>
        <v/>
      </c>
      <c r="H227" s="8">
        <f>IF($B227="","",VLOOKUP($B227,Jogos!$A$2:$K$105,11,FALSE))</f>
        <v/>
      </c>
      <c r="I227" s="5">
        <f>IF(OR($A227="", $B227="", $E227="", $F227="", $G227="", $H227=""), "",IF(AND($E227=$G227, $F227=$H227), 3, IF(SIGN($E227-$F227)=SIGN($G227-$H227), 1, 0))))</f>
        <v/>
      </c>
    </row>
    <row r="228">
      <c r="A228" s="5" t="inlineStr"/>
      <c r="B228" s="5" t="inlineStr"/>
      <c r="C228" s="5">
        <f>IF($B228="","",VLOOKUP($B228,Jogos!$A$2:$K$105,8,FALSE))</f>
        <v/>
      </c>
      <c r="D228" s="5">
        <f>IF($B228="","",VLOOKUP($B228,Jogos!$A$2:$K$105,10,FALSE))</f>
        <v/>
      </c>
      <c r="E228" s="5" t="inlineStr"/>
      <c r="F228" s="5" t="inlineStr"/>
      <c r="G228" s="8">
        <f>IF($B228="","",VLOOKUP($B228,Jogos!$A$2:$K$105,9,FALSE))</f>
        <v/>
      </c>
      <c r="H228" s="8">
        <f>IF($B228="","",VLOOKUP($B228,Jogos!$A$2:$K$105,11,FALSE))</f>
        <v/>
      </c>
      <c r="I228" s="5">
        <f>IF(OR($A228="", $B228="", $E228="", $F228="", $G228="", $H228=""), "",IF(AND($E228=$G228, $F228=$H228), 3, IF(SIGN($E228-$F228)=SIGN($G228-$H228), 1, 0))))</f>
        <v/>
      </c>
    </row>
    <row r="229">
      <c r="A229" s="5" t="inlineStr"/>
      <c r="B229" s="5" t="inlineStr"/>
      <c r="C229" s="5">
        <f>IF($B229="","",VLOOKUP($B229,Jogos!$A$2:$K$105,8,FALSE))</f>
        <v/>
      </c>
      <c r="D229" s="5">
        <f>IF($B229="","",VLOOKUP($B229,Jogos!$A$2:$K$105,10,FALSE))</f>
        <v/>
      </c>
      <c r="E229" s="5" t="inlineStr"/>
      <c r="F229" s="5" t="inlineStr"/>
      <c r="G229" s="8">
        <f>IF($B229="","",VLOOKUP($B229,Jogos!$A$2:$K$105,9,FALSE))</f>
        <v/>
      </c>
      <c r="H229" s="8">
        <f>IF($B229="","",VLOOKUP($B229,Jogos!$A$2:$K$105,11,FALSE))</f>
        <v/>
      </c>
      <c r="I229" s="5">
        <f>IF(OR($A229="", $B229="", $E229="", $F229="", $G229="", $H229=""), "",IF(AND($E229=$G229, $F229=$H229), 3, IF(SIGN($E229-$F229)=SIGN($G229-$H229), 1, 0))))</f>
        <v/>
      </c>
    </row>
    <row r="230">
      <c r="A230" s="5" t="inlineStr"/>
      <c r="B230" s="5" t="inlineStr"/>
      <c r="C230" s="5">
        <f>IF($B230="","",VLOOKUP($B230,Jogos!$A$2:$K$105,8,FALSE))</f>
        <v/>
      </c>
      <c r="D230" s="5">
        <f>IF($B230="","",VLOOKUP($B230,Jogos!$A$2:$K$105,10,FALSE))</f>
        <v/>
      </c>
      <c r="E230" s="5" t="inlineStr"/>
      <c r="F230" s="5" t="inlineStr"/>
      <c r="G230" s="8">
        <f>IF($B230="","",VLOOKUP($B230,Jogos!$A$2:$K$105,9,FALSE))</f>
        <v/>
      </c>
      <c r="H230" s="8">
        <f>IF($B230="","",VLOOKUP($B230,Jogos!$A$2:$K$105,11,FALSE))</f>
        <v/>
      </c>
      <c r="I230" s="5">
        <f>IF(OR($A230="", $B230="", $E230="", $F230="", $G230="", $H230=""), "",IF(AND($E230=$G230, $F230=$H230), 3, IF(SIGN($E230-$F230)=SIGN($G230-$H230), 1, 0))))</f>
        <v/>
      </c>
    </row>
    <row r="231">
      <c r="A231" s="5" t="inlineStr"/>
      <c r="B231" s="5" t="inlineStr"/>
      <c r="C231" s="5">
        <f>IF($B231="","",VLOOKUP($B231,Jogos!$A$2:$K$105,8,FALSE))</f>
        <v/>
      </c>
      <c r="D231" s="5">
        <f>IF($B231="","",VLOOKUP($B231,Jogos!$A$2:$K$105,10,FALSE))</f>
        <v/>
      </c>
      <c r="E231" s="5" t="inlineStr"/>
      <c r="F231" s="5" t="inlineStr"/>
      <c r="G231" s="8">
        <f>IF($B231="","",VLOOKUP($B231,Jogos!$A$2:$K$105,9,FALSE))</f>
        <v/>
      </c>
      <c r="H231" s="8">
        <f>IF($B231="","",VLOOKUP($B231,Jogos!$A$2:$K$105,11,FALSE))</f>
        <v/>
      </c>
      <c r="I231" s="5">
        <f>IF(OR($A231="", $B231="", $E231="", $F231="", $G231="", $H231=""), "",IF(AND($E231=$G231, $F231=$H231), 3, IF(SIGN($E231-$F231)=SIGN($G231-$H231), 1, 0))))</f>
        <v/>
      </c>
    </row>
    <row r="232">
      <c r="A232" s="5" t="inlineStr"/>
      <c r="B232" s="5" t="inlineStr"/>
      <c r="C232" s="5">
        <f>IF($B232="","",VLOOKUP($B232,Jogos!$A$2:$K$105,8,FALSE))</f>
        <v/>
      </c>
      <c r="D232" s="5">
        <f>IF($B232="","",VLOOKUP($B232,Jogos!$A$2:$K$105,10,FALSE))</f>
        <v/>
      </c>
      <c r="E232" s="5" t="inlineStr"/>
      <c r="F232" s="5" t="inlineStr"/>
      <c r="G232" s="8">
        <f>IF($B232="","",VLOOKUP($B232,Jogos!$A$2:$K$105,9,FALSE))</f>
        <v/>
      </c>
      <c r="H232" s="8">
        <f>IF($B232="","",VLOOKUP($B232,Jogos!$A$2:$K$105,11,FALSE))</f>
        <v/>
      </c>
      <c r="I232" s="5">
        <f>IF(OR($A232="", $B232="", $E232="", $F232="", $G232="", $H232=""), "",IF(AND($E232=$G232, $F232=$H232), 3, IF(SIGN($E232-$F232)=SIGN($G232-$H232), 1, 0))))</f>
        <v/>
      </c>
    </row>
    <row r="233">
      <c r="A233" s="5" t="inlineStr"/>
      <c r="B233" s="5" t="inlineStr"/>
      <c r="C233" s="5">
        <f>IF($B233="","",VLOOKUP($B233,Jogos!$A$2:$K$105,8,FALSE))</f>
        <v/>
      </c>
      <c r="D233" s="5">
        <f>IF($B233="","",VLOOKUP($B233,Jogos!$A$2:$K$105,10,FALSE))</f>
        <v/>
      </c>
      <c r="E233" s="5" t="inlineStr"/>
      <c r="F233" s="5" t="inlineStr"/>
      <c r="G233" s="8">
        <f>IF($B233="","",VLOOKUP($B233,Jogos!$A$2:$K$105,9,FALSE))</f>
        <v/>
      </c>
      <c r="H233" s="8">
        <f>IF($B233="","",VLOOKUP($B233,Jogos!$A$2:$K$105,11,FALSE))</f>
        <v/>
      </c>
      <c r="I233" s="5">
        <f>IF(OR($A233="", $B233="", $E233="", $F233="", $G233="", $H233=""), "",IF(AND($E233=$G233, $F233=$H233), 3, IF(SIGN($E233-$F233)=SIGN($G233-$H233), 1, 0))))</f>
        <v/>
      </c>
    </row>
    <row r="234">
      <c r="A234" s="5" t="inlineStr"/>
      <c r="B234" s="5" t="inlineStr"/>
      <c r="C234" s="5">
        <f>IF($B234="","",VLOOKUP($B234,Jogos!$A$2:$K$105,8,FALSE))</f>
        <v/>
      </c>
      <c r="D234" s="5">
        <f>IF($B234="","",VLOOKUP($B234,Jogos!$A$2:$K$105,10,FALSE))</f>
        <v/>
      </c>
      <c r="E234" s="5" t="inlineStr"/>
      <c r="F234" s="5" t="inlineStr"/>
      <c r="G234" s="8">
        <f>IF($B234="","",VLOOKUP($B234,Jogos!$A$2:$K$105,9,FALSE))</f>
        <v/>
      </c>
      <c r="H234" s="8">
        <f>IF($B234="","",VLOOKUP($B234,Jogos!$A$2:$K$105,11,FALSE))</f>
        <v/>
      </c>
      <c r="I234" s="5">
        <f>IF(OR($A234="", $B234="", $E234="", $F234="", $G234="", $H234=""), "",IF(AND($E234=$G234, $F234=$H234), 3, IF(SIGN($E234-$F234)=SIGN($G234-$H234), 1, 0))))</f>
        <v/>
      </c>
    </row>
    <row r="235">
      <c r="A235" s="5" t="inlineStr"/>
      <c r="B235" s="5" t="inlineStr"/>
      <c r="C235" s="5">
        <f>IF($B235="","",VLOOKUP($B235,Jogos!$A$2:$K$105,8,FALSE))</f>
        <v/>
      </c>
      <c r="D235" s="5">
        <f>IF($B235="","",VLOOKUP($B235,Jogos!$A$2:$K$105,10,FALSE))</f>
        <v/>
      </c>
      <c r="E235" s="5" t="inlineStr"/>
      <c r="F235" s="5" t="inlineStr"/>
      <c r="G235" s="8">
        <f>IF($B235="","",VLOOKUP($B235,Jogos!$A$2:$K$105,9,FALSE))</f>
        <v/>
      </c>
      <c r="H235" s="8">
        <f>IF($B235="","",VLOOKUP($B235,Jogos!$A$2:$K$105,11,FALSE))</f>
        <v/>
      </c>
      <c r="I235" s="5">
        <f>IF(OR($A235="", $B235="", $E235="", $F235="", $G235="", $H235=""), "",IF(AND($E235=$G235, $F235=$H235), 3, IF(SIGN($E235-$F235)=SIGN($G235-$H235), 1, 0))))</f>
        <v/>
      </c>
    </row>
    <row r="236">
      <c r="A236" s="5" t="inlineStr"/>
      <c r="B236" s="5" t="inlineStr"/>
      <c r="C236" s="5">
        <f>IF($B236="","",VLOOKUP($B236,Jogos!$A$2:$K$105,8,FALSE))</f>
        <v/>
      </c>
      <c r="D236" s="5">
        <f>IF($B236="","",VLOOKUP($B236,Jogos!$A$2:$K$105,10,FALSE))</f>
        <v/>
      </c>
      <c r="E236" s="5" t="inlineStr"/>
      <c r="F236" s="5" t="inlineStr"/>
      <c r="G236" s="8">
        <f>IF($B236="","",VLOOKUP($B236,Jogos!$A$2:$K$105,9,FALSE))</f>
        <v/>
      </c>
      <c r="H236" s="8">
        <f>IF($B236="","",VLOOKUP($B236,Jogos!$A$2:$K$105,11,FALSE))</f>
        <v/>
      </c>
      <c r="I236" s="5">
        <f>IF(OR($A236="", $B236="", $E236="", $F236="", $G236="", $H236=""), "",IF(AND($E236=$G236, $F236=$H236), 3, IF(SIGN($E236-$F236)=SIGN($G236-$H236), 1, 0))))</f>
        <v/>
      </c>
    </row>
    <row r="237">
      <c r="A237" s="5" t="inlineStr"/>
      <c r="B237" s="5" t="inlineStr"/>
      <c r="C237" s="5">
        <f>IF($B237="","",VLOOKUP($B237,Jogos!$A$2:$K$105,8,FALSE))</f>
        <v/>
      </c>
      <c r="D237" s="5">
        <f>IF($B237="","",VLOOKUP($B237,Jogos!$A$2:$K$105,10,FALSE))</f>
        <v/>
      </c>
      <c r="E237" s="5" t="inlineStr"/>
      <c r="F237" s="5" t="inlineStr"/>
      <c r="G237" s="8">
        <f>IF($B237="","",VLOOKUP($B237,Jogos!$A$2:$K$105,9,FALSE))</f>
        <v/>
      </c>
      <c r="H237" s="8">
        <f>IF($B237="","",VLOOKUP($B237,Jogos!$A$2:$K$105,11,FALSE))</f>
        <v/>
      </c>
      <c r="I237" s="5">
        <f>IF(OR($A237="", $B237="", $E237="", $F237="", $G237="", $H237=""), "",IF(AND($E237=$G237, $F237=$H237), 3, IF(SIGN($E237-$F237)=SIGN($G237-$H237), 1, 0))))</f>
        <v/>
      </c>
    </row>
    <row r="238">
      <c r="A238" s="5" t="inlineStr"/>
      <c r="B238" s="5" t="inlineStr"/>
      <c r="C238" s="5">
        <f>IF($B238="","",VLOOKUP($B238,Jogos!$A$2:$K$105,8,FALSE))</f>
        <v/>
      </c>
      <c r="D238" s="5">
        <f>IF($B238="","",VLOOKUP($B238,Jogos!$A$2:$K$105,10,FALSE))</f>
        <v/>
      </c>
      <c r="E238" s="5" t="inlineStr"/>
      <c r="F238" s="5" t="inlineStr"/>
      <c r="G238" s="8">
        <f>IF($B238="","",VLOOKUP($B238,Jogos!$A$2:$K$105,9,FALSE))</f>
        <v/>
      </c>
      <c r="H238" s="8">
        <f>IF($B238="","",VLOOKUP($B238,Jogos!$A$2:$K$105,11,FALSE))</f>
        <v/>
      </c>
      <c r="I238" s="5">
        <f>IF(OR($A238="", $B238="", $E238="", $F238="", $G238="", $H238=""), "",IF(AND($E238=$G238, $F238=$H238), 3, IF(SIGN($E238-$F238)=SIGN($G238-$H238), 1, 0))))</f>
        <v/>
      </c>
    </row>
    <row r="239">
      <c r="A239" s="5" t="inlineStr"/>
      <c r="B239" s="5" t="inlineStr"/>
      <c r="C239" s="5">
        <f>IF($B239="","",VLOOKUP($B239,Jogos!$A$2:$K$105,8,FALSE))</f>
        <v/>
      </c>
      <c r="D239" s="5">
        <f>IF($B239="","",VLOOKUP($B239,Jogos!$A$2:$K$105,10,FALSE))</f>
        <v/>
      </c>
      <c r="E239" s="5" t="inlineStr"/>
      <c r="F239" s="5" t="inlineStr"/>
      <c r="G239" s="8">
        <f>IF($B239="","",VLOOKUP($B239,Jogos!$A$2:$K$105,9,FALSE))</f>
        <v/>
      </c>
      <c r="H239" s="8">
        <f>IF($B239="","",VLOOKUP($B239,Jogos!$A$2:$K$105,11,FALSE))</f>
        <v/>
      </c>
      <c r="I239" s="5">
        <f>IF(OR($A239="", $B239="", $E239="", $F239="", $G239="", $H239=""), "",IF(AND($E239=$G239, $F239=$H239), 3, IF(SIGN($E239-$F239)=SIGN($G239-$H239), 1, 0))))</f>
        <v/>
      </c>
    </row>
    <row r="240">
      <c r="A240" s="5" t="inlineStr"/>
      <c r="B240" s="5" t="inlineStr"/>
      <c r="C240" s="5">
        <f>IF($B240="","",VLOOKUP($B240,Jogos!$A$2:$K$105,8,FALSE))</f>
        <v/>
      </c>
      <c r="D240" s="5">
        <f>IF($B240="","",VLOOKUP($B240,Jogos!$A$2:$K$105,10,FALSE))</f>
        <v/>
      </c>
      <c r="E240" s="5" t="inlineStr"/>
      <c r="F240" s="5" t="inlineStr"/>
      <c r="G240" s="8">
        <f>IF($B240="","",VLOOKUP($B240,Jogos!$A$2:$K$105,9,FALSE))</f>
        <v/>
      </c>
      <c r="H240" s="8">
        <f>IF($B240="","",VLOOKUP($B240,Jogos!$A$2:$K$105,11,FALSE))</f>
        <v/>
      </c>
      <c r="I240" s="5">
        <f>IF(OR($A240="", $B240="", $E240="", $F240="", $G240="", $H240=""), "",IF(AND($E240=$G240, $F240=$H240), 3, IF(SIGN($E240-$F240)=SIGN($G240-$H240), 1, 0))))</f>
        <v/>
      </c>
    </row>
    <row r="241">
      <c r="A241" s="5" t="inlineStr"/>
      <c r="B241" s="5" t="inlineStr"/>
      <c r="C241" s="5">
        <f>IF($B241="","",VLOOKUP($B241,Jogos!$A$2:$K$105,8,FALSE))</f>
        <v/>
      </c>
      <c r="D241" s="5">
        <f>IF($B241="","",VLOOKUP($B241,Jogos!$A$2:$K$105,10,FALSE))</f>
        <v/>
      </c>
      <c r="E241" s="5" t="inlineStr"/>
      <c r="F241" s="5" t="inlineStr"/>
      <c r="G241" s="8">
        <f>IF($B241="","",VLOOKUP($B241,Jogos!$A$2:$K$105,9,FALSE))</f>
        <v/>
      </c>
      <c r="H241" s="8">
        <f>IF($B241="","",VLOOKUP($B241,Jogos!$A$2:$K$105,11,FALSE))</f>
        <v/>
      </c>
      <c r="I241" s="5">
        <f>IF(OR($A241="", $B241="", $E241="", $F241="", $G241="", $H241=""), "",IF(AND($E241=$G241, $F241=$H241), 3, IF(SIGN($E241-$F241)=SIGN($G241-$H241), 1, 0))))</f>
        <v/>
      </c>
    </row>
    <row r="242">
      <c r="A242" s="5" t="inlineStr"/>
      <c r="B242" s="5" t="inlineStr"/>
      <c r="C242" s="5">
        <f>IF($B242="","",VLOOKUP($B242,Jogos!$A$2:$K$105,8,FALSE))</f>
        <v/>
      </c>
      <c r="D242" s="5">
        <f>IF($B242="","",VLOOKUP($B242,Jogos!$A$2:$K$105,10,FALSE))</f>
        <v/>
      </c>
      <c r="E242" s="5" t="inlineStr"/>
      <c r="F242" s="5" t="inlineStr"/>
      <c r="G242" s="8">
        <f>IF($B242="","",VLOOKUP($B242,Jogos!$A$2:$K$105,9,FALSE))</f>
        <v/>
      </c>
      <c r="H242" s="8">
        <f>IF($B242="","",VLOOKUP($B242,Jogos!$A$2:$K$105,11,FALSE))</f>
        <v/>
      </c>
      <c r="I242" s="5">
        <f>IF(OR($A242="", $B242="", $E242="", $F242="", $G242="", $H242=""), "",IF(AND($E242=$G242, $F242=$H242), 3, IF(SIGN($E242-$F242)=SIGN($G242-$H242), 1, 0))))</f>
        <v/>
      </c>
    </row>
    <row r="243">
      <c r="A243" s="5" t="inlineStr"/>
      <c r="B243" s="5" t="inlineStr"/>
      <c r="C243" s="5">
        <f>IF($B243="","",VLOOKUP($B243,Jogos!$A$2:$K$105,8,FALSE))</f>
        <v/>
      </c>
      <c r="D243" s="5">
        <f>IF($B243="","",VLOOKUP($B243,Jogos!$A$2:$K$105,10,FALSE))</f>
        <v/>
      </c>
      <c r="E243" s="5" t="inlineStr"/>
      <c r="F243" s="5" t="inlineStr"/>
      <c r="G243" s="8">
        <f>IF($B243="","",VLOOKUP($B243,Jogos!$A$2:$K$105,9,FALSE))</f>
        <v/>
      </c>
      <c r="H243" s="8">
        <f>IF($B243="","",VLOOKUP($B243,Jogos!$A$2:$K$105,11,FALSE))</f>
        <v/>
      </c>
      <c r="I243" s="5">
        <f>IF(OR($A243="", $B243="", $E243="", $F243="", $G243="", $H243=""), "",IF(AND($E243=$G243, $F243=$H243), 3, IF(SIGN($E243-$F243)=SIGN($G243-$H243), 1, 0))))</f>
        <v/>
      </c>
    </row>
    <row r="244">
      <c r="A244" s="5" t="inlineStr"/>
      <c r="B244" s="5" t="inlineStr"/>
      <c r="C244" s="5">
        <f>IF($B244="","",VLOOKUP($B244,Jogos!$A$2:$K$105,8,FALSE))</f>
        <v/>
      </c>
      <c r="D244" s="5">
        <f>IF($B244="","",VLOOKUP($B244,Jogos!$A$2:$K$105,10,FALSE))</f>
        <v/>
      </c>
      <c r="E244" s="5" t="inlineStr"/>
      <c r="F244" s="5" t="inlineStr"/>
      <c r="G244" s="8">
        <f>IF($B244="","",VLOOKUP($B244,Jogos!$A$2:$K$105,9,FALSE))</f>
        <v/>
      </c>
      <c r="H244" s="8">
        <f>IF($B244="","",VLOOKUP($B244,Jogos!$A$2:$K$105,11,FALSE))</f>
        <v/>
      </c>
      <c r="I244" s="5">
        <f>IF(OR($A244="", $B244="", $E244="", $F244="", $G244="", $H244=""), "",IF(AND($E244=$G244, $F244=$H244), 3, IF(SIGN($E244-$F244)=SIGN($G244-$H244), 1, 0))))</f>
        <v/>
      </c>
    </row>
    <row r="245">
      <c r="A245" s="5" t="inlineStr"/>
      <c r="B245" s="5" t="inlineStr"/>
      <c r="C245" s="5">
        <f>IF($B245="","",VLOOKUP($B245,Jogos!$A$2:$K$105,8,FALSE))</f>
        <v/>
      </c>
      <c r="D245" s="5">
        <f>IF($B245="","",VLOOKUP($B245,Jogos!$A$2:$K$105,10,FALSE))</f>
        <v/>
      </c>
      <c r="E245" s="5" t="inlineStr"/>
      <c r="F245" s="5" t="inlineStr"/>
      <c r="G245" s="8">
        <f>IF($B245="","",VLOOKUP($B245,Jogos!$A$2:$K$105,9,FALSE))</f>
        <v/>
      </c>
      <c r="H245" s="8">
        <f>IF($B245="","",VLOOKUP($B245,Jogos!$A$2:$K$105,11,FALSE))</f>
        <v/>
      </c>
      <c r="I245" s="5">
        <f>IF(OR($A245="", $B245="", $E245="", $F245="", $G245="", $H245=""), "",IF(AND($E245=$G245, $F245=$H245), 3, IF(SIGN($E245-$F245)=SIGN($G245-$H245), 1, 0))))</f>
        <v/>
      </c>
    </row>
    <row r="246">
      <c r="A246" s="5" t="inlineStr"/>
      <c r="B246" s="5" t="inlineStr"/>
      <c r="C246" s="5">
        <f>IF($B246="","",VLOOKUP($B246,Jogos!$A$2:$K$105,8,FALSE))</f>
        <v/>
      </c>
      <c r="D246" s="5">
        <f>IF($B246="","",VLOOKUP($B246,Jogos!$A$2:$K$105,10,FALSE))</f>
        <v/>
      </c>
      <c r="E246" s="5" t="inlineStr"/>
      <c r="F246" s="5" t="inlineStr"/>
      <c r="G246" s="8">
        <f>IF($B246="","",VLOOKUP($B246,Jogos!$A$2:$K$105,9,FALSE))</f>
        <v/>
      </c>
      <c r="H246" s="8">
        <f>IF($B246="","",VLOOKUP($B246,Jogos!$A$2:$K$105,11,FALSE))</f>
        <v/>
      </c>
      <c r="I246" s="5">
        <f>IF(OR($A246="", $B246="", $E246="", $F246="", $G246="", $H246=""), "",IF(AND($E246=$G246, $F246=$H246), 3, IF(SIGN($E246-$F246)=SIGN($G246-$H246), 1, 0))))</f>
        <v/>
      </c>
    </row>
    <row r="247">
      <c r="A247" s="5" t="inlineStr"/>
      <c r="B247" s="5" t="inlineStr"/>
      <c r="C247" s="5">
        <f>IF($B247="","",VLOOKUP($B247,Jogos!$A$2:$K$105,8,FALSE))</f>
        <v/>
      </c>
      <c r="D247" s="5">
        <f>IF($B247="","",VLOOKUP($B247,Jogos!$A$2:$K$105,10,FALSE))</f>
        <v/>
      </c>
      <c r="E247" s="5" t="inlineStr"/>
      <c r="F247" s="5" t="inlineStr"/>
      <c r="G247" s="8">
        <f>IF($B247="","",VLOOKUP($B247,Jogos!$A$2:$K$105,9,FALSE))</f>
        <v/>
      </c>
      <c r="H247" s="8">
        <f>IF($B247="","",VLOOKUP($B247,Jogos!$A$2:$K$105,11,FALSE))</f>
        <v/>
      </c>
      <c r="I247" s="5">
        <f>IF(OR($A247="", $B247="", $E247="", $F247="", $G247="", $H247=""), "",IF(AND($E247=$G247, $F247=$H247), 3, IF(SIGN($E247-$F247)=SIGN($G247-$H247), 1, 0))))</f>
        <v/>
      </c>
    </row>
    <row r="248">
      <c r="A248" s="5" t="inlineStr"/>
      <c r="B248" s="5" t="inlineStr"/>
      <c r="C248" s="5">
        <f>IF($B248="","",VLOOKUP($B248,Jogos!$A$2:$K$105,8,FALSE))</f>
        <v/>
      </c>
      <c r="D248" s="5">
        <f>IF($B248="","",VLOOKUP($B248,Jogos!$A$2:$K$105,10,FALSE))</f>
        <v/>
      </c>
      <c r="E248" s="5" t="inlineStr"/>
      <c r="F248" s="5" t="inlineStr"/>
      <c r="G248" s="8">
        <f>IF($B248="","",VLOOKUP($B248,Jogos!$A$2:$K$105,9,FALSE))</f>
        <v/>
      </c>
      <c r="H248" s="8">
        <f>IF($B248="","",VLOOKUP($B248,Jogos!$A$2:$K$105,11,FALSE))</f>
        <v/>
      </c>
      <c r="I248" s="5">
        <f>IF(OR($A248="", $B248="", $E248="", $F248="", $G248="", $H248=""), "",IF(AND($E248=$G248, $F248=$H248), 3, IF(SIGN($E248-$F248)=SIGN($G248-$H248), 1, 0))))</f>
        <v/>
      </c>
    </row>
    <row r="249">
      <c r="A249" s="5" t="inlineStr"/>
      <c r="B249" s="5" t="inlineStr"/>
      <c r="C249" s="5">
        <f>IF($B249="","",VLOOKUP($B249,Jogos!$A$2:$K$105,8,FALSE))</f>
        <v/>
      </c>
      <c r="D249" s="5">
        <f>IF($B249="","",VLOOKUP($B249,Jogos!$A$2:$K$105,10,FALSE))</f>
        <v/>
      </c>
      <c r="E249" s="5" t="inlineStr"/>
      <c r="F249" s="5" t="inlineStr"/>
      <c r="G249" s="8">
        <f>IF($B249="","",VLOOKUP($B249,Jogos!$A$2:$K$105,9,FALSE))</f>
        <v/>
      </c>
      <c r="H249" s="8">
        <f>IF($B249="","",VLOOKUP($B249,Jogos!$A$2:$K$105,11,FALSE))</f>
        <v/>
      </c>
      <c r="I249" s="5">
        <f>IF(OR($A249="", $B249="", $E249="", $F249="", $G249="", $H249=""), "",IF(AND($E249=$G249, $F249=$H249), 3, IF(SIGN($E249-$F249)=SIGN($G249-$H249), 1, 0))))</f>
        <v/>
      </c>
    </row>
    <row r="250">
      <c r="A250" s="5" t="inlineStr"/>
      <c r="B250" s="5" t="inlineStr"/>
      <c r="C250" s="5">
        <f>IF($B250="","",VLOOKUP($B250,Jogos!$A$2:$K$105,8,FALSE))</f>
        <v/>
      </c>
      <c r="D250" s="5">
        <f>IF($B250="","",VLOOKUP($B250,Jogos!$A$2:$K$105,10,FALSE))</f>
        <v/>
      </c>
      <c r="E250" s="5" t="inlineStr"/>
      <c r="F250" s="5" t="inlineStr"/>
      <c r="G250" s="8">
        <f>IF($B250="","",VLOOKUP($B250,Jogos!$A$2:$K$105,9,FALSE))</f>
        <v/>
      </c>
      <c r="H250" s="8">
        <f>IF($B250="","",VLOOKUP($B250,Jogos!$A$2:$K$105,11,FALSE))</f>
        <v/>
      </c>
      <c r="I250" s="5">
        <f>IF(OR($A250="", $B250="", $E250="", $F250="", $G250="", $H250=""), "",IF(AND($E250=$G250, $F250=$H250), 3, IF(SIGN($E250-$F250)=SIGN($G250-$H250), 1, 0))))</f>
        <v/>
      </c>
    </row>
    <row r="251">
      <c r="A251" s="5" t="inlineStr"/>
      <c r="B251" s="5" t="inlineStr"/>
      <c r="C251" s="5">
        <f>IF($B251="","",VLOOKUP($B251,Jogos!$A$2:$K$105,8,FALSE))</f>
        <v/>
      </c>
      <c r="D251" s="5">
        <f>IF($B251="","",VLOOKUP($B251,Jogos!$A$2:$K$105,10,FALSE))</f>
        <v/>
      </c>
      <c r="E251" s="5" t="inlineStr"/>
      <c r="F251" s="5" t="inlineStr"/>
      <c r="G251" s="8">
        <f>IF($B251="","",VLOOKUP($B251,Jogos!$A$2:$K$105,9,FALSE))</f>
        <v/>
      </c>
      <c r="H251" s="8">
        <f>IF($B251="","",VLOOKUP($B251,Jogos!$A$2:$K$105,11,FALSE))</f>
        <v/>
      </c>
      <c r="I251" s="5">
        <f>IF(OR($A251="", $B251="", $E251="", $F251="", $G251="", $H251=""), "",IF(AND($E251=$G251, $F251=$H251), 3, IF(SIGN($E251-$F251)=SIGN($G251-$H251), 1, 0))))</f>
        <v/>
      </c>
    </row>
    <row r="252">
      <c r="A252" s="5" t="inlineStr"/>
      <c r="B252" s="5" t="inlineStr"/>
      <c r="C252" s="5">
        <f>IF($B252="","",VLOOKUP($B252,Jogos!$A$2:$K$105,8,FALSE))</f>
        <v/>
      </c>
      <c r="D252" s="5">
        <f>IF($B252="","",VLOOKUP($B252,Jogos!$A$2:$K$105,10,FALSE))</f>
        <v/>
      </c>
      <c r="E252" s="5" t="inlineStr"/>
      <c r="F252" s="5" t="inlineStr"/>
      <c r="G252" s="8">
        <f>IF($B252="","",VLOOKUP($B252,Jogos!$A$2:$K$105,9,FALSE))</f>
        <v/>
      </c>
      <c r="H252" s="8">
        <f>IF($B252="","",VLOOKUP($B252,Jogos!$A$2:$K$105,11,FALSE))</f>
        <v/>
      </c>
      <c r="I252" s="5">
        <f>IF(OR($A252="", $B252="", $E252="", $F252="", $G252="", $H252=""), "",IF(AND($E252=$G252, $F252=$H252), 3, IF(SIGN($E252-$F252)=SIGN($G252-$H252), 1, 0))))</f>
        <v/>
      </c>
    </row>
    <row r="253">
      <c r="A253" s="5" t="inlineStr"/>
      <c r="B253" s="5" t="inlineStr"/>
      <c r="C253" s="5">
        <f>IF($B253="","",VLOOKUP($B253,Jogos!$A$2:$K$105,8,FALSE))</f>
        <v/>
      </c>
      <c r="D253" s="5">
        <f>IF($B253="","",VLOOKUP($B253,Jogos!$A$2:$K$105,10,FALSE))</f>
        <v/>
      </c>
      <c r="E253" s="5" t="inlineStr"/>
      <c r="F253" s="5" t="inlineStr"/>
      <c r="G253" s="8">
        <f>IF($B253="","",VLOOKUP($B253,Jogos!$A$2:$K$105,9,FALSE))</f>
        <v/>
      </c>
      <c r="H253" s="8">
        <f>IF($B253="","",VLOOKUP($B253,Jogos!$A$2:$K$105,11,FALSE))</f>
        <v/>
      </c>
      <c r="I253" s="5">
        <f>IF(OR($A253="", $B253="", $E253="", $F253="", $G253="", $H253=""), "",IF(AND($E253=$G253, $F253=$H253), 3, IF(SIGN($E253-$F253)=SIGN($G253-$H253), 1, 0))))</f>
        <v/>
      </c>
    </row>
    <row r="254">
      <c r="A254" s="5" t="inlineStr"/>
      <c r="B254" s="5" t="inlineStr"/>
      <c r="C254" s="5">
        <f>IF($B254="","",VLOOKUP($B254,Jogos!$A$2:$K$105,8,FALSE))</f>
        <v/>
      </c>
      <c r="D254" s="5">
        <f>IF($B254="","",VLOOKUP($B254,Jogos!$A$2:$K$105,10,FALSE))</f>
        <v/>
      </c>
      <c r="E254" s="5" t="inlineStr"/>
      <c r="F254" s="5" t="inlineStr"/>
      <c r="G254" s="8">
        <f>IF($B254="","",VLOOKUP($B254,Jogos!$A$2:$K$105,9,FALSE))</f>
        <v/>
      </c>
      <c r="H254" s="8">
        <f>IF($B254="","",VLOOKUP($B254,Jogos!$A$2:$K$105,11,FALSE))</f>
        <v/>
      </c>
      <c r="I254" s="5">
        <f>IF(OR($A254="", $B254="", $E254="", $F254="", $G254="", $H254=""), "",IF(AND($E254=$G254, $F254=$H254), 3, IF(SIGN($E254-$F254)=SIGN($G254-$H254), 1, 0))))</f>
        <v/>
      </c>
    </row>
    <row r="255">
      <c r="A255" s="5" t="inlineStr"/>
      <c r="B255" s="5" t="inlineStr"/>
      <c r="C255" s="5">
        <f>IF($B255="","",VLOOKUP($B255,Jogos!$A$2:$K$105,8,FALSE))</f>
        <v/>
      </c>
      <c r="D255" s="5">
        <f>IF($B255="","",VLOOKUP($B255,Jogos!$A$2:$K$105,10,FALSE))</f>
        <v/>
      </c>
      <c r="E255" s="5" t="inlineStr"/>
      <c r="F255" s="5" t="inlineStr"/>
      <c r="G255" s="8">
        <f>IF($B255="","",VLOOKUP($B255,Jogos!$A$2:$K$105,9,FALSE))</f>
        <v/>
      </c>
      <c r="H255" s="8">
        <f>IF($B255="","",VLOOKUP($B255,Jogos!$A$2:$K$105,11,FALSE))</f>
        <v/>
      </c>
      <c r="I255" s="5">
        <f>IF(OR($A255="", $B255="", $E255="", $F255="", $G255="", $H255=""), "",IF(AND($E255=$G255, $F255=$H255), 3, IF(SIGN($E255-$F255)=SIGN($G255-$H255), 1, 0))))</f>
        <v/>
      </c>
    </row>
    <row r="256">
      <c r="A256" s="5" t="inlineStr"/>
      <c r="B256" s="5" t="inlineStr"/>
      <c r="C256" s="5">
        <f>IF($B256="","",VLOOKUP($B256,Jogos!$A$2:$K$105,8,FALSE))</f>
        <v/>
      </c>
      <c r="D256" s="5">
        <f>IF($B256="","",VLOOKUP($B256,Jogos!$A$2:$K$105,10,FALSE))</f>
        <v/>
      </c>
      <c r="E256" s="5" t="inlineStr"/>
      <c r="F256" s="5" t="inlineStr"/>
      <c r="G256" s="8">
        <f>IF($B256="","",VLOOKUP($B256,Jogos!$A$2:$K$105,9,FALSE))</f>
        <v/>
      </c>
      <c r="H256" s="8">
        <f>IF($B256="","",VLOOKUP($B256,Jogos!$A$2:$K$105,11,FALSE))</f>
        <v/>
      </c>
      <c r="I256" s="5">
        <f>IF(OR($A256="", $B256="", $E256="", $F256="", $G256="", $H256=""), "",IF(AND($E256=$G256, $F256=$H256), 3, IF(SIGN($E256-$F256)=SIGN($G256-$H256), 1, 0))))</f>
        <v/>
      </c>
    </row>
    <row r="257">
      <c r="A257" s="5" t="inlineStr"/>
      <c r="B257" s="5" t="inlineStr"/>
      <c r="C257" s="5">
        <f>IF($B257="","",VLOOKUP($B257,Jogos!$A$2:$K$105,8,FALSE))</f>
        <v/>
      </c>
      <c r="D257" s="5">
        <f>IF($B257="","",VLOOKUP($B257,Jogos!$A$2:$K$105,10,FALSE))</f>
        <v/>
      </c>
      <c r="E257" s="5" t="inlineStr"/>
      <c r="F257" s="5" t="inlineStr"/>
      <c r="G257" s="8">
        <f>IF($B257="","",VLOOKUP($B257,Jogos!$A$2:$K$105,9,FALSE))</f>
        <v/>
      </c>
      <c r="H257" s="8">
        <f>IF($B257="","",VLOOKUP($B257,Jogos!$A$2:$K$105,11,FALSE))</f>
        <v/>
      </c>
      <c r="I257" s="5">
        <f>IF(OR($A257="", $B257="", $E257="", $F257="", $G257="", $H257=""), "",IF(AND($E257=$G257, $F257=$H257), 3, IF(SIGN($E257-$F257)=SIGN($G257-$H257), 1, 0))))</f>
        <v/>
      </c>
    </row>
    <row r="258">
      <c r="A258" s="5" t="inlineStr"/>
      <c r="B258" s="5" t="inlineStr"/>
      <c r="C258" s="5">
        <f>IF($B258="","",VLOOKUP($B258,Jogos!$A$2:$K$105,8,FALSE))</f>
        <v/>
      </c>
      <c r="D258" s="5">
        <f>IF($B258="","",VLOOKUP($B258,Jogos!$A$2:$K$105,10,FALSE))</f>
        <v/>
      </c>
      <c r="E258" s="5" t="inlineStr"/>
      <c r="F258" s="5" t="inlineStr"/>
      <c r="G258" s="8">
        <f>IF($B258="","",VLOOKUP($B258,Jogos!$A$2:$K$105,9,FALSE))</f>
        <v/>
      </c>
      <c r="H258" s="8">
        <f>IF($B258="","",VLOOKUP($B258,Jogos!$A$2:$K$105,11,FALSE))</f>
        <v/>
      </c>
      <c r="I258" s="5">
        <f>IF(OR($A258="", $B258="", $E258="", $F258="", $G258="", $H258=""), "",IF(AND($E258=$G258, $F258=$H258), 3, IF(SIGN($E258-$F258)=SIGN($G258-$H258), 1, 0))))</f>
        <v/>
      </c>
    </row>
    <row r="259">
      <c r="A259" s="5" t="inlineStr"/>
      <c r="B259" s="5" t="inlineStr"/>
      <c r="C259" s="5">
        <f>IF($B259="","",VLOOKUP($B259,Jogos!$A$2:$K$105,8,FALSE))</f>
        <v/>
      </c>
      <c r="D259" s="5">
        <f>IF($B259="","",VLOOKUP($B259,Jogos!$A$2:$K$105,10,FALSE))</f>
        <v/>
      </c>
      <c r="E259" s="5" t="inlineStr"/>
      <c r="F259" s="5" t="inlineStr"/>
      <c r="G259" s="8">
        <f>IF($B259="","",VLOOKUP($B259,Jogos!$A$2:$K$105,9,FALSE))</f>
        <v/>
      </c>
      <c r="H259" s="8">
        <f>IF($B259="","",VLOOKUP($B259,Jogos!$A$2:$K$105,11,FALSE))</f>
        <v/>
      </c>
      <c r="I259" s="5">
        <f>IF(OR($A259="", $B259="", $E259="", $F259="", $G259="", $H259=""), "",IF(AND($E259=$G259, $F259=$H259), 3, IF(SIGN($E259-$F259)=SIGN($G259-$H259), 1, 0))))</f>
        <v/>
      </c>
    </row>
    <row r="260">
      <c r="A260" s="5" t="inlineStr"/>
      <c r="B260" s="5" t="inlineStr"/>
      <c r="C260" s="5">
        <f>IF($B260="","",VLOOKUP($B260,Jogos!$A$2:$K$105,8,FALSE))</f>
        <v/>
      </c>
      <c r="D260" s="5">
        <f>IF($B260="","",VLOOKUP($B260,Jogos!$A$2:$K$105,10,FALSE))</f>
        <v/>
      </c>
      <c r="E260" s="5" t="inlineStr"/>
      <c r="F260" s="5" t="inlineStr"/>
      <c r="G260" s="8">
        <f>IF($B260="","",VLOOKUP($B260,Jogos!$A$2:$K$105,9,FALSE))</f>
        <v/>
      </c>
      <c r="H260" s="8">
        <f>IF($B260="","",VLOOKUP($B260,Jogos!$A$2:$K$105,11,FALSE))</f>
        <v/>
      </c>
      <c r="I260" s="5">
        <f>IF(OR($A260="", $B260="", $E260="", $F260="", $G260="", $H260=""), "",IF(AND($E260=$G260, $F260=$H260), 3, IF(SIGN($E260-$F260)=SIGN($G260-$H260), 1, 0))))</f>
        <v/>
      </c>
    </row>
    <row r="261">
      <c r="A261" s="5" t="inlineStr"/>
      <c r="B261" s="5" t="inlineStr"/>
      <c r="C261" s="5">
        <f>IF($B261="","",VLOOKUP($B261,Jogos!$A$2:$K$105,8,FALSE))</f>
        <v/>
      </c>
      <c r="D261" s="5">
        <f>IF($B261="","",VLOOKUP($B261,Jogos!$A$2:$K$105,10,FALSE))</f>
        <v/>
      </c>
      <c r="E261" s="5" t="inlineStr"/>
      <c r="F261" s="5" t="inlineStr"/>
      <c r="G261" s="8">
        <f>IF($B261="","",VLOOKUP($B261,Jogos!$A$2:$K$105,9,FALSE))</f>
        <v/>
      </c>
      <c r="H261" s="8">
        <f>IF($B261="","",VLOOKUP($B261,Jogos!$A$2:$K$105,11,FALSE))</f>
        <v/>
      </c>
      <c r="I261" s="5">
        <f>IF(OR($A261="", $B261="", $E261="", $F261="", $G261="", $H261=""), "",IF(AND($E261=$G261, $F261=$H261), 3, IF(SIGN($E261-$F261)=SIGN($G261-$H261), 1, 0))))</f>
        <v/>
      </c>
    </row>
    <row r="262">
      <c r="A262" s="5" t="inlineStr"/>
      <c r="B262" s="5" t="inlineStr"/>
      <c r="C262" s="5">
        <f>IF($B262="","",VLOOKUP($B262,Jogos!$A$2:$K$105,8,FALSE))</f>
        <v/>
      </c>
      <c r="D262" s="5">
        <f>IF($B262="","",VLOOKUP($B262,Jogos!$A$2:$K$105,10,FALSE))</f>
        <v/>
      </c>
      <c r="E262" s="5" t="inlineStr"/>
      <c r="F262" s="5" t="inlineStr"/>
      <c r="G262" s="8">
        <f>IF($B262="","",VLOOKUP($B262,Jogos!$A$2:$K$105,9,FALSE))</f>
        <v/>
      </c>
      <c r="H262" s="8">
        <f>IF($B262="","",VLOOKUP($B262,Jogos!$A$2:$K$105,11,FALSE))</f>
        <v/>
      </c>
      <c r="I262" s="5">
        <f>IF(OR($A262="", $B262="", $E262="", $F262="", $G262="", $H262=""), "",IF(AND($E262=$G262, $F262=$H262), 3, IF(SIGN($E262-$F262)=SIGN($G262-$H262), 1, 0))))</f>
        <v/>
      </c>
    </row>
    <row r="263">
      <c r="A263" s="5" t="inlineStr"/>
      <c r="B263" s="5" t="inlineStr"/>
      <c r="C263" s="5">
        <f>IF($B263="","",VLOOKUP($B263,Jogos!$A$2:$K$105,8,FALSE))</f>
        <v/>
      </c>
      <c r="D263" s="5">
        <f>IF($B263="","",VLOOKUP($B263,Jogos!$A$2:$K$105,10,FALSE))</f>
        <v/>
      </c>
      <c r="E263" s="5" t="inlineStr"/>
      <c r="F263" s="5" t="inlineStr"/>
      <c r="G263" s="8">
        <f>IF($B263="","",VLOOKUP($B263,Jogos!$A$2:$K$105,9,FALSE))</f>
        <v/>
      </c>
      <c r="H263" s="8">
        <f>IF($B263="","",VLOOKUP($B263,Jogos!$A$2:$K$105,11,FALSE))</f>
        <v/>
      </c>
      <c r="I263" s="5">
        <f>IF(OR($A263="", $B263="", $E263="", $F263="", $G263="", $H263=""), "",IF(AND($E263=$G263, $F263=$H263), 3, IF(SIGN($E263-$F263)=SIGN($G263-$H263), 1, 0))))</f>
        <v/>
      </c>
    </row>
    <row r="264">
      <c r="A264" s="5" t="inlineStr"/>
      <c r="B264" s="5" t="inlineStr"/>
      <c r="C264" s="5">
        <f>IF($B264="","",VLOOKUP($B264,Jogos!$A$2:$K$105,8,FALSE))</f>
        <v/>
      </c>
      <c r="D264" s="5">
        <f>IF($B264="","",VLOOKUP($B264,Jogos!$A$2:$K$105,10,FALSE))</f>
        <v/>
      </c>
      <c r="E264" s="5" t="inlineStr"/>
      <c r="F264" s="5" t="inlineStr"/>
      <c r="G264" s="8">
        <f>IF($B264="","",VLOOKUP($B264,Jogos!$A$2:$K$105,9,FALSE))</f>
        <v/>
      </c>
      <c r="H264" s="8">
        <f>IF($B264="","",VLOOKUP($B264,Jogos!$A$2:$K$105,11,FALSE))</f>
        <v/>
      </c>
      <c r="I264" s="5">
        <f>IF(OR($A264="", $B264="", $E264="", $F264="", $G264="", $H264=""), "",IF(AND($E264=$G264, $F264=$H264), 3, IF(SIGN($E264-$F264)=SIGN($G264-$H264), 1, 0))))</f>
        <v/>
      </c>
    </row>
    <row r="265">
      <c r="A265" s="5" t="inlineStr"/>
      <c r="B265" s="5" t="inlineStr"/>
      <c r="C265" s="5">
        <f>IF($B265="","",VLOOKUP($B265,Jogos!$A$2:$K$105,8,FALSE))</f>
        <v/>
      </c>
      <c r="D265" s="5">
        <f>IF($B265="","",VLOOKUP($B265,Jogos!$A$2:$K$105,10,FALSE))</f>
        <v/>
      </c>
      <c r="E265" s="5" t="inlineStr"/>
      <c r="F265" s="5" t="inlineStr"/>
      <c r="G265" s="8">
        <f>IF($B265="","",VLOOKUP($B265,Jogos!$A$2:$K$105,9,FALSE))</f>
        <v/>
      </c>
      <c r="H265" s="8">
        <f>IF($B265="","",VLOOKUP($B265,Jogos!$A$2:$K$105,11,FALSE))</f>
        <v/>
      </c>
      <c r="I265" s="5">
        <f>IF(OR($A265="", $B265="", $E265="", $F265="", $G265="", $H265=""), "",IF(AND($E265=$G265, $F265=$H265), 3, IF(SIGN($E265-$F265)=SIGN($G265-$H265), 1, 0))))</f>
        <v/>
      </c>
    </row>
    <row r="266">
      <c r="A266" s="5" t="inlineStr"/>
      <c r="B266" s="5" t="inlineStr"/>
      <c r="C266" s="5">
        <f>IF($B266="","",VLOOKUP($B266,Jogos!$A$2:$K$105,8,FALSE))</f>
        <v/>
      </c>
      <c r="D266" s="5">
        <f>IF($B266="","",VLOOKUP($B266,Jogos!$A$2:$K$105,10,FALSE))</f>
        <v/>
      </c>
      <c r="E266" s="5" t="inlineStr"/>
      <c r="F266" s="5" t="inlineStr"/>
      <c r="G266" s="8">
        <f>IF($B266="","",VLOOKUP($B266,Jogos!$A$2:$K$105,9,FALSE))</f>
        <v/>
      </c>
      <c r="H266" s="8">
        <f>IF($B266="","",VLOOKUP($B266,Jogos!$A$2:$K$105,11,FALSE))</f>
        <v/>
      </c>
      <c r="I266" s="5">
        <f>IF(OR($A266="", $B266="", $E266="", $F266="", $G266="", $H266=""), "",IF(AND($E266=$G266, $F266=$H266), 3, IF(SIGN($E266-$F266)=SIGN($G266-$H266), 1, 0))))</f>
        <v/>
      </c>
    </row>
    <row r="267">
      <c r="A267" s="5" t="inlineStr"/>
      <c r="B267" s="5" t="inlineStr"/>
      <c r="C267" s="5">
        <f>IF($B267="","",VLOOKUP($B267,Jogos!$A$2:$K$105,8,FALSE))</f>
        <v/>
      </c>
      <c r="D267" s="5">
        <f>IF($B267="","",VLOOKUP($B267,Jogos!$A$2:$K$105,10,FALSE))</f>
        <v/>
      </c>
      <c r="E267" s="5" t="inlineStr"/>
      <c r="F267" s="5" t="inlineStr"/>
      <c r="G267" s="8">
        <f>IF($B267="","",VLOOKUP($B267,Jogos!$A$2:$K$105,9,FALSE))</f>
        <v/>
      </c>
      <c r="H267" s="8">
        <f>IF($B267="","",VLOOKUP($B267,Jogos!$A$2:$K$105,11,FALSE))</f>
        <v/>
      </c>
      <c r="I267" s="5">
        <f>IF(OR($A267="", $B267="", $E267="", $F267="", $G267="", $H267=""), "",IF(AND($E267=$G267, $F267=$H267), 3, IF(SIGN($E267-$F267)=SIGN($G267-$H267), 1, 0))))</f>
        <v/>
      </c>
    </row>
    <row r="268">
      <c r="A268" s="5" t="inlineStr"/>
      <c r="B268" s="5" t="inlineStr"/>
      <c r="C268" s="5">
        <f>IF($B268="","",VLOOKUP($B268,Jogos!$A$2:$K$105,8,FALSE))</f>
        <v/>
      </c>
      <c r="D268" s="5">
        <f>IF($B268="","",VLOOKUP($B268,Jogos!$A$2:$K$105,10,FALSE))</f>
        <v/>
      </c>
      <c r="E268" s="5" t="inlineStr"/>
      <c r="F268" s="5" t="inlineStr"/>
      <c r="G268" s="8">
        <f>IF($B268="","",VLOOKUP($B268,Jogos!$A$2:$K$105,9,FALSE))</f>
        <v/>
      </c>
      <c r="H268" s="8">
        <f>IF($B268="","",VLOOKUP($B268,Jogos!$A$2:$K$105,11,FALSE))</f>
        <v/>
      </c>
      <c r="I268" s="5">
        <f>IF(OR($A268="", $B268="", $E268="", $F268="", $G268="", $H268=""), "",IF(AND($E268=$G268, $F268=$H268), 3, IF(SIGN($E268-$F268)=SIGN($G268-$H268), 1, 0))))</f>
        <v/>
      </c>
    </row>
    <row r="269">
      <c r="A269" s="5" t="inlineStr"/>
      <c r="B269" s="5" t="inlineStr"/>
      <c r="C269" s="5">
        <f>IF($B269="","",VLOOKUP($B269,Jogos!$A$2:$K$105,8,FALSE))</f>
        <v/>
      </c>
      <c r="D269" s="5">
        <f>IF($B269="","",VLOOKUP($B269,Jogos!$A$2:$K$105,10,FALSE))</f>
        <v/>
      </c>
      <c r="E269" s="5" t="inlineStr"/>
      <c r="F269" s="5" t="inlineStr"/>
      <c r="G269" s="8">
        <f>IF($B269="","",VLOOKUP($B269,Jogos!$A$2:$K$105,9,FALSE))</f>
        <v/>
      </c>
      <c r="H269" s="8">
        <f>IF($B269="","",VLOOKUP($B269,Jogos!$A$2:$K$105,11,FALSE))</f>
        <v/>
      </c>
      <c r="I269" s="5">
        <f>IF(OR($A269="", $B269="", $E269="", $F269="", $G269="", $H269=""), "",IF(AND($E269=$G269, $F269=$H269), 3, IF(SIGN($E269-$F269)=SIGN($G269-$H269), 1, 0))))</f>
        <v/>
      </c>
    </row>
    <row r="270">
      <c r="A270" s="5" t="inlineStr"/>
      <c r="B270" s="5" t="inlineStr"/>
      <c r="C270" s="5">
        <f>IF($B270="","",VLOOKUP($B270,Jogos!$A$2:$K$105,8,FALSE))</f>
        <v/>
      </c>
      <c r="D270" s="5">
        <f>IF($B270="","",VLOOKUP($B270,Jogos!$A$2:$K$105,10,FALSE))</f>
        <v/>
      </c>
      <c r="E270" s="5" t="inlineStr"/>
      <c r="F270" s="5" t="inlineStr"/>
      <c r="G270" s="8">
        <f>IF($B270="","",VLOOKUP($B270,Jogos!$A$2:$K$105,9,FALSE))</f>
        <v/>
      </c>
      <c r="H270" s="8">
        <f>IF($B270="","",VLOOKUP($B270,Jogos!$A$2:$K$105,11,FALSE))</f>
        <v/>
      </c>
      <c r="I270" s="5">
        <f>IF(OR($A270="", $B270="", $E270="", $F270="", $G270="", $H270=""), "",IF(AND($E270=$G270, $F270=$H270), 3, IF(SIGN($E270-$F270)=SIGN($G270-$H270), 1, 0))))</f>
        <v/>
      </c>
    </row>
    <row r="271">
      <c r="A271" s="5" t="inlineStr"/>
      <c r="B271" s="5" t="inlineStr"/>
      <c r="C271" s="5">
        <f>IF($B271="","",VLOOKUP($B271,Jogos!$A$2:$K$105,8,FALSE))</f>
        <v/>
      </c>
      <c r="D271" s="5">
        <f>IF($B271="","",VLOOKUP($B271,Jogos!$A$2:$K$105,10,FALSE))</f>
        <v/>
      </c>
      <c r="E271" s="5" t="inlineStr"/>
      <c r="F271" s="5" t="inlineStr"/>
      <c r="G271" s="8">
        <f>IF($B271="","",VLOOKUP($B271,Jogos!$A$2:$K$105,9,FALSE))</f>
        <v/>
      </c>
      <c r="H271" s="8">
        <f>IF($B271="","",VLOOKUP($B271,Jogos!$A$2:$K$105,11,FALSE))</f>
        <v/>
      </c>
      <c r="I271" s="5">
        <f>IF(OR($A271="", $B271="", $E271="", $F271="", $G271="", $H271=""), "",IF(AND($E271=$G271, $F271=$H271), 3, IF(SIGN($E271-$F271)=SIGN($G271-$H271), 1, 0))))</f>
        <v/>
      </c>
    </row>
    <row r="272">
      <c r="A272" s="5" t="inlineStr"/>
      <c r="B272" s="5" t="inlineStr"/>
      <c r="C272" s="5">
        <f>IF($B272="","",VLOOKUP($B272,Jogos!$A$2:$K$105,8,FALSE))</f>
        <v/>
      </c>
      <c r="D272" s="5">
        <f>IF($B272="","",VLOOKUP($B272,Jogos!$A$2:$K$105,10,FALSE))</f>
        <v/>
      </c>
      <c r="E272" s="5" t="inlineStr"/>
      <c r="F272" s="5" t="inlineStr"/>
      <c r="G272" s="8">
        <f>IF($B272="","",VLOOKUP($B272,Jogos!$A$2:$K$105,9,FALSE))</f>
        <v/>
      </c>
      <c r="H272" s="8">
        <f>IF($B272="","",VLOOKUP($B272,Jogos!$A$2:$K$105,11,FALSE))</f>
        <v/>
      </c>
      <c r="I272" s="5">
        <f>IF(OR($A272="", $B272="", $E272="", $F272="", $G272="", $H272=""), "",IF(AND($E272=$G272, $F272=$H272), 3, IF(SIGN($E272-$F272)=SIGN($G272-$H272), 1, 0))))</f>
        <v/>
      </c>
    </row>
    <row r="273">
      <c r="A273" s="5" t="inlineStr"/>
      <c r="B273" s="5" t="inlineStr"/>
      <c r="C273" s="5">
        <f>IF($B273="","",VLOOKUP($B273,Jogos!$A$2:$K$105,8,FALSE))</f>
        <v/>
      </c>
      <c r="D273" s="5">
        <f>IF($B273="","",VLOOKUP($B273,Jogos!$A$2:$K$105,10,FALSE))</f>
        <v/>
      </c>
      <c r="E273" s="5" t="inlineStr"/>
      <c r="F273" s="5" t="inlineStr"/>
      <c r="G273" s="8">
        <f>IF($B273="","",VLOOKUP($B273,Jogos!$A$2:$K$105,9,FALSE))</f>
        <v/>
      </c>
      <c r="H273" s="8">
        <f>IF($B273="","",VLOOKUP($B273,Jogos!$A$2:$K$105,11,FALSE))</f>
        <v/>
      </c>
      <c r="I273" s="5">
        <f>IF(OR($A273="", $B273="", $E273="", $F273="", $G273="", $H273=""), "",IF(AND($E273=$G273, $F273=$H273), 3, IF(SIGN($E273-$F273)=SIGN($G273-$H273), 1, 0))))</f>
        <v/>
      </c>
    </row>
    <row r="274">
      <c r="A274" s="5" t="inlineStr"/>
      <c r="B274" s="5" t="inlineStr"/>
      <c r="C274" s="5">
        <f>IF($B274="","",VLOOKUP($B274,Jogos!$A$2:$K$105,8,FALSE))</f>
        <v/>
      </c>
      <c r="D274" s="5">
        <f>IF($B274="","",VLOOKUP($B274,Jogos!$A$2:$K$105,10,FALSE))</f>
        <v/>
      </c>
      <c r="E274" s="5" t="inlineStr"/>
      <c r="F274" s="5" t="inlineStr"/>
      <c r="G274" s="8">
        <f>IF($B274="","",VLOOKUP($B274,Jogos!$A$2:$K$105,9,FALSE))</f>
        <v/>
      </c>
      <c r="H274" s="8">
        <f>IF($B274="","",VLOOKUP($B274,Jogos!$A$2:$K$105,11,FALSE))</f>
        <v/>
      </c>
      <c r="I274" s="5">
        <f>IF(OR($A274="", $B274="", $E274="", $F274="", $G274="", $H274=""), "",IF(AND($E274=$G274, $F274=$H274), 3, IF(SIGN($E274-$F274)=SIGN($G274-$H274), 1, 0))))</f>
        <v/>
      </c>
    </row>
    <row r="275">
      <c r="A275" s="5" t="inlineStr"/>
      <c r="B275" s="5" t="inlineStr"/>
      <c r="C275" s="5">
        <f>IF($B275="","",VLOOKUP($B275,Jogos!$A$2:$K$105,8,FALSE))</f>
        <v/>
      </c>
      <c r="D275" s="5">
        <f>IF($B275="","",VLOOKUP($B275,Jogos!$A$2:$K$105,10,FALSE))</f>
        <v/>
      </c>
      <c r="E275" s="5" t="inlineStr"/>
      <c r="F275" s="5" t="inlineStr"/>
      <c r="G275" s="8">
        <f>IF($B275="","",VLOOKUP($B275,Jogos!$A$2:$K$105,9,FALSE))</f>
        <v/>
      </c>
      <c r="H275" s="8">
        <f>IF($B275="","",VLOOKUP($B275,Jogos!$A$2:$K$105,11,FALSE))</f>
        <v/>
      </c>
      <c r="I275" s="5">
        <f>IF(OR($A275="", $B275="", $E275="", $F275="", $G275="", $H275=""), "",IF(AND($E275=$G275, $F275=$H275), 3, IF(SIGN($E275-$F275)=SIGN($G275-$H275), 1, 0))))</f>
        <v/>
      </c>
    </row>
    <row r="276">
      <c r="A276" s="5" t="inlineStr"/>
      <c r="B276" s="5" t="inlineStr"/>
      <c r="C276" s="5">
        <f>IF($B276="","",VLOOKUP($B276,Jogos!$A$2:$K$105,8,FALSE))</f>
        <v/>
      </c>
      <c r="D276" s="5">
        <f>IF($B276="","",VLOOKUP($B276,Jogos!$A$2:$K$105,10,FALSE))</f>
        <v/>
      </c>
      <c r="E276" s="5" t="inlineStr"/>
      <c r="F276" s="5" t="inlineStr"/>
      <c r="G276" s="8">
        <f>IF($B276="","",VLOOKUP($B276,Jogos!$A$2:$K$105,9,FALSE))</f>
        <v/>
      </c>
      <c r="H276" s="8">
        <f>IF($B276="","",VLOOKUP($B276,Jogos!$A$2:$K$105,11,FALSE))</f>
        <v/>
      </c>
      <c r="I276" s="5">
        <f>IF(OR($A276="", $B276="", $E276="", $F276="", $G276="", $H276=""), "",IF(AND($E276=$G276, $F276=$H276), 3, IF(SIGN($E276-$F276)=SIGN($G276-$H276), 1, 0))))</f>
        <v/>
      </c>
    </row>
    <row r="277">
      <c r="A277" s="5" t="inlineStr"/>
      <c r="B277" s="5" t="inlineStr"/>
      <c r="C277" s="5">
        <f>IF($B277="","",VLOOKUP($B277,Jogos!$A$2:$K$105,8,FALSE))</f>
        <v/>
      </c>
      <c r="D277" s="5">
        <f>IF($B277="","",VLOOKUP($B277,Jogos!$A$2:$K$105,10,FALSE))</f>
        <v/>
      </c>
      <c r="E277" s="5" t="inlineStr"/>
      <c r="F277" s="5" t="inlineStr"/>
      <c r="G277" s="8">
        <f>IF($B277="","",VLOOKUP($B277,Jogos!$A$2:$K$105,9,FALSE))</f>
        <v/>
      </c>
      <c r="H277" s="8">
        <f>IF($B277="","",VLOOKUP($B277,Jogos!$A$2:$K$105,11,FALSE))</f>
        <v/>
      </c>
      <c r="I277" s="5">
        <f>IF(OR($A277="", $B277="", $E277="", $F277="", $G277="", $H277=""), "",IF(AND($E277=$G277, $F277=$H277), 3, IF(SIGN($E277-$F277)=SIGN($G277-$H277), 1, 0))))</f>
        <v/>
      </c>
    </row>
    <row r="278">
      <c r="A278" s="5" t="inlineStr"/>
      <c r="B278" s="5" t="inlineStr"/>
      <c r="C278" s="5">
        <f>IF($B278="","",VLOOKUP($B278,Jogos!$A$2:$K$105,8,FALSE))</f>
        <v/>
      </c>
      <c r="D278" s="5">
        <f>IF($B278="","",VLOOKUP($B278,Jogos!$A$2:$K$105,10,FALSE))</f>
        <v/>
      </c>
      <c r="E278" s="5" t="inlineStr"/>
      <c r="F278" s="5" t="inlineStr"/>
      <c r="G278" s="8">
        <f>IF($B278="","",VLOOKUP($B278,Jogos!$A$2:$K$105,9,FALSE))</f>
        <v/>
      </c>
      <c r="H278" s="8">
        <f>IF($B278="","",VLOOKUP($B278,Jogos!$A$2:$K$105,11,FALSE))</f>
        <v/>
      </c>
      <c r="I278" s="5">
        <f>IF(OR($A278="", $B278="", $E278="", $F278="", $G278="", $H278=""), "",IF(AND($E278=$G278, $F278=$H278), 3, IF(SIGN($E278-$F278)=SIGN($G278-$H278), 1, 0))))</f>
        <v/>
      </c>
    </row>
    <row r="279">
      <c r="A279" s="5" t="inlineStr"/>
      <c r="B279" s="5" t="inlineStr"/>
      <c r="C279" s="5">
        <f>IF($B279="","",VLOOKUP($B279,Jogos!$A$2:$K$105,8,FALSE))</f>
        <v/>
      </c>
      <c r="D279" s="5">
        <f>IF($B279="","",VLOOKUP($B279,Jogos!$A$2:$K$105,10,FALSE))</f>
        <v/>
      </c>
      <c r="E279" s="5" t="inlineStr"/>
      <c r="F279" s="5" t="inlineStr"/>
      <c r="G279" s="8">
        <f>IF($B279="","",VLOOKUP($B279,Jogos!$A$2:$K$105,9,FALSE))</f>
        <v/>
      </c>
      <c r="H279" s="8">
        <f>IF($B279="","",VLOOKUP($B279,Jogos!$A$2:$K$105,11,FALSE))</f>
        <v/>
      </c>
      <c r="I279" s="5">
        <f>IF(OR($A279="", $B279="", $E279="", $F279="", $G279="", $H279=""), "",IF(AND($E279=$G279, $F279=$H279), 3, IF(SIGN($E279-$F279)=SIGN($G279-$H279), 1, 0))))</f>
        <v/>
      </c>
    </row>
    <row r="280">
      <c r="A280" s="5" t="inlineStr"/>
      <c r="B280" s="5" t="inlineStr"/>
      <c r="C280" s="5">
        <f>IF($B280="","",VLOOKUP($B280,Jogos!$A$2:$K$105,8,FALSE))</f>
        <v/>
      </c>
      <c r="D280" s="5">
        <f>IF($B280="","",VLOOKUP($B280,Jogos!$A$2:$K$105,10,FALSE))</f>
        <v/>
      </c>
      <c r="E280" s="5" t="inlineStr"/>
      <c r="F280" s="5" t="inlineStr"/>
      <c r="G280" s="8">
        <f>IF($B280="","",VLOOKUP($B280,Jogos!$A$2:$K$105,9,FALSE))</f>
        <v/>
      </c>
      <c r="H280" s="8">
        <f>IF($B280="","",VLOOKUP($B280,Jogos!$A$2:$K$105,11,FALSE))</f>
        <v/>
      </c>
      <c r="I280" s="5">
        <f>IF(OR($A280="", $B280="", $E280="", $F280="", $G280="", $H280=""), "",IF(AND($E280=$G280, $F280=$H280), 3, IF(SIGN($E280-$F280)=SIGN($G280-$H280), 1, 0))))</f>
        <v/>
      </c>
    </row>
    <row r="281">
      <c r="A281" s="5" t="inlineStr"/>
      <c r="B281" s="5" t="inlineStr"/>
      <c r="C281" s="5">
        <f>IF($B281="","",VLOOKUP($B281,Jogos!$A$2:$K$105,8,FALSE))</f>
        <v/>
      </c>
      <c r="D281" s="5">
        <f>IF($B281="","",VLOOKUP($B281,Jogos!$A$2:$K$105,10,FALSE))</f>
        <v/>
      </c>
      <c r="E281" s="5" t="inlineStr"/>
      <c r="F281" s="5" t="inlineStr"/>
      <c r="G281" s="8">
        <f>IF($B281="","",VLOOKUP($B281,Jogos!$A$2:$K$105,9,FALSE))</f>
        <v/>
      </c>
      <c r="H281" s="8">
        <f>IF($B281="","",VLOOKUP($B281,Jogos!$A$2:$K$105,11,FALSE))</f>
        <v/>
      </c>
      <c r="I281" s="5">
        <f>IF(OR($A281="", $B281="", $E281="", $F281="", $G281="", $H281=""), "",IF(AND($E281=$G281, $F281=$H281), 3, IF(SIGN($E281-$F281)=SIGN($G281-$H281), 1, 0))))</f>
        <v/>
      </c>
    </row>
    <row r="282">
      <c r="A282" s="5" t="inlineStr"/>
      <c r="B282" s="5" t="inlineStr"/>
      <c r="C282" s="5">
        <f>IF($B282="","",VLOOKUP($B282,Jogos!$A$2:$K$105,8,FALSE))</f>
        <v/>
      </c>
      <c r="D282" s="5">
        <f>IF($B282="","",VLOOKUP($B282,Jogos!$A$2:$K$105,10,FALSE))</f>
        <v/>
      </c>
      <c r="E282" s="5" t="inlineStr"/>
      <c r="F282" s="5" t="inlineStr"/>
      <c r="G282" s="8">
        <f>IF($B282="","",VLOOKUP($B282,Jogos!$A$2:$K$105,9,FALSE))</f>
        <v/>
      </c>
      <c r="H282" s="8">
        <f>IF($B282="","",VLOOKUP($B282,Jogos!$A$2:$K$105,11,FALSE))</f>
        <v/>
      </c>
      <c r="I282" s="5">
        <f>IF(OR($A282="", $B282="", $E282="", $F282="", $G282="", $H282=""), "",IF(AND($E282=$G282, $F282=$H282), 3, IF(SIGN($E282-$F282)=SIGN($G282-$H282), 1, 0))))</f>
        <v/>
      </c>
    </row>
    <row r="283">
      <c r="A283" s="5" t="inlineStr"/>
      <c r="B283" s="5" t="inlineStr"/>
      <c r="C283" s="5">
        <f>IF($B283="","",VLOOKUP($B283,Jogos!$A$2:$K$105,8,FALSE))</f>
        <v/>
      </c>
      <c r="D283" s="5">
        <f>IF($B283="","",VLOOKUP($B283,Jogos!$A$2:$K$105,10,FALSE))</f>
        <v/>
      </c>
      <c r="E283" s="5" t="inlineStr"/>
      <c r="F283" s="5" t="inlineStr"/>
      <c r="G283" s="8">
        <f>IF($B283="","",VLOOKUP($B283,Jogos!$A$2:$K$105,9,FALSE))</f>
        <v/>
      </c>
      <c r="H283" s="8">
        <f>IF($B283="","",VLOOKUP($B283,Jogos!$A$2:$K$105,11,FALSE))</f>
        <v/>
      </c>
      <c r="I283" s="5">
        <f>IF(OR($A283="", $B283="", $E283="", $F283="", $G283="", $H283=""), "",IF(AND($E283=$G283, $F283=$H283), 3, IF(SIGN($E283-$F283)=SIGN($G283-$H283), 1, 0))))</f>
        <v/>
      </c>
    </row>
    <row r="284">
      <c r="A284" s="5" t="inlineStr"/>
      <c r="B284" s="5" t="inlineStr"/>
      <c r="C284" s="5">
        <f>IF($B284="","",VLOOKUP($B284,Jogos!$A$2:$K$105,8,FALSE))</f>
        <v/>
      </c>
      <c r="D284" s="5">
        <f>IF($B284="","",VLOOKUP($B284,Jogos!$A$2:$K$105,10,FALSE))</f>
        <v/>
      </c>
      <c r="E284" s="5" t="inlineStr"/>
      <c r="F284" s="5" t="inlineStr"/>
      <c r="G284" s="8">
        <f>IF($B284="","",VLOOKUP($B284,Jogos!$A$2:$K$105,9,FALSE))</f>
        <v/>
      </c>
      <c r="H284" s="8">
        <f>IF($B284="","",VLOOKUP($B284,Jogos!$A$2:$K$105,11,FALSE))</f>
        <v/>
      </c>
      <c r="I284" s="5">
        <f>IF(OR($A284="", $B284="", $E284="", $F284="", $G284="", $H284=""), "",IF(AND($E284=$G284, $F284=$H284), 3, IF(SIGN($E284-$F284)=SIGN($G284-$H284), 1, 0))))</f>
        <v/>
      </c>
    </row>
    <row r="285">
      <c r="A285" s="5" t="inlineStr"/>
      <c r="B285" s="5" t="inlineStr"/>
      <c r="C285" s="5">
        <f>IF($B285="","",VLOOKUP($B285,Jogos!$A$2:$K$105,8,FALSE))</f>
        <v/>
      </c>
      <c r="D285" s="5">
        <f>IF($B285="","",VLOOKUP($B285,Jogos!$A$2:$K$105,10,FALSE))</f>
        <v/>
      </c>
      <c r="E285" s="5" t="inlineStr"/>
      <c r="F285" s="5" t="inlineStr"/>
      <c r="G285" s="8">
        <f>IF($B285="","",VLOOKUP($B285,Jogos!$A$2:$K$105,9,FALSE))</f>
        <v/>
      </c>
      <c r="H285" s="8">
        <f>IF($B285="","",VLOOKUP($B285,Jogos!$A$2:$K$105,11,FALSE))</f>
        <v/>
      </c>
      <c r="I285" s="5">
        <f>IF(OR($A285="", $B285="", $E285="", $F285="", $G285="", $H285=""), "",IF(AND($E285=$G285, $F285=$H285), 3, IF(SIGN($E285-$F285)=SIGN($G285-$H285), 1, 0))))</f>
        <v/>
      </c>
    </row>
    <row r="286">
      <c r="A286" s="5" t="inlineStr"/>
      <c r="B286" s="5" t="inlineStr"/>
      <c r="C286" s="5">
        <f>IF($B286="","",VLOOKUP($B286,Jogos!$A$2:$K$105,8,FALSE))</f>
        <v/>
      </c>
      <c r="D286" s="5">
        <f>IF($B286="","",VLOOKUP($B286,Jogos!$A$2:$K$105,10,FALSE))</f>
        <v/>
      </c>
      <c r="E286" s="5" t="inlineStr"/>
      <c r="F286" s="5" t="inlineStr"/>
      <c r="G286" s="8">
        <f>IF($B286="","",VLOOKUP($B286,Jogos!$A$2:$K$105,9,FALSE))</f>
        <v/>
      </c>
      <c r="H286" s="8">
        <f>IF($B286="","",VLOOKUP($B286,Jogos!$A$2:$K$105,11,FALSE))</f>
        <v/>
      </c>
      <c r="I286" s="5">
        <f>IF(OR($A286="", $B286="", $E286="", $F286="", $G286="", $H286=""), "",IF(AND($E286=$G286, $F286=$H286), 3, IF(SIGN($E286-$F286)=SIGN($G286-$H286), 1, 0))))</f>
        <v/>
      </c>
    </row>
    <row r="287">
      <c r="A287" s="5" t="inlineStr"/>
      <c r="B287" s="5" t="inlineStr"/>
      <c r="C287" s="5">
        <f>IF($B287="","",VLOOKUP($B287,Jogos!$A$2:$K$105,8,FALSE))</f>
        <v/>
      </c>
      <c r="D287" s="5">
        <f>IF($B287="","",VLOOKUP($B287,Jogos!$A$2:$K$105,10,FALSE))</f>
        <v/>
      </c>
      <c r="E287" s="5" t="inlineStr"/>
      <c r="F287" s="5" t="inlineStr"/>
      <c r="G287" s="8">
        <f>IF($B287="","",VLOOKUP($B287,Jogos!$A$2:$K$105,9,FALSE))</f>
        <v/>
      </c>
      <c r="H287" s="8">
        <f>IF($B287="","",VLOOKUP($B287,Jogos!$A$2:$K$105,11,FALSE))</f>
        <v/>
      </c>
      <c r="I287" s="5">
        <f>IF(OR($A287="", $B287="", $E287="", $F287="", $G287="", $H287=""), "",IF(AND($E287=$G287, $F287=$H287), 3, IF(SIGN($E287-$F287)=SIGN($G287-$H287), 1, 0))))</f>
        <v/>
      </c>
    </row>
    <row r="288">
      <c r="A288" s="5" t="inlineStr"/>
      <c r="B288" s="5" t="inlineStr"/>
      <c r="C288" s="5">
        <f>IF($B288="","",VLOOKUP($B288,Jogos!$A$2:$K$105,8,FALSE))</f>
        <v/>
      </c>
      <c r="D288" s="5">
        <f>IF($B288="","",VLOOKUP($B288,Jogos!$A$2:$K$105,10,FALSE))</f>
        <v/>
      </c>
      <c r="E288" s="5" t="inlineStr"/>
      <c r="F288" s="5" t="inlineStr"/>
      <c r="G288" s="8">
        <f>IF($B288="","",VLOOKUP($B288,Jogos!$A$2:$K$105,9,FALSE))</f>
        <v/>
      </c>
      <c r="H288" s="8">
        <f>IF($B288="","",VLOOKUP($B288,Jogos!$A$2:$K$105,11,FALSE))</f>
        <v/>
      </c>
      <c r="I288" s="5">
        <f>IF(OR($A288="", $B288="", $E288="", $F288="", $G288="", $H288=""), "",IF(AND($E288=$G288, $F288=$H288), 3, IF(SIGN($E288-$F288)=SIGN($G288-$H288), 1, 0))))</f>
        <v/>
      </c>
    </row>
    <row r="289">
      <c r="A289" s="5" t="inlineStr"/>
      <c r="B289" s="5" t="inlineStr"/>
      <c r="C289" s="5">
        <f>IF($B289="","",VLOOKUP($B289,Jogos!$A$2:$K$105,8,FALSE))</f>
        <v/>
      </c>
      <c r="D289" s="5">
        <f>IF($B289="","",VLOOKUP($B289,Jogos!$A$2:$K$105,10,FALSE))</f>
        <v/>
      </c>
      <c r="E289" s="5" t="inlineStr"/>
      <c r="F289" s="5" t="inlineStr"/>
      <c r="G289" s="8">
        <f>IF($B289="","",VLOOKUP($B289,Jogos!$A$2:$K$105,9,FALSE))</f>
        <v/>
      </c>
      <c r="H289" s="8">
        <f>IF($B289="","",VLOOKUP($B289,Jogos!$A$2:$K$105,11,FALSE))</f>
        <v/>
      </c>
      <c r="I289" s="5">
        <f>IF(OR($A289="", $B289="", $E289="", $F289="", $G289="", $H289=""), "",IF(AND($E289=$G289, $F289=$H289), 3, IF(SIGN($E289-$F289)=SIGN($G289-$H289), 1, 0))))</f>
        <v/>
      </c>
    </row>
    <row r="290">
      <c r="A290" s="5" t="inlineStr"/>
      <c r="B290" s="5" t="inlineStr"/>
      <c r="C290" s="5">
        <f>IF($B290="","",VLOOKUP($B290,Jogos!$A$2:$K$105,8,FALSE))</f>
        <v/>
      </c>
      <c r="D290" s="5">
        <f>IF($B290="","",VLOOKUP($B290,Jogos!$A$2:$K$105,10,FALSE))</f>
        <v/>
      </c>
      <c r="E290" s="5" t="inlineStr"/>
      <c r="F290" s="5" t="inlineStr"/>
      <c r="G290" s="8">
        <f>IF($B290="","",VLOOKUP($B290,Jogos!$A$2:$K$105,9,FALSE))</f>
        <v/>
      </c>
      <c r="H290" s="8">
        <f>IF($B290="","",VLOOKUP($B290,Jogos!$A$2:$K$105,11,FALSE))</f>
        <v/>
      </c>
      <c r="I290" s="5">
        <f>IF(OR($A290="", $B290="", $E290="", $F290="", $G290="", $H290=""), "",IF(AND($E290=$G290, $F290=$H290), 3, IF(SIGN($E290-$F290)=SIGN($G290-$H290), 1, 0))))</f>
        <v/>
      </c>
    </row>
    <row r="291">
      <c r="A291" s="5" t="inlineStr"/>
      <c r="B291" s="5" t="inlineStr"/>
      <c r="C291" s="5">
        <f>IF($B291="","",VLOOKUP($B291,Jogos!$A$2:$K$105,8,FALSE))</f>
        <v/>
      </c>
      <c r="D291" s="5">
        <f>IF($B291="","",VLOOKUP($B291,Jogos!$A$2:$K$105,10,FALSE))</f>
        <v/>
      </c>
      <c r="E291" s="5" t="inlineStr"/>
      <c r="F291" s="5" t="inlineStr"/>
      <c r="G291" s="8">
        <f>IF($B291="","",VLOOKUP($B291,Jogos!$A$2:$K$105,9,FALSE))</f>
        <v/>
      </c>
      <c r="H291" s="8">
        <f>IF($B291="","",VLOOKUP($B291,Jogos!$A$2:$K$105,11,FALSE))</f>
        <v/>
      </c>
      <c r="I291" s="5">
        <f>IF(OR($A291="", $B291="", $E291="", $F291="", $G291="", $H291=""), "",IF(AND($E291=$G291, $F291=$H291), 3, IF(SIGN($E291-$F291)=SIGN($G291-$H291), 1, 0))))</f>
        <v/>
      </c>
    </row>
    <row r="292">
      <c r="A292" s="5" t="inlineStr"/>
      <c r="B292" s="5" t="inlineStr"/>
      <c r="C292" s="5">
        <f>IF($B292="","",VLOOKUP($B292,Jogos!$A$2:$K$105,8,FALSE))</f>
        <v/>
      </c>
      <c r="D292" s="5">
        <f>IF($B292="","",VLOOKUP($B292,Jogos!$A$2:$K$105,10,FALSE))</f>
        <v/>
      </c>
      <c r="E292" s="5" t="inlineStr"/>
      <c r="F292" s="5" t="inlineStr"/>
      <c r="G292" s="8">
        <f>IF($B292="","",VLOOKUP($B292,Jogos!$A$2:$K$105,9,FALSE))</f>
        <v/>
      </c>
      <c r="H292" s="8">
        <f>IF($B292="","",VLOOKUP($B292,Jogos!$A$2:$K$105,11,FALSE))</f>
        <v/>
      </c>
      <c r="I292" s="5">
        <f>IF(OR($A292="", $B292="", $E292="", $F292="", $G292="", $H292=""), "",IF(AND($E292=$G292, $F292=$H292), 3, IF(SIGN($E292-$F292)=SIGN($G292-$H292), 1, 0))))</f>
        <v/>
      </c>
    </row>
    <row r="293">
      <c r="A293" s="5" t="inlineStr"/>
      <c r="B293" s="5" t="inlineStr"/>
      <c r="C293" s="5">
        <f>IF($B293="","",VLOOKUP($B293,Jogos!$A$2:$K$105,8,FALSE))</f>
        <v/>
      </c>
      <c r="D293" s="5">
        <f>IF($B293="","",VLOOKUP($B293,Jogos!$A$2:$K$105,10,FALSE))</f>
        <v/>
      </c>
      <c r="E293" s="5" t="inlineStr"/>
      <c r="F293" s="5" t="inlineStr"/>
      <c r="G293" s="8">
        <f>IF($B293="","",VLOOKUP($B293,Jogos!$A$2:$K$105,9,FALSE))</f>
        <v/>
      </c>
      <c r="H293" s="8">
        <f>IF($B293="","",VLOOKUP($B293,Jogos!$A$2:$K$105,11,FALSE))</f>
        <v/>
      </c>
      <c r="I293" s="5">
        <f>IF(OR($A293="", $B293="", $E293="", $F293="", $G293="", $H293=""), "",IF(AND($E293=$G293, $F293=$H293), 3, IF(SIGN($E293-$F293)=SIGN($G293-$H293), 1, 0))))</f>
        <v/>
      </c>
    </row>
    <row r="294">
      <c r="A294" s="5" t="inlineStr"/>
      <c r="B294" s="5" t="inlineStr"/>
      <c r="C294" s="5">
        <f>IF($B294="","",VLOOKUP($B294,Jogos!$A$2:$K$105,8,FALSE))</f>
        <v/>
      </c>
      <c r="D294" s="5">
        <f>IF($B294="","",VLOOKUP($B294,Jogos!$A$2:$K$105,10,FALSE))</f>
        <v/>
      </c>
      <c r="E294" s="5" t="inlineStr"/>
      <c r="F294" s="5" t="inlineStr"/>
      <c r="G294" s="8">
        <f>IF($B294="","",VLOOKUP($B294,Jogos!$A$2:$K$105,9,FALSE))</f>
        <v/>
      </c>
      <c r="H294" s="8">
        <f>IF($B294="","",VLOOKUP($B294,Jogos!$A$2:$K$105,11,FALSE))</f>
        <v/>
      </c>
      <c r="I294" s="5">
        <f>IF(OR($A294="", $B294="", $E294="", $F294="", $G294="", $H294=""), "",IF(AND($E294=$G294, $F294=$H294), 3, IF(SIGN($E294-$F294)=SIGN($G294-$H294), 1, 0))))</f>
        <v/>
      </c>
    </row>
    <row r="295">
      <c r="A295" s="5" t="inlineStr"/>
      <c r="B295" s="5" t="inlineStr"/>
      <c r="C295" s="5">
        <f>IF($B295="","",VLOOKUP($B295,Jogos!$A$2:$K$105,8,FALSE))</f>
        <v/>
      </c>
      <c r="D295" s="5">
        <f>IF($B295="","",VLOOKUP($B295,Jogos!$A$2:$K$105,10,FALSE))</f>
        <v/>
      </c>
      <c r="E295" s="5" t="inlineStr"/>
      <c r="F295" s="5" t="inlineStr"/>
      <c r="G295" s="8">
        <f>IF($B295="","",VLOOKUP($B295,Jogos!$A$2:$K$105,9,FALSE))</f>
        <v/>
      </c>
      <c r="H295" s="8">
        <f>IF($B295="","",VLOOKUP($B295,Jogos!$A$2:$K$105,11,FALSE))</f>
        <v/>
      </c>
      <c r="I295" s="5">
        <f>IF(OR($A295="", $B295="", $E295="", $F295="", $G295="", $H295=""), "",IF(AND($E295=$G295, $F295=$H295), 3, IF(SIGN($E295-$F295)=SIGN($G295-$H295), 1, 0))))</f>
        <v/>
      </c>
    </row>
    <row r="296">
      <c r="A296" s="5" t="inlineStr"/>
      <c r="B296" s="5" t="inlineStr"/>
      <c r="C296" s="5">
        <f>IF($B296="","",VLOOKUP($B296,Jogos!$A$2:$K$105,8,FALSE))</f>
        <v/>
      </c>
      <c r="D296" s="5">
        <f>IF($B296="","",VLOOKUP($B296,Jogos!$A$2:$K$105,10,FALSE))</f>
        <v/>
      </c>
      <c r="E296" s="5" t="inlineStr"/>
      <c r="F296" s="5" t="inlineStr"/>
      <c r="G296" s="8">
        <f>IF($B296="","",VLOOKUP($B296,Jogos!$A$2:$K$105,9,FALSE))</f>
        <v/>
      </c>
      <c r="H296" s="8">
        <f>IF($B296="","",VLOOKUP($B296,Jogos!$A$2:$K$105,11,FALSE))</f>
        <v/>
      </c>
      <c r="I296" s="5">
        <f>IF(OR($A296="", $B296="", $E296="", $F296="", $G296="", $H296=""), "",IF(AND($E296=$G296, $F296=$H296), 3, IF(SIGN($E296-$F296)=SIGN($G296-$H296), 1, 0))))</f>
        <v/>
      </c>
    </row>
    <row r="297">
      <c r="A297" s="5" t="inlineStr"/>
      <c r="B297" s="5" t="inlineStr"/>
      <c r="C297" s="5">
        <f>IF($B297="","",VLOOKUP($B297,Jogos!$A$2:$K$105,8,FALSE))</f>
        <v/>
      </c>
      <c r="D297" s="5">
        <f>IF($B297="","",VLOOKUP($B297,Jogos!$A$2:$K$105,10,FALSE))</f>
        <v/>
      </c>
      <c r="E297" s="5" t="inlineStr"/>
      <c r="F297" s="5" t="inlineStr"/>
      <c r="G297" s="8">
        <f>IF($B297="","",VLOOKUP($B297,Jogos!$A$2:$K$105,9,FALSE))</f>
        <v/>
      </c>
      <c r="H297" s="8">
        <f>IF($B297="","",VLOOKUP($B297,Jogos!$A$2:$K$105,11,FALSE))</f>
        <v/>
      </c>
      <c r="I297" s="5">
        <f>IF(OR($A297="", $B297="", $E297="", $F297="", $G297="", $H297=""), "",IF(AND($E297=$G297, $F297=$H297), 3, IF(SIGN($E297-$F297)=SIGN($G297-$H297), 1, 0))))</f>
        <v/>
      </c>
    </row>
    <row r="298">
      <c r="A298" s="5" t="inlineStr"/>
      <c r="B298" s="5" t="inlineStr"/>
      <c r="C298" s="5">
        <f>IF($B298="","",VLOOKUP($B298,Jogos!$A$2:$K$105,8,FALSE))</f>
        <v/>
      </c>
      <c r="D298" s="5">
        <f>IF($B298="","",VLOOKUP($B298,Jogos!$A$2:$K$105,10,FALSE))</f>
        <v/>
      </c>
      <c r="E298" s="5" t="inlineStr"/>
      <c r="F298" s="5" t="inlineStr"/>
      <c r="G298" s="8">
        <f>IF($B298="","",VLOOKUP($B298,Jogos!$A$2:$K$105,9,FALSE))</f>
        <v/>
      </c>
      <c r="H298" s="8">
        <f>IF($B298="","",VLOOKUP($B298,Jogos!$A$2:$K$105,11,FALSE))</f>
        <v/>
      </c>
      <c r="I298" s="5">
        <f>IF(OR($A298="", $B298="", $E298="", $F298="", $G298="", $H298=""), "",IF(AND($E298=$G298, $F298=$H298), 3, IF(SIGN($E298-$F298)=SIGN($G298-$H298), 1, 0))))</f>
        <v/>
      </c>
    </row>
    <row r="299">
      <c r="A299" s="5" t="inlineStr"/>
      <c r="B299" s="5" t="inlineStr"/>
      <c r="C299" s="5">
        <f>IF($B299="","",VLOOKUP($B299,Jogos!$A$2:$K$105,8,FALSE))</f>
        <v/>
      </c>
      <c r="D299" s="5">
        <f>IF($B299="","",VLOOKUP($B299,Jogos!$A$2:$K$105,10,FALSE))</f>
        <v/>
      </c>
      <c r="E299" s="5" t="inlineStr"/>
      <c r="F299" s="5" t="inlineStr"/>
      <c r="G299" s="8">
        <f>IF($B299="","",VLOOKUP($B299,Jogos!$A$2:$K$105,9,FALSE))</f>
        <v/>
      </c>
      <c r="H299" s="8">
        <f>IF($B299="","",VLOOKUP($B299,Jogos!$A$2:$K$105,11,FALSE))</f>
        <v/>
      </c>
      <c r="I299" s="5">
        <f>IF(OR($A299="", $B299="", $E299="", $F299="", $G299="", $H299=""), "",IF(AND($E299=$G299, $F299=$H299), 3, IF(SIGN($E299-$F299)=SIGN($G299-$H299), 1, 0))))</f>
        <v/>
      </c>
    </row>
    <row r="300">
      <c r="A300" s="5" t="inlineStr"/>
      <c r="B300" s="5" t="inlineStr"/>
      <c r="C300" s="5">
        <f>IF($B300="","",VLOOKUP($B300,Jogos!$A$2:$K$105,8,FALSE))</f>
        <v/>
      </c>
      <c r="D300" s="5">
        <f>IF($B300="","",VLOOKUP($B300,Jogos!$A$2:$K$105,10,FALSE))</f>
        <v/>
      </c>
      <c r="E300" s="5" t="inlineStr"/>
      <c r="F300" s="5" t="inlineStr"/>
      <c r="G300" s="8">
        <f>IF($B300="","",VLOOKUP($B300,Jogos!$A$2:$K$105,9,FALSE))</f>
        <v/>
      </c>
      <c r="H300" s="8">
        <f>IF($B300="","",VLOOKUP($B300,Jogos!$A$2:$K$105,11,FALSE))</f>
        <v/>
      </c>
      <c r="I300" s="5">
        <f>IF(OR($A300="", $B300="", $E300="", $F300="", $G300="", $H300=""), "",IF(AND($E300=$G300, $F300=$H300), 3, IF(SIGN($E300-$F300)=SIGN($G300-$H300), 1, 0))))</f>
        <v/>
      </c>
    </row>
    <row r="301">
      <c r="A301" s="5" t="inlineStr"/>
      <c r="B301" s="5" t="inlineStr"/>
      <c r="C301" s="5">
        <f>IF($B301="","",VLOOKUP($B301,Jogos!$A$2:$K$105,8,FALSE))</f>
        <v/>
      </c>
      <c r="D301" s="5">
        <f>IF($B301="","",VLOOKUP($B301,Jogos!$A$2:$K$105,10,FALSE))</f>
        <v/>
      </c>
      <c r="E301" s="5" t="inlineStr"/>
      <c r="F301" s="5" t="inlineStr"/>
      <c r="G301" s="8">
        <f>IF($B301="","",VLOOKUP($B301,Jogos!$A$2:$K$105,9,FALSE))</f>
        <v/>
      </c>
      <c r="H301" s="8">
        <f>IF($B301="","",VLOOKUP($B301,Jogos!$A$2:$K$105,11,FALSE))</f>
        <v/>
      </c>
      <c r="I301" s="5">
        <f>IF(OR($A301="", $B301="", $E301="", $F301="", $G301="", $H301=""), "",IF(AND($E301=$G301, $F301=$H301), 3, IF(SIGN($E301-$F301)=SIGN($G301-$H301), 1, 0))))</f>
        <v/>
      </c>
    </row>
    <row r="302">
      <c r="A302" s="5" t="inlineStr"/>
      <c r="B302" s="5" t="inlineStr"/>
      <c r="C302" s="5">
        <f>IF($B302="","",VLOOKUP($B302,Jogos!$A$2:$K$105,8,FALSE))</f>
        <v/>
      </c>
      <c r="D302" s="5">
        <f>IF($B302="","",VLOOKUP($B302,Jogos!$A$2:$K$105,10,FALSE))</f>
        <v/>
      </c>
      <c r="E302" s="5" t="inlineStr"/>
      <c r="F302" s="5" t="inlineStr"/>
      <c r="G302" s="8">
        <f>IF($B302="","",VLOOKUP($B302,Jogos!$A$2:$K$105,9,FALSE))</f>
        <v/>
      </c>
      <c r="H302" s="8">
        <f>IF($B302="","",VLOOKUP($B302,Jogos!$A$2:$K$105,11,FALSE))</f>
        <v/>
      </c>
      <c r="I302" s="5">
        <f>IF(OR($A302="", $B302="", $E302="", $F302="", $G302="", $H302=""), "",IF(AND($E302=$G302, $F302=$H302), 3, IF(SIGN($E302-$F302)=SIGN($G302-$H302), 1, 0))))</f>
        <v/>
      </c>
    </row>
    <row r="303">
      <c r="A303" s="5" t="inlineStr"/>
      <c r="B303" s="5" t="inlineStr"/>
      <c r="C303" s="5">
        <f>IF($B303="","",VLOOKUP($B303,Jogos!$A$2:$K$105,8,FALSE))</f>
        <v/>
      </c>
      <c r="D303" s="5">
        <f>IF($B303="","",VLOOKUP($B303,Jogos!$A$2:$K$105,10,FALSE))</f>
        <v/>
      </c>
      <c r="E303" s="5" t="inlineStr"/>
      <c r="F303" s="5" t="inlineStr"/>
      <c r="G303" s="8">
        <f>IF($B303="","",VLOOKUP($B303,Jogos!$A$2:$K$105,9,FALSE))</f>
        <v/>
      </c>
      <c r="H303" s="8">
        <f>IF($B303="","",VLOOKUP($B303,Jogos!$A$2:$K$105,11,FALSE))</f>
        <v/>
      </c>
      <c r="I303" s="5">
        <f>IF(OR($A303="", $B303="", $E303="", $F303="", $G303="", $H303=""), "",IF(AND($E303=$G303, $F303=$H303), 3, IF(SIGN($E303-$F303)=SIGN($G303-$H303), 1, 0))))</f>
        <v/>
      </c>
    </row>
    <row r="304">
      <c r="A304" s="5" t="inlineStr"/>
      <c r="B304" s="5" t="inlineStr"/>
      <c r="C304" s="5">
        <f>IF($B304="","",VLOOKUP($B304,Jogos!$A$2:$K$105,8,FALSE))</f>
        <v/>
      </c>
      <c r="D304" s="5">
        <f>IF($B304="","",VLOOKUP($B304,Jogos!$A$2:$K$105,10,FALSE))</f>
        <v/>
      </c>
      <c r="E304" s="5" t="inlineStr"/>
      <c r="F304" s="5" t="inlineStr"/>
      <c r="G304" s="8">
        <f>IF($B304="","",VLOOKUP($B304,Jogos!$A$2:$K$105,9,FALSE))</f>
        <v/>
      </c>
      <c r="H304" s="8">
        <f>IF($B304="","",VLOOKUP($B304,Jogos!$A$2:$K$105,11,FALSE))</f>
        <v/>
      </c>
      <c r="I304" s="5">
        <f>IF(OR($A304="", $B304="", $E304="", $F304="", $G304="", $H304=""), "",IF(AND($E304=$G304, $F304=$H304), 3, IF(SIGN($E304-$F304)=SIGN($G304-$H304), 1, 0))))</f>
        <v/>
      </c>
    </row>
    <row r="305">
      <c r="A305" s="5" t="inlineStr"/>
      <c r="B305" s="5" t="inlineStr"/>
      <c r="C305" s="5">
        <f>IF($B305="","",VLOOKUP($B305,Jogos!$A$2:$K$105,8,FALSE))</f>
        <v/>
      </c>
      <c r="D305" s="5">
        <f>IF($B305="","",VLOOKUP($B305,Jogos!$A$2:$K$105,10,FALSE))</f>
        <v/>
      </c>
      <c r="E305" s="5" t="inlineStr"/>
      <c r="F305" s="5" t="inlineStr"/>
      <c r="G305" s="8">
        <f>IF($B305="","",VLOOKUP($B305,Jogos!$A$2:$K$105,9,FALSE))</f>
        <v/>
      </c>
      <c r="H305" s="8">
        <f>IF($B305="","",VLOOKUP($B305,Jogos!$A$2:$K$105,11,FALSE))</f>
        <v/>
      </c>
      <c r="I305" s="5">
        <f>IF(OR($A305="", $B305="", $E305="", $F305="", $G305="", $H305=""), "",IF(AND($E305=$G305, $F305=$H305), 3, IF(SIGN($E305-$F305)=SIGN($G305-$H305), 1, 0))))</f>
        <v/>
      </c>
    </row>
    <row r="306">
      <c r="A306" s="5" t="inlineStr"/>
      <c r="B306" s="5" t="inlineStr"/>
      <c r="C306" s="5">
        <f>IF($B306="","",VLOOKUP($B306,Jogos!$A$2:$K$105,8,FALSE))</f>
        <v/>
      </c>
      <c r="D306" s="5">
        <f>IF($B306="","",VLOOKUP($B306,Jogos!$A$2:$K$105,10,FALSE))</f>
        <v/>
      </c>
      <c r="E306" s="5" t="inlineStr"/>
      <c r="F306" s="5" t="inlineStr"/>
      <c r="G306" s="8">
        <f>IF($B306="","",VLOOKUP($B306,Jogos!$A$2:$K$105,9,FALSE))</f>
        <v/>
      </c>
      <c r="H306" s="8">
        <f>IF($B306="","",VLOOKUP($B306,Jogos!$A$2:$K$105,11,FALSE))</f>
        <v/>
      </c>
      <c r="I306" s="5">
        <f>IF(OR($A306="", $B306="", $E306="", $F306="", $G306="", $H306=""), "",IF(AND($E306=$G306, $F306=$H306), 3, IF(SIGN($E306-$F306)=SIGN($G306-$H306), 1, 0))))</f>
        <v/>
      </c>
    </row>
    <row r="307">
      <c r="A307" s="5" t="inlineStr"/>
      <c r="B307" s="5" t="inlineStr"/>
      <c r="C307" s="5">
        <f>IF($B307="","",VLOOKUP($B307,Jogos!$A$2:$K$105,8,FALSE))</f>
        <v/>
      </c>
      <c r="D307" s="5">
        <f>IF($B307="","",VLOOKUP($B307,Jogos!$A$2:$K$105,10,FALSE))</f>
        <v/>
      </c>
      <c r="E307" s="5" t="inlineStr"/>
      <c r="F307" s="5" t="inlineStr"/>
      <c r="G307" s="8">
        <f>IF($B307="","",VLOOKUP($B307,Jogos!$A$2:$K$105,9,FALSE))</f>
        <v/>
      </c>
      <c r="H307" s="8">
        <f>IF($B307="","",VLOOKUP($B307,Jogos!$A$2:$K$105,11,FALSE))</f>
        <v/>
      </c>
      <c r="I307" s="5">
        <f>IF(OR($A307="", $B307="", $E307="", $F307="", $G307="", $H307=""), "",IF(AND($E307=$G307, $F307=$H307), 3, IF(SIGN($E307-$F307)=SIGN($G307-$H307), 1, 0))))</f>
        <v/>
      </c>
    </row>
    <row r="308">
      <c r="A308" s="5" t="inlineStr"/>
      <c r="B308" s="5" t="inlineStr"/>
      <c r="C308" s="5">
        <f>IF($B308="","",VLOOKUP($B308,Jogos!$A$2:$K$105,8,FALSE))</f>
        <v/>
      </c>
      <c r="D308" s="5">
        <f>IF($B308="","",VLOOKUP($B308,Jogos!$A$2:$K$105,10,FALSE))</f>
        <v/>
      </c>
      <c r="E308" s="5" t="inlineStr"/>
      <c r="F308" s="5" t="inlineStr"/>
      <c r="G308" s="8">
        <f>IF($B308="","",VLOOKUP($B308,Jogos!$A$2:$K$105,9,FALSE))</f>
        <v/>
      </c>
      <c r="H308" s="8">
        <f>IF($B308="","",VLOOKUP($B308,Jogos!$A$2:$K$105,11,FALSE))</f>
        <v/>
      </c>
      <c r="I308" s="5">
        <f>IF(OR($A308="", $B308="", $E308="", $F308="", $G308="", $H308=""), "",IF(AND($E308=$G308, $F308=$H308), 3, IF(SIGN($E308-$F308)=SIGN($G308-$H308), 1, 0))))</f>
        <v/>
      </c>
    </row>
    <row r="309">
      <c r="A309" s="5" t="inlineStr"/>
      <c r="B309" s="5" t="inlineStr"/>
      <c r="C309" s="5">
        <f>IF($B309="","",VLOOKUP($B309,Jogos!$A$2:$K$105,8,FALSE))</f>
        <v/>
      </c>
      <c r="D309" s="5">
        <f>IF($B309="","",VLOOKUP($B309,Jogos!$A$2:$K$105,10,FALSE))</f>
        <v/>
      </c>
      <c r="E309" s="5" t="inlineStr"/>
      <c r="F309" s="5" t="inlineStr"/>
      <c r="G309" s="8">
        <f>IF($B309="","",VLOOKUP($B309,Jogos!$A$2:$K$105,9,FALSE))</f>
        <v/>
      </c>
      <c r="H309" s="8">
        <f>IF($B309="","",VLOOKUP($B309,Jogos!$A$2:$K$105,11,FALSE))</f>
        <v/>
      </c>
      <c r="I309" s="5">
        <f>IF(OR($A309="", $B309="", $E309="", $F309="", $G309="", $H309=""), "",IF(AND($E309=$G309, $F309=$H309), 3, IF(SIGN($E309-$F309)=SIGN($G309-$H309), 1, 0))))</f>
        <v/>
      </c>
    </row>
    <row r="310">
      <c r="A310" s="5" t="inlineStr"/>
      <c r="B310" s="5" t="inlineStr"/>
      <c r="C310" s="5">
        <f>IF($B310="","",VLOOKUP($B310,Jogos!$A$2:$K$105,8,FALSE))</f>
        <v/>
      </c>
      <c r="D310" s="5">
        <f>IF($B310="","",VLOOKUP($B310,Jogos!$A$2:$K$105,10,FALSE))</f>
        <v/>
      </c>
      <c r="E310" s="5" t="inlineStr"/>
      <c r="F310" s="5" t="inlineStr"/>
      <c r="G310" s="8">
        <f>IF($B310="","",VLOOKUP($B310,Jogos!$A$2:$K$105,9,FALSE))</f>
        <v/>
      </c>
      <c r="H310" s="8">
        <f>IF($B310="","",VLOOKUP($B310,Jogos!$A$2:$K$105,11,FALSE))</f>
        <v/>
      </c>
      <c r="I310" s="5">
        <f>IF(OR($A310="", $B310="", $E310="", $F310="", $G310="", $H310=""), "",IF(AND($E310=$G310, $F310=$H310), 3, IF(SIGN($E310-$F310)=SIGN($G310-$H310), 1, 0))))</f>
        <v/>
      </c>
    </row>
    <row r="311">
      <c r="A311" s="5" t="inlineStr"/>
      <c r="B311" s="5" t="inlineStr"/>
      <c r="C311" s="5">
        <f>IF($B311="","",VLOOKUP($B311,Jogos!$A$2:$K$105,8,FALSE))</f>
        <v/>
      </c>
      <c r="D311" s="5">
        <f>IF($B311="","",VLOOKUP($B311,Jogos!$A$2:$K$105,10,FALSE))</f>
        <v/>
      </c>
      <c r="E311" s="5" t="inlineStr"/>
      <c r="F311" s="5" t="inlineStr"/>
      <c r="G311" s="8">
        <f>IF($B311="","",VLOOKUP($B311,Jogos!$A$2:$K$105,9,FALSE))</f>
        <v/>
      </c>
      <c r="H311" s="8">
        <f>IF($B311="","",VLOOKUP($B311,Jogos!$A$2:$K$105,11,FALSE))</f>
        <v/>
      </c>
      <c r="I311" s="5">
        <f>IF(OR($A311="", $B311="", $E311="", $F311="", $G311="", $H311=""), "",IF(AND($E311=$G311, $F311=$H311), 3, IF(SIGN($E311-$F311)=SIGN($G311-$H311), 1, 0))))</f>
        <v/>
      </c>
    </row>
    <row r="312">
      <c r="A312" s="5" t="inlineStr"/>
      <c r="B312" s="5" t="inlineStr"/>
      <c r="C312" s="5">
        <f>IF($B312="","",VLOOKUP($B312,Jogos!$A$2:$K$105,8,FALSE))</f>
        <v/>
      </c>
      <c r="D312" s="5">
        <f>IF($B312="","",VLOOKUP($B312,Jogos!$A$2:$K$105,10,FALSE))</f>
        <v/>
      </c>
      <c r="E312" s="5" t="inlineStr"/>
      <c r="F312" s="5" t="inlineStr"/>
      <c r="G312" s="8">
        <f>IF($B312="","",VLOOKUP($B312,Jogos!$A$2:$K$105,9,FALSE))</f>
        <v/>
      </c>
      <c r="H312" s="8">
        <f>IF($B312="","",VLOOKUP($B312,Jogos!$A$2:$K$105,11,FALSE))</f>
        <v/>
      </c>
      <c r="I312" s="5">
        <f>IF(OR($A312="", $B312="", $E312="", $F312="", $G312="", $H312=""), "",IF(AND($E312=$G312, $F312=$H312), 3, IF(SIGN($E312-$F312)=SIGN($G312-$H312), 1, 0))))</f>
        <v/>
      </c>
    </row>
    <row r="313">
      <c r="A313" s="5" t="inlineStr"/>
      <c r="B313" s="5" t="inlineStr"/>
      <c r="C313" s="5">
        <f>IF($B313="","",VLOOKUP($B313,Jogos!$A$2:$K$105,8,FALSE))</f>
        <v/>
      </c>
      <c r="D313" s="5">
        <f>IF($B313="","",VLOOKUP($B313,Jogos!$A$2:$K$105,10,FALSE))</f>
        <v/>
      </c>
      <c r="E313" s="5" t="inlineStr"/>
      <c r="F313" s="5" t="inlineStr"/>
      <c r="G313" s="8">
        <f>IF($B313="","",VLOOKUP($B313,Jogos!$A$2:$K$105,9,FALSE))</f>
        <v/>
      </c>
      <c r="H313" s="8">
        <f>IF($B313="","",VLOOKUP($B313,Jogos!$A$2:$K$105,11,FALSE))</f>
        <v/>
      </c>
      <c r="I313" s="5">
        <f>IF(OR($A313="", $B313="", $E313="", $F313="", $G313="", $H313=""), "",IF(AND($E313=$G313, $F313=$H313), 3, IF(SIGN($E313-$F313)=SIGN($G313-$H313), 1, 0))))</f>
        <v/>
      </c>
    </row>
    <row r="314">
      <c r="A314" s="5" t="inlineStr"/>
      <c r="B314" s="5" t="inlineStr"/>
      <c r="C314" s="5">
        <f>IF($B314="","",VLOOKUP($B314,Jogos!$A$2:$K$105,8,FALSE))</f>
        <v/>
      </c>
      <c r="D314" s="5">
        <f>IF($B314="","",VLOOKUP($B314,Jogos!$A$2:$K$105,10,FALSE))</f>
        <v/>
      </c>
      <c r="E314" s="5" t="inlineStr"/>
      <c r="F314" s="5" t="inlineStr"/>
      <c r="G314" s="8">
        <f>IF($B314="","",VLOOKUP($B314,Jogos!$A$2:$K$105,9,FALSE))</f>
        <v/>
      </c>
      <c r="H314" s="8">
        <f>IF($B314="","",VLOOKUP($B314,Jogos!$A$2:$K$105,11,FALSE))</f>
        <v/>
      </c>
      <c r="I314" s="5">
        <f>IF(OR($A314="", $B314="", $E314="", $F314="", $G314="", $H314=""), "",IF(AND($E314=$G314, $F314=$H314), 3, IF(SIGN($E314-$F314)=SIGN($G314-$H314), 1, 0))))</f>
        <v/>
      </c>
    </row>
    <row r="315">
      <c r="A315" s="5" t="inlineStr"/>
      <c r="B315" s="5" t="inlineStr"/>
      <c r="C315" s="5">
        <f>IF($B315="","",VLOOKUP($B315,Jogos!$A$2:$K$105,8,FALSE))</f>
        <v/>
      </c>
      <c r="D315" s="5">
        <f>IF($B315="","",VLOOKUP($B315,Jogos!$A$2:$K$105,10,FALSE))</f>
        <v/>
      </c>
      <c r="E315" s="5" t="inlineStr"/>
      <c r="F315" s="5" t="inlineStr"/>
      <c r="G315" s="8">
        <f>IF($B315="","",VLOOKUP($B315,Jogos!$A$2:$K$105,9,FALSE))</f>
        <v/>
      </c>
      <c r="H315" s="8">
        <f>IF($B315="","",VLOOKUP($B315,Jogos!$A$2:$K$105,11,FALSE))</f>
        <v/>
      </c>
      <c r="I315" s="5">
        <f>IF(OR($A315="", $B315="", $E315="", $F315="", $G315="", $H315=""), "",IF(AND($E315=$G315, $F315=$H315), 3, IF(SIGN($E315-$F315)=SIGN($G315-$H315), 1, 0))))</f>
        <v/>
      </c>
    </row>
    <row r="316">
      <c r="A316" s="5" t="inlineStr"/>
      <c r="B316" s="5" t="inlineStr"/>
      <c r="C316" s="5">
        <f>IF($B316="","",VLOOKUP($B316,Jogos!$A$2:$K$105,8,FALSE))</f>
        <v/>
      </c>
      <c r="D316" s="5">
        <f>IF($B316="","",VLOOKUP($B316,Jogos!$A$2:$K$105,10,FALSE))</f>
        <v/>
      </c>
      <c r="E316" s="5" t="inlineStr"/>
      <c r="F316" s="5" t="inlineStr"/>
      <c r="G316" s="8">
        <f>IF($B316="","",VLOOKUP($B316,Jogos!$A$2:$K$105,9,FALSE))</f>
        <v/>
      </c>
      <c r="H316" s="8">
        <f>IF($B316="","",VLOOKUP($B316,Jogos!$A$2:$K$105,11,FALSE))</f>
        <v/>
      </c>
      <c r="I316" s="5">
        <f>IF(OR($A316="", $B316="", $E316="", $F316="", $G316="", $H316=""), "",IF(AND($E316=$G316, $F316=$H316), 3, IF(SIGN($E316-$F316)=SIGN($G316-$H316), 1, 0))))</f>
        <v/>
      </c>
    </row>
    <row r="317">
      <c r="A317" s="5" t="inlineStr"/>
      <c r="B317" s="5" t="inlineStr"/>
      <c r="C317" s="5">
        <f>IF($B317="","",VLOOKUP($B317,Jogos!$A$2:$K$105,8,FALSE))</f>
        <v/>
      </c>
      <c r="D317" s="5">
        <f>IF($B317="","",VLOOKUP($B317,Jogos!$A$2:$K$105,10,FALSE))</f>
        <v/>
      </c>
      <c r="E317" s="5" t="inlineStr"/>
      <c r="F317" s="5" t="inlineStr"/>
      <c r="G317" s="8">
        <f>IF($B317="","",VLOOKUP($B317,Jogos!$A$2:$K$105,9,FALSE))</f>
        <v/>
      </c>
      <c r="H317" s="8">
        <f>IF($B317="","",VLOOKUP($B317,Jogos!$A$2:$K$105,11,FALSE))</f>
        <v/>
      </c>
      <c r="I317" s="5">
        <f>IF(OR($A317="", $B317="", $E317="", $F317="", $G317="", $H317=""), "",IF(AND($E317=$G317, $F317=$H317), 3, IF(SIGN($E317-$F317)=SIGN($G317-$H317), 1, 0))))</f>
        <v/>
      </c>
    </row>
    <row r="318">
      <c r="A318" s="5" t="inlineStr"/>
      <c r="B318" s="5" t="inlineStr"/>
      <c r="C318" s="5">
        <f>IF($B318="","",VLOOKUP($B318,Jogos!$A$2:$K$105,8,FALSE))</f>
        <v/>
      </c>
      <c r="D318" s="5">
        <f>IF($B318="","",VLOOKUP($B318,Jogos!$A$2:$K$105,10,FALSE))</f>
        <v/>
      </c>
      <c r="E318" s="5" t="inlineStr"/>
      <c r="F318" s="5" t="inlineStr"/>
      <c r="G318" s="8">
        <f>IF($B318="","",VLOOKUP($B318,Jogos!$A$2:$K$105,9,FALSE))</f>
        <v/>
      </c>
      <c r="H318" s="8">
        <f>IF($B318="","",VLOOKUP($B318,Jogos!$A$2:$K$105,11,FALSE))</f>
        <v/>
      </c>
      <c r="I318" s="5">
        <f>IF(OR($A318="", $B318="", $E318="", $F318="", $G318="", $H318=""), "",IF(AND($E318=$G318, $F318=$H318), 3, IF(SIGN($E318-$F318)=SIGN($G318-$H318), 1, 0))))</f>
        <v/>
      </c>
    </row>
    <row r="319">
      <c r="A319" s="5" t="inlineStr"/>
      <c r="B319" s="5" t="inlineStr"/>
      <c r="C319" s="5">
        <f>IF($B319="","",VLOOKUP($B319,Jogos!$A$2:$K$105,8,FALSE))</f>
        <v/>
      </c>
      <c r="D319" s="5">
        <f>IF($B319="","",VLOOKUP($B319,Jogos!$A$2:$K$105,10,FALSE))</f>
        <v/>
      </c>
      <c r="E319" s="5" t="inlineStr"/>
      <c r="F319" s="5" t="inlineStr"/>
      <c r="G319" s="8">
        <f>IF($B319="","",VLOOKUP($B319,Jogos!$A$2:$K$105,9,FALSE))</f>
        <v/>
      </c>
      <c r="H319" s="8">
        <f>IF($B319="","",VLOOKUP($B319,Jogos!$A$2:$K$105,11,FALSE))</f>
        <v/>
      </c>
      <c r="I319" s="5">
        <f>IF(OR($A319="", $B319="", $E319="", $F319="", $G319="", $H319=""), "",IF(AND($E319=$G319, $F319=$H319), 3, IF(SIGN($E319-$F319)=SIGN($G319-$H319), 1, 0))))</f>
        <v/>
      </c>
    </row>
    <row r="320">
      <c r="A320" s="5" t="inlineStr"/>
      <c r="B320" s="5" t="inlineStr"/>
      <c r="C320" s="5">
        <f>IF($B320="","",VLOOKUP($B320,Jogos!$A$2:$K$105,8,FALSE))</f>
        <v/>
      </c>
      <c r="D320" s="5">
        <f>IF($B320="","",VLOOKUP($B320,Jogos!$A$2:$K$105,10,FALSE))</f>
        <v/>
      </c>
      <c r="E320" s="5" t="inlineStr"/>
      <c r="F320" s="5" t="inlineStr"/>
      <c r="G320" s="8">
        <f>IF($B320="","",VLOOKUP($B320,Jogos!$A$2:$K$105,9,FALSE))</f>
        <v/>
      </c>
      <c r="H320" s="8">
        <f>IF($B320="","",VLOOKUP($B320,Jogos!$A$2:$K$105,11,FALSE))</f>
        <v/>
      </c>
      <c r="I320" s="5">
        <f>IF(OR($A320="", $B320="", $E320="", $F320="", $G320="", $H320=""), "",IF(AND($E320=$G320, $F320=$H320), 3, IF(SIGN($E320-$F320)=SIGN($G320-$H320), 1, 0))))</f>
        <v/>
      </c>
    </row>
    <row r="321">
      <c r="A321" s="5" t="inlineStr"/>
      <c r="B321" s="5" t="inlineStr"/>
      <c r="C321" s="5">
        <f>IF($B321="","",VLOOKUP($B321,Jogos!$A$2:$K$105,8,FALSE))</f>
        <v/>
      </c>
      <c r="D321" s="5">
        <f>IF($B321="","",VLOOKUP($B321,Jogos!$A$2:$K$105,10,FALSE))</f>
        <v/>
      </c>
      <c r="E321" s="5" t="inlineStr"/>
      <c r="F321" s="5" t="inlineStr"/>
      <c r="G321" s="8">
        <f>IF($B321="","",VLOOKUP($B321,Jogos!$A$2:$K$105,9,FALSE))</f>
        <v/>
      </c>
      <c r="H321" s="8">
        <f>IF($B321="","",VLOOKUP($B321,Jogos!$A$2:$K$105,11,FALSE))</f>
        <v/>
      </c>
      <c r="I321" s="5">
        <f>IF(OR($A321="", $B321="", $E321="", $F321="", $G321="", $H321=""), "",IF(AND($E321=$G321, $F321=$H321), 3, IF(SIGN($E321-$F321)=SIGN($G321-$H321), 1, 0))))</f>
        <v/>
      </c>
    </row>
    <row r="322">
      <c r="A322" s="5" t="inlineStr"/>
      <c r="B322" s="5" t="inlineStr"/>
      <c r="C322" s="5">
        <f>IF($B322="","",VLOOKUP($B322,Jogos!$A$2:$K$105,8,FALSE))</f>
        <v/>
      </c>
      <c r="D322" s="5">
        <f>IF($B322="","",VLOOKUP($B322,Jogos!$A$2:$K$105,10,FALSE))</f>
        <v/>
      </c>
      <c r="E322" s="5" t="inlineStr"/>
      <c r="F322" s="5" t="inlineStr"/>
      <c r="G322" s="8">
        <f>IF($B322="","",VLOOKUP($B322,Jogos!$A$2:$K$105,9,FALSE))</f>
        <v/>
      </c>
      <c r="H322" s="8">
        <f>IF($B322="","",VLOOKUP($B322,Jogos!$A$2:$K$105,11,FALSE))</f>
        <v/>
      </c>
      <c r="I322" s="5">
        <f>IF(OR($A322="", $B322="", $E322="", $F322="", $G322="", $H322=""), "",IF(AND($E322=$G322, $F322=$H322), 3, IF(SIGN($E322-$F322)=SIGN($G322-$H322), 1, 0))))</f>
        <v/>
      </c>
    </row>
    <row r="323">
      <c r="A323" s="5" t="inlineStr"/>
      <c r="B323" s="5" t="inlineStr"/>
      <c r="C323" s="5">
        <f>IF($B323="","",VLOOKUP($B323,Jogos!$A$2:$K$105,8,FALSE))</f>
        <v/>
      </c>
      <c r="D323" s="5">
        <f>IF($B323="","",VLOOKUP($B323,Jogos!$A$2:$K$105,10,FALSE))</f>
        <v/>
      </c>
      <c r="E323" s="5" t="inlineStr"/>
      <c r="F323" s="5" t="inlineStr"/>
      <c r="G323" s="8">
        <f>IF($B323="","",VLOOKUP($B323,Jogos!$A$2:$K$105,9,FALSE))</f>
        <v/>
      </c>
      <c r="H323" s="8">
        <f>IF($B323="","",VLOOKUP($B323,Jogos!$A$2:$K$105,11,FALSE))</f>
        <v/>
      </c>
      <c r="I323" s="5">
        <f>IF(OR($A323="", $B323="", $E323="", $F323="", $G323="", $H323=""), "",IF(AND($E323=$G323, $F323=$H323), 3, IF(SIGN($E323-$F323)=SIGN($G323-$H323), 1, 0))))</f>
        <v/>
      </c>
    </row>
    <row r="324">
      <c r="A324" s="5" t="inlineStr"/>
      <c r="B324" s="5" t="inlineStr"/>
      <c r="C324" s="5">
        <f>IF($B324="","",VLOOKUP($B324,Jogos!$A$2:$K$105,8,FALSE))</f>
        <v/>
      </c>
      <c r="D324" s="5">
        <f>IF($B324="","",VLOOKUP($B324,Jogos!$A$2:$K$105,10,FALSE))</f>
        <v/>
      </c>
      <c r="E324" s="5" t="inlineStr"/>
      <c r="F324" s="5" t="inlineStr"/>
      <c r="G324" s="8">
        <f>IF($B324="","",VLOOKUP($B324,Jogos!$A$2:$K$105,9,FALSE))</f>
        <v/>
      </c>
      <c r="H324" s="8">
        <f>IF($B324="","",VLOOKUP($B324,Jogos!$A$2:$K$105,11,FALSE))</f>
        <v/>
      </c>
      <c r="I324" s="5">
        <f>IF(OR($A324="", $B324="", $E324="", $F324="", $G324="", $H324=""), "",IF(AND($E324=$G324, $F324=$H324), 3, IF(SIGN($E324-$F324)=SIGN($G324-$H324), 1, 0))))</f>
        <v/>
      </c>
    </row>
    <row r="325">
      <c r="A325" s="5" t="inlineStr"/>
      <c r="B325" s="5" t="inlineStr"/>
      <c r="C325" s="5">
        <f>IF($B325="","",VLOOKUP($B325,Jogos!$A$2:$K$105,8,FALSE))</f>
        <v/>
      </c>
      <c r="D325" s="5">
        <f>IF($B325="","",VLOOKUP($B325,Jogos!$A$2:$K$105,10,FALSE))</f>
        <v/>
      </c>
      <c r="E325" s="5" t="inlineStr"/>
      <c r="F325" s="5" t="inlineStr"/>
      <c r="G325" s="8">
        <f>IF($B325="","",VLOOKUP($B325,Jogos!$A$2:$K$105,9,FALSE))</f>
        <v/>
      </c>
      <c r="H325" s="8">
        <f>IF($B325="","",VLOOKUP($B325,Jogos!$A$2:$K$105,11,FALSE))</f>
        <v/>
      </c>
      <c r="I325" s="5">
        <f>IF(OR($A325="", $B325="", $E325="", $F325="", $G325="", $H325=""), "",IF(AND($E325=$G325, $F325=$H325), 3, IF(SIGN($E325-$F325)=SIGN($G325-$H325), 1, 0))))</f>
        <v/>
      </c>
    </row>
    <row r="326">
      <c r="A326" s="5" t="inlineStr"/>
      <c r="B326" s="5" t="inlineStr"/>
      <c r="C326" s="5">
        <f>IF($B326="","",VLOOKUP($B326,Jogos!$A$2:$K$105,8,FALSE))</f>
        <v/>
      </c>
      <c r="D326" s="5">
        <f>IF($B326="","",VLOOKUP($B326,Jogos!$A$2:$K$105,10,FALSE))</f>
        <v/>
      </c>
      <c r="E326" s="5" t="inlineStr"/>
      <c r="F326" s="5" t="inlineStr"/>
      <c r="G326" s="8">
        <f>IF($B326="","",VLOOKUP($B326,Jogos!$A$2:$K$105,9,FALSE))</f>
        <v/>
      </c>
      <c r="H326" s="8">
        <f>IF($B326="","",VLOOKUP($B326,Jogos!$A$2:$K$105,11,FALSE))</f>
        <v/>
      </c>
      <c r="I326" s="5">
        <f>IF(OR($A326="", $B326="", $E326="", $F326="", $G326="", $H326=""), "",IF(AND($E326=$G326, $F326=$H326), 3, IF(SIGN($E326-$F326)=SIGN($G326-$H326), 1, 0))))</f>
        <v/>
      </c>
    </row>
    <row r="327">
      <c r="A327" s="5" t="inlineStr"/>
      <c r="B327" s="5" t="inlineStr"/>
      <c r="C327" s="5">
        <f>IF($B327="","",VLOOKUP($B327,Jogos!$A$2:$K$105,8,FALSE))</f>
        <v/>
      </c>
      <c r="D327" s="5">
        <f>IF($B327="","",VLOOKUP($B327,Jogos!$A$2:$K$105,10,FALSE))</f>
        <v/>
      </c>
      <c r="E327" s="5" t="inlineStr"/>
      <c r="F327" s="5" t="inlineStr"/>
      <c r="G327" s="8">
        <f>IF($B327="","",VLOOKUP($B327,Jogos!$A$2:$K$105,9,FALSE))</f>
        <v/>
      </c>
      <c r="H327" s="8">
        <f>IF($B327="","",VLOOKUP($B327,Jogos!$A$2:$K$105,11,FALSE))</f>
        <v/>
      </c>
      <c r="I327" s="5">
        <f>IF(OR($A327="", $B327="", $E327="", $F327="", $G327="", $H327=""), "",IF(AND($E327=$G327, $F327=$H327), 3, IF(SIGN($E327-$F327)=SIGN($G327-$H327), 1, 0))))</f>
        <v/>
      </c>
    </row>
    <row r="328">
      <c r="A328" s="5" t="inlineStr"/>
      <c r="B328" s="5" t="inlineStr"/>
      <c r="C328" s="5">
        <f>IF($B328="","",VLOOKUP($B328,Jogos!$A$2:$K$105,8,FALSE))</f>
        <v/>
      </c>
      <c r="D328" s="5">
        <f>IF($B328="","",VLOOKUP($B328,Jogos!$A$2:$K$105,10,FALSE))</f>
        <v/>
      </c>
      <c r="E328" s="5" t="inlineStr"/>
      <c r="F328" s="5" t="inlineStr"/>
      <c r="G328" s="8">
        <f>IF($B328="","",VLOOKUP($B328,Jogos!$A$2:$K$105,9,FALSE))</f>
        <v/>
      </c>
      <c r="H328" s="8">
        <f>IF($B328="","",VLOOKUP($B328,Jogos!$A$2:$K$105,11,FALSE))</f>
        <v/>
      </c>
      <c r="I328" s="5">
        <f>IF(OR($A328="", $B328="", $E328="", $F328="", $G328="", $H328=""), "",IF(AND($E328=$G328, $F328=$H328), 3, IF(SIGN($E328-$F328)=SIGN($G328-$H328), 1, 0))))</f>
        <v/>
      </c>
    </row>
    <row r="329">
      <c r="A329" s="5" t="inlineStr"/>
      <c r="B329" s="5" t="inlineStr"/>
      <c r="C329" s="5">
        <f>IF($B329="","",VLOOKUP($B329,Jogos!$A$2:$K$105,8,FALSE))</f>
        <v/>
      </c>
      <c r="D329" s="5">
        <f>IF($B329="","",VLOOKUP($B329,Jogos!$A$2:$K$105,10,FALSE))</f>
        <v/>
      </c>
      <c r="E329" s="5" t="inlineStr"/>
      <c r="F329" s="5" t="inlineStr"/>
      <c r="G329" s="8">
        <f>IF($B329="","",VLOOKUP($B329,Jogos!$A$2:$K$105,9,FALSE))</f>
        <v/>
      </c>
      <c r="H329" s="8">
        <f>IF($B329="","",VLOOKUP($B329,Jogos!$A$2:$K$105,11,FALSE))</f>
        <v/>
      </c>
      <c r="I329" s="5">
        <f>IF(OR($A329="", $B329="", $E329="", $F329="", $G329="", $H329=""), "",IF(AND($E329=$G329, $F329=$H329), 3, IF(SIGN($E329-$F329)=SIGN($G329-$H329), 1, 0))))</f>
        <v/>
      </c>
    </row>
    <row r="330">
      <c r="A330" s="5" t="inlineStr"/>
      <c r="B330" s="5" t="inlineStr"/>
      <c r="C330" s="5">
        <f>IF($B330="","",VLOOKUP($B330,Jogos!$A$2:$K$105,8,FALSE))</f>
        <v/>
      </c>
      <c r="D330" s="5">
        <f>IF($B330="","",VLOOKUP($B330,Jogos!$A$2:$K$105,10,FALSE))</f>
        <v/>
      </c>
      <c r="E330" s="5" t="inlineStr"/>
      <c r="F330" s="5" t="inlineStr"/>
      <c r="G330" s="8">
        <f>IF($B330="","",VLOOKUP($B330,Jogos!$A$2:$K$105,9,FALSE))</f>
        <v/>
      </c>
      <c r="H330" s="8">
        <f>IF($B330="","",VLOOKUP($B330,Jogos!$A$2:$K$105,11,FALSE))</f>
        <v/>
      </c>
      <c r="I330" s="5">
        <f>IF(OR($A330="", $B330="", $E330="", $F330="", $G330="", $H330=""), "",IF(AND($E330=$G330, $F330=$H330), 3, IF(SIGN($E330-$F330)=SIGN($G330-$H330), 1, 0))))</f>
        <v/>
      </c>
    </row>
    <row r="331">
      <c r="A331" s="5" t="inlineStr"/>
      <c r="B331" s="5" t="inlineStr"/>
      <c r="C331" s="5">
        <f>IF($B331="","",VLOOKUP($B331,Jogos!$A$2:$K$105,8,FALSE))</f>
        <v/>
      </c>
      <c r="D331" s="5">
        <f>IF($B331="","",VLOOKUP($B331,Jogos!$A$2:$K$105,10,FALSE))</f>
        <v/>
      </c>
      <c r="E331" s="5" t="inlineStr"/>
      <c r="F331" s="5" t="inlineStr"/>
      <c r="G331" s="8">
        <f>IF($B331="","",VLOOKUP($B331,Jogos!$A$2:$K$105,9,FALSE))</f>
        <v/>
      </c>
      <c r="H331" s="8">
        <f>IF($B331="","",VLOOKUP($B331,Jogos!$A$2:$K$105,11,FALSE))</f>
        <v/>
      </c>
      <c r="I331" s="5">
        <f>IF(OR($A331="", $B331="", $E331="", $F331="", $G331="", $H331=""), "",IF(AND($E331=$G331, $F331=$H331), 3, IF(SIGN($E331-$F331)=SIGN($G331-$H331), 1, 0))))</f>
        <v/>
      </c>
    </row>
    <row r="332">
      <c r="A332" s="5" t="inlineStr"/>
      <c r="B332" s="5" t="inlineStr"/>
      <c r="C332" s="5">
        <f>IF($B332="","",VLOOKUP($B332,Jogos!$A$2:$K$105,8,FALSE))</f>
        <v/>
      </c>
      <c r="D332" s="5">
        <f>IF($B332="","",VLOOKUP($B332,Jogos!$A$2:$K$105,10,FALSE))</f>
        <v/>
      </c>
      <c r="E332" s="5" t="inlineStr"/>
      <c r="F332" s="5" t="inlineStr"/>
      <c r="G332" s="8">
        <f>IF($B332="","",VLOOKUP($B332,Jogos!$A$2:$K$105,9,FALSE))</f>
        <v/>
      </c>
      <c r="H332" s="8">
        <f>IF($B332="","",VLOOKUP($B332,Jogos!$A$2:$K$105,11,FALSE))</f>
        <v/>
      </c>
      <c r="I332" s="5">
        <f>IF(OR($A332="", $B332="", $E332="", $F332="", $G332="", $H332=""), "",IF(AND($E332=$G332, $F332=$H332), 3, IF(SIGN($E332-$F332)=SIGN($G332-$H332), 1, 0))))</f>
        <v/>
      </c>
    </row>
    <row r="333">
      <c r="A333" s="5" t="inlineStr"/>
      <c r="B333" s="5" t="inlineStr"/>
      <c r="C333" s="5">
        <f>IF($B333="","",VLOOKUP($B333,Jogos!$A$2:$K$105,8,FALSE))</f>
        <v/>
      </c>
      <c r="D333" s="5">
        <f>IF($B333="","",VLOOKUP($B333,Jogos!$A$2:$K$105,10,FALSE))</f>
        <v/>
      </c>
      <c r="E333" s="5" t="inlineStr"/>
      <c r="F333" s="5" t="inlineStr"/>
      <c r="G333" s="8">
        <f>IF($B333="","",VLOOKUP($B333,Jogos!$A$2:$K$105,9,FALSE))</f>
        <v/>
      </c>
      <c r="H333" s="8">
        <f>IF($B333="","",VLOOKUP($B333,Jogos!$A$2:$K$105,11,FALSE))</f>
        <v/>
      </c>
      <c r="I333" s="5">
        <f>IF(OR($A333="", $B333="", $E333="", $F333="", $G333="", $H333=""), "",IF(AND($E333=$G333, $F333=$H333), 3, IF(SIGN($E333-$F333)=SIGN($G333-$H333), 1, 0))))</f>
        <v/>
      </c>
    </row>
    <row r="334">
      <c r="A334" s="5" t="inlineStr"/>
      <c r="B334" s="5" t="inlineStr"/>
      <c r="C334" s="5">
        <f>IF($B334="","",VLOOKUP($B334,Jogos!$A$2:$K$105,8,FALSE))</f>
        <v/>
      </c>
      <c r="D334" s="5">
        <f>IF($B334="","",VLOOKUP($B334,Jogos!$A$2:$K$105,10,FALSE))</f>
        <v/>
      </c>
      <c r="E334" s="5" t="inlineStr"/>
      <c r="F334" s="5" t="inlineStr"/>
      <c r="G334" s="8">
        <f>IF($B334="","",VLOOKUP($B334,Jogos!$A$2:$K$105,9,FALSE))</f>
        <v/>
      </c>
      <c r="H334" s="8">
        <f>IF($B334="","",VLOOKUP($B334,Jogos!$A$2:$K$105,11,FALSE))</f>
        <v/>
      </c>
      <c r="I334" s="5">
        <f>IF(OR($A334="", $B334="", $E334="", $F334="", $G334="", $H334=""), "",IF(AND($E334=$G334, $F334=$H334), 3, IF(SIGN($E334-$F334)=SIGN($G334-$H334), 1, 0))))</f>
        <v/>
      </c>
    </row>
    <row r="335">
      <c r="A335" s="5" t="inlineStr"/>
      <c r="B335" s="5" t="inlineStr"/>
      <c r="C335" s="5">
        <f>IF($B335="","",VLOOKUP($B335,Jogos!$A$2:$K$105,8,FALSE))</f>
        <v/>
      </c>
      <c r="D335" s="5">
        <f>IF($B335="","",VLOOKUP($B335,Jogos!$A$2:$K$105,10,FALSE))</f>
        <v/>
      </c>
      <c r="E335" s="5" t="inlineStr"/>
      <c r="F335" s="5" t="inlineStr"/>
      <c r="G335" s="8">
        <f>IF($B335="","",VLOOKUP($B335,Jogos!$A$2:$K$105,9,FALSE))</f>
        <v/>
      </c>
      <c r="H335" s="8">
        <f>IF($B335="","",VLOOKUP($B335,Jogos!$A$2:$K$105,11,FALSE))</f>
        <v/>
      </c>
      <c r="I335" s="5">
        <f>IF(OR($A335="", $B335="", $E335="", $F335="", $G335="", $H335=""), "",IF(AND($E335=$G335, $F335=$H335), 3, IF(SIGN($E335-$F335)=SIGN($G335-$H335), 1, 0))))</f>
        <v/>
      </c>
    </row>
    <row r="336">
      <c r="A336" s="5" t="inlineStr"/>
      <c r="B336" s="5" t="inlineStr"/>
      <c r="C336" s="5">
        <f>IF($B336="","",VLOOKUP($B336,Jogos!$A$2:$K$105,8,FALSE))</f>
        <v/>
      </c>
      <c r="D336" s="5">
        <f>IF($B336="","",VLOOKUP($B336,Jogos!$A$2:$K$105,10,FALSE))</f>
        <v/>
      </c>
      <c r="E336" s="5" t="inlineStr"/>
      <c r="F336" s="5" t="inlineStr"/>
      <c r="G336" s="8">
        <f>IF($B336="","",VLOOKUP($B336,Jogos!$A$2:$K$105,9,FALSE))</f>
        <v/>
      </c>
      <c r="H336" s="8">
        <f>IF($B336="","",VLOOKUP($B336,Jogos!$A$2:$K$105,11,FALSE))</f>
        <v/>
      </c>
      <c r="I336" s="5">
        <f>IF(OR($A336="", $B336="", $E336="", $F336="", $G336="", $H336=""), "",IF(AND($E336=$G336, $F336=$H336), 3, IF(SIGN($E336-$F336)=SIGN($G336-$H336), 1, 0))))</f>
        <v/>
      </c>
    </row>
    <row r="337">
      <c r="A337" s="5" t="inlineStr"/>
      <c r="B337" s="5" t="inlineStr"/>
      <c r="C337" s="5">
        <f>IF($B337="","",VLOOKUP($B337,Jogos!$A$2:$K$105,8,FALSE))</f>
        <v/>
      </c>
      <c r="D337" s="5">
        <f>IF($B337="","",VLOOKUP($B337,Jogos!$A$2:$K$105,10,FALSE))</f>
        <v/>
      </c>
      <c r="E337" s="5" t="inlineStr"/>
      <c r="F337" s="5" t="inlineStr"/>
      <c r="G337" s="8">
        <f>IF($B337="","",VLOOKUP($B337,Jogos!$A$2:$K$105,9,FALSE))</f>
        <v/>
      </c>
      <c r="H337" s="8">
        <f>IF($B337="","",VLOOKUP($B337,Jogos!$A$2:$K$105,11,FALSE))</f>
        <v/>
      </c>
      <c r="I337" s="5">
        <f>IF(OR($A337="", $B337="", $E337="", $F337="", $G337="", $H337=""), "",IF(AND($E337=$G337, $F337=$H337), 3, IF(SIGN($E337-$F337)=SIGN($G337-$H337), 1, 0))))</f>
        <v/>
      </c>
    </row>
    <row r="338">
      <c r="A338" s="5" t="inlineStr"/>
      <c r="B338" s="5" t="inlineStr"/>
      <c r="C338" s="5">
        <f>IF($B338="","",VLOOKUP($B338,Jogos!$A$2:$K$105,8,FALSE))</f>
        <v/>
      </c>
      <c r="D338" s="5">
        <f>IF($B338="","",VLOOKUP($B338,Jogos!$A$2:$K$105,10,FALSE))</f>
        <v/>
      </c>
      <c r="E338" s="5" t="inlineStr"/>
      <c r="F338" s="5" t="inlineStr"/>
      <c r="G338" s="8">
        <f>IF($B338="","",VLOOKUP($B338,Jogos!$A$2:$K$105,9,FALSE))</f>
        <v/>
      </c>
      <c r="H338" s="8">
        <f>IF($B338="","",VLOOKUP($B338,Jogos!$A$2:$K$105,11,FALSE))</f>
        <v/>
      </c>
      <c r="I338" s="5">
        <f>IF(OR($A338="", $B338="", $E338="", $F338="", $G338="", $H338=""), "",IF(AND($E338=$G338, $F338=$H338), 3, IF(SIGN($E338-$F338)=SIGN($G338-$H338), 1, 0))))</f>
        <v/>
      </c>
    </row>
    <row r="339">
      <c r="A339" s="5" t="inlineStr"/>
      <c r="B339" s="5" t="inlineStr"/>
      <c r="C339" s="5">
        <f>IF($B339="","",VLOOKUP($B339,Jogos!$A$2:$K$105,8,FALSE))</f>
        <v/>
      </c>
      <c r="D339" s="5">
        <f>IF($B339="","",VLOOKUP($B339,Jogos!$A$2:$K$105,10,FALSE))</f>
        <v/>
      </c>
      <c r="E339" s="5" t="inlineStr"/>
      <c r="F339" s="5" t="inlineStr"/>
      <c r="G339" s="8">
        <f>IF($B339="","",VLOOKUP($B339,Jogos!$A$2:$K$105,9,FALSE))</f>
        <v/>
      </c>
      <c r="H339" s="8">
        <f>IF($B339="","",VLOOKUP($B339,Jogos!$A$2:$K$105,11,FALSE))</f>
        <v/>
      </c>
      <c r="I339" s="5">
        <f>IF(OR($A339="", $B339="", $E339="", $F339="", $G339="", $H339=""), "",IF(AND($E339=$G339, $F339=$H339), 3, IF(SIGN($E339-$F339)=SIGN($G339-$H339), 1, 0))))</f>
        <v/>
      </c>
    </row>
    <row r="340">
      <c r="A340" s="5" t="inlineStr"/>
      <c r="B340" s="5" t="inlineStr"/>
      <c r="C340" s="5">
        <f>IF($B340="","",VLOOKUP($B340,Jogos!$A$2:$K$105,8,FALSE))</f>
        <v/>
      </c>
      <c r="D340" s="5">
        <f>IF($B340="","",VLOOKUP($B340,Jogos!$A$2:$K$105,10,FALSE))</f>
        <v/>
      </c>
      <c r="E340" s="5" t="inlineStr"/>
      <c r="F340" s="5" t="inlineStr"/>
      <c r="G340" s="8">
        <f>IF($B340="","",VLOOKUP($B340,Jogos!$A$2:$K$105,9,FALSE))</f>
        <v/>
      </c>
      <c r="H340" s="8">
        <f>IF($B340="","",VLOOKUP($B340,Jogos!$A$2:$K$105,11,FALSE))</f>
        <v/>
      </c>
      <c r="I340" s="5">
        <f>IF(OR($A340="", $B340="", $E340="", $F340="", $G340="", $H340=""), "",IF(AND($E340=$G340, $F340=$H340), 3, IF(SIGN($E340-$F340)=SIGN($G340-$H340), 1, 0))))</f>
        <v/>
      </c>
    </row>
    <row r="341">
      <c r="A341" s="5" t="inlineStr"/>
      <c r="B341" s="5" t="inlineStr"/>
      <c r="C341" s="5">
        <f>IF($B341="","",VLOOKUP($B341,Jogos!$A$2:$K$105,8,FALSE))</f>
        <v/>
      </c>
      <c r="D341" s="5">
        <f>IF($B341="","",VLOOKUP($B341,Jogos!$A$2:$K$105,10,FALSE))</f>
        <v/>
      </c>
      <c r="E341" s="5" t="inlineStr"/>
      <c r="F341" s="5" t="inlineStr"/>
      <c r="G341" s="8">
        <f>IF($B341="","",VLOOKUP($B341,Jogos!$A$2:$K$105,9,FALSE))</f>
        <v/>
      </c>
      <c r="H341" s="8">
        <f>IF($B341="","",VLOOKUP($B341,Jogos!$A$2:$K$105,11,FALSE))</f>
        <v/>
      </c>
      <c r="I341" s="5">
        <f>IF(OR($A341="", $B341="", $E341="", $F341="", $G341="", $H341=""), "",IF(AND($E341=$G341, $F341=$H341), 3, IF(SIGN($E341-$F341)=SIGN($G341-$H341), 1, 0))))</f>
        <v/>
      </c>
    </row>
    <row r="342">
      <c r="A342" s="5" t="inlineStr"/>
      <c r="B342" s="5" t="inlineStr"/>
      <c r="C342" s="5">
        <f>IF($B342="","",VLOOKUP($B342,Jogos!$A$2:$K$105,8,FALSE))</f>
        <v/>
      </c>
      <c r="D342" s="5">
        <f>IF($B342="","",VLOOKUP($B342,Jogos!$A$2:$K$105,10,FALSE))</f>
        <v/>
      </c>
      <c r="E342" s="5" t="inlineStr"/>
      <c r="F342" s="5" t="inlineStr"/>
      <c r="G342" s="8">
        <f>IF($B342="","",VLOOKUP($B342,Jogos!$A$2:$K$105,9,FALSE))</f>
        <v/>
      </c>
      <c r="H342" s="8">
        <f>IF($B342="","",VLOOKUP($B342,Jogos!$A$2:$K$105,11,FALSE))</f>
        <v/>
      </c>
      <c r="I342" s="5">
        <f>IF(OR($A342="", $B342="", $E342="", $F342="", $G342="", $H342=""), "",IF(AND($E342=$G342, $F342=$H342), 3, IF(SIGN($E342-$F342)=SIGN($G342-$H342), 1, 0))))</f>
        <v/>
      </c>
    </row>
    <row r="343">
      <c r="A343" s="5" t="inlineStr"/>
      <c r="B343" s="5" t="inlineStr"/>
      <c r="C343" s="5">
        <f>IF($B343="","",VLOOKUP($B343,Jogos!$A$2:$K$105,8,FALSE))</f>
        <v/>
      </c>
      <c r="D343" s="5">
        <f>IF($B343="","",VLOOKUP($B343,Jogos!$A$2:$K$105,10,FALSE))</f>
        <v/>
      </c>
      <c r="E343" s="5" t="inlineStr"/>
      <c r="F343" s="5" t="inlineStr"/>
      <c r="G343" s="8">
        <f>IF($B343="","",VLOOKUP($B343,Jogos!$A$2:$K$105,9,FALSE))</f>
        <v/>
      </c>
      <c r="H343" s="8">
        <f>IF($B343="","",VLOOKUP($B343,Jogos!$A$2:$K$105,11,FALSE))</f>
        <v/>
      </c>
      <c r="I343" s="5">
        <f>IF(OR($A343="", $B343="", $E343="", $F343="", $G343="", $H343=""), "",IF(AND($E343=$G343, $F343=$H343), 3, IF(SIGN($E343-$F343)=SIGN($G343-$H343), 1, 0))))</f>
        <v/>
      </c>
    </row>
    <row r="344">
      <c r="A344" s="5" t="inlineStr"/>
      <c r="B344" s="5" t="inlineStr"/>
      <c r="C344" s="5">
        <f>IF($B344="","",VLOOKUP($B344,Jogos!$A$2:$K$105,8,FALSE))</f>
        <v/>
      </c>
      <c r="D344" s="5">
        <f>IF($B344="","",VLOOKUP($B344,Jogos!$A$2:$K$105,10,FALSE))</f>
        <v/>
      </c>
      <c r="E344" s="5" t="inlineStr"/>
      <c r="F344" s="5" t="inlineStr"/>
      <c r="G344" s="8">
        <f>IF($B344="","",VLOOKUP($B344,Jogos!$A$2:$K$105,9,FALSE))</f>
        <v/>
      </c>
      <c r="H344" s="8">
        <f>IF($B344="","",VLOOKUP($B344,Jogos!$A$2:$K$105,11,FALSE))</f>
        <v/>
      </c>
      <c r="I344" s="5">
        <f>IF(OR($A344="", $B344="", $E344="", $F344="", $G344="", $H344=""), "",IF(AND($E344=$G344, $F344=$H344), 3, IF(SIGN($E344-$F344)=SIGN($G344-$H344), 1, 0))))</f>
        <v/>
      </c>
    </row>
    <row r="345">
      <c r="A345" s="5" t="inlineStr"/>
      <c r="B345" s="5" t="inlineStr"/>
      <c r="C345" s="5">
        <f>IF($B345="","",VLOOKUP($B345,Jogos!$A$2:$K$105,8,FALSE))</f>
        <v/>
      </c>
      <c r="D345" s="5">
        <f>IF($B345="","",VLOOKUP($B345,Jogos!$A$2:$K$105,10,FALSE))</f>
        <v/>
      </c>
      <c r="E345" s="5" t="inlineStr"/>
      <c r="F345" s="5" t="inlineStr"/>
      <c r="G345" s="8">
        <f>IF($B345="","",VLOOKUP($B345,Jogos!$A$2:$K$105,9,FALSE))</f>
        <v/>
      </c>
      <c r="H345" s="8">
        <f>IF($B345="","",VLOOKUP($B345,Jogos!$A$2:$K$105,11,FALSE))</f>
        <v/>
      </c>
      <c r="I345" s="5">
        <f>IF(OR($A345="", $B345="", $E345="", $F345="", $G345="", $H345=""), "",IF(AND($E345=$G345, $F345=$H345), 3, IF(SIGN($E345-$F345)=SIGN($G345-$H345), 1, 0))))</f>
        <v/>
      </c>
    </row>
    <row r="346">
      <c r="A346" s="5" t="inlineStr"/>
      <c r="B346" s="5" t="inlineStr"/>
      <c r="C346" s="5">
        <f>IF($B346="","",VLOOKUP($B346,Jogos!$A$2:$K$105,8,FALSE))</f>
        <v/>
      </c>
      <c r="D346" s="5">
        <f>IF($B346="","",VLOOKUP($B346,Jogos!$A$2:$K$105,10,FALSE))</f>
        <v/>
      </c>
      <c r="E346" s="5" t="inlineStr"/>
      <c r="F346" s="5" t="inlineStr"/>
      <c r="G346" s="8">
        <f>IF($B346="","",VLOOKUP($B346,Jogos!$A$2:$K$105,9,FALSE))</f>
        <v/>
      </c>
      <c r="H346" s="8">
        <f>IF($B346="","",VLOOKUP($B346,Jogos!$A$2:$K$105,11,FALSE))</f>
        <v/>
      </c>
      <c r="I346" s="5">
        <f>IF(OR($A346="", $B346="", $E346="", $F346="", $G346="", $H346=""), "",IF(AND($E346=$G346, $F346=$H346), 3, IF(SIGN($E346-$F346)=SIGN($G346-$H346), 1, 0))))</f>
        <v/>
      </c>
    </row>
    <row r="347">
      <c r="A347" s="5" t="inlineStr"/>
      <c r="B347" s="5" t="inlineStr"/>
      <c r="C347" s="5">
        <f>IF($B347="","",VLOOKUP($B347,Jogos!$A$2:$K$105,8,FALSE))</f>
        <v/>
      </c>
      <c r="D347" s="5">
        <f>IF($B347="","",VLOOKUP($B347,Jogos!$A$2:$K$105,10,FALSE))</f>
        <v/>
      </c>
      <c r="E347" s="5" t="inlineStr"/>
      <c r="F347" s="5" t="inlineStr"/>
      <c r="G347" s="8">
        <f>IF($B347="","",VLOOKUP($B347,Jogos!$A$2:$K$105,9,FALSE))</f>
        <v/>
      </c>
      <c r="H347" s="8">
        <f>IF($B347="","",VLOOKUP($B347,Jogos!$A$2:$K$105,11,FALSE))</f>
        <v/>
      </c>
      <c r="I347" s="5">
        <f>IF(OR($A347="", $B347="", $E347="", $F347="", $G347="", $H347=""), "",IF(AND($E347=$G347, $F347=$H347), 3, IF(SIGN($E347-$F347)=SIGN($G347-$H347), 1, 0))))</f>
        <v/>
      </c>
    </row>
    <row r="348">
      <c r="A348" s="5" t="inlineStr"/>
      <c r="B348" s="5" t="inlineStr"/>
      <c r="C348" s="5">
        <f>IF($B348="","",VLOOKUP($B348,Jogos!$A$2:$K$105,8,FALSE))</f>
        <v/>
      </c>
      <c r="D348" s="5">
        <f>IF($B348="","",VLOOKUP($B348,Jogos!$A$2:$K$105,10,FALSE))</f>
        <v/>
      </c>
      <c r="E348" s="5" t="inlineStr"/>
      <c r="F348" s="5" t="inlineStr"/>
      <c r="G348" s="8">
        <f>IF($B348="","",VLOOKUP($B348,Jogos!$A$2:$K$105,9,FALSE))</f>
        <v/>
      </c>
      <c r="H348" s="8">
        <f>IF($B348="","",VLOOKUP($B348,Jogos!$A$2:$K$105,11,FALSE))</f>
        <v/>
      </c>
      <c r="I348" s="5">
        <f>IF(OR($A348="", $B348="", $E348="", $F348="", $G348="", $H348=""), "",IF(AND($E348=$G348, $F348=$H348), 3, IF(SIGN($E348-$F348)=SIGN($G348-$H348), 1, 0))))</f>
        <v/>
      </c>
    </row>
    <row r="349">
      <c r="A349" s="5" t="inlineStr"/>
      <c r="B349" s="5" t="inlineStr"/>
      <c r="C349" s="5">
        <f>IF($B349="","",VLOOKUP($B349,Jogos!$A$2:$K$105,8,FALSE))</f>
        <v/>
      </c>
      <c r="D349" s="5">
        <f>IF($B349="","",VLOOKUP($B349,Jogos!$A$2:$K$105,10,FALSE))</f>
        <v/>
      </c>
      <c r="E349" s="5" t="inlineStr"/>
      <c r="F349" s="5" t="inlineStr"/>
      <c r="G349" s="8">
        <f>IF($B349="","",VLOOKUP($B349,Jogos!$A$2:$K$105,9,FALSE))</f>
        <v/>
      </c>
      <c r="H349" s="8">
        <f>IF($B349="","",VLOOKUP($B349,Jogos!$A$2:$K$105,11,FALSE))</f>
        <v/>
      </c>
      <c r="I349" s="5">
        <f>IF(OR($A349="", $B349="", $E349="", $F349="", $G349="", $H349=""), "",IF(AND($E349=$G349, $F349=$H349), 3, IF(SIGN($E349-$F349)=SIGN($G349-$H349), 1, 0))))</f>
        <v/>
      </c>
    </row>
    <row r="350">
      <c r="A350" s="5" t="inlineStr"/>
      <c r="B350" s="5" t="inlineStr"/>
      <c r="C350" s="5">
        <f>IF($B350="","",VLOOKUP($B350,Jogos!$A$2:$K$105,8,FALSE))</f>
        <v/>
      </c>
      <c r="D350" s="5">
        <f>IF($B350="","",VLOOKUP($B350,Jogos!$A$2:$K$105,10,FALSE))</f>
        <v/>
      </c>
      <c r="E350" s="5" t="inlineStr"/>
      <c r="F350" s="5" t="inlineStr"/>
      <c r="G350" s="8">
        <f>IF($B350="","",VLOOKUP($B350,Jogos!$A$2:$K$105,9,FALSE))</f>
        <v/>
      </c>
      <c r="H350" s="8">
        <f>IF($B350="","",VLOOKUP($B350,Jogos!$A$2:$K$105,11,FALSE))</f>
        <v/>
      </c>
      <c r="I350" s="5">
        <f>IF(OR($A350="", $B350="", $E350="", $F350="", $G350="", $H350=""), "",IF(AND($E350=$G350, $F350=$H350), 3, IF(SIGN($E350-$F350)=SIGN($G350-$H350), 1, 0))))</f>
        <v/>
      </c>
    </row>
    <row r="351">
      <c r="A351" s="5" t="inlineStr"/>
      <c r="B351" s="5" t="inlineStr"/>
      <c r="C351" s="5">
        <f>IF($B351="","",VLOOKUP($B351,Jogos!$A$2:$K$105,8,FALSE))</f>
        <v/>
      </c>
      <c r="D351" s="5">
        <f>IF($B351="","",VLOOKUP($B351,Jogos!$A$2:$K$105,10,FALSE))</f>
        <v/>
      </c>
      <c r="E351" s="5" t="inlineStr"/>
      <c r="F351" s="5" t="inlineStr"/>
      <c r="G351" s="8">
        <f>IF($B351="","",VLOOKUP($B351,Jogos!$A$2:$K$105,9,FALSE))</f>
        <v/>
      </c>
      <c r="H351" s="8">
        <f>IF($B351="","",VLOOKUP($B351,Jogos!$A$2:$K$105,11,FALSE))</f>
        <v/>
      </c>
      <c r="I351" s="5">
        <f>IF(OR($A351="", $B351="", $E351="", $F351="", $G351="", $H351=""), "",IF(AND($E351=$G351, $F351=$H351), 3, IF(SIGN($E351-$F351)=SIGN($G351-$H351), 1, 0))))</f>
        <v/>
      </c>
    </row>
    <row r="352">
      <c r="A352" s="5" t="inlineStr"/>
      <c r="B352" s="5" t="inlineStr"/>
      <c r="C352" s="5">
        <f>IF($B352="","",VLOOKUP($B352,Jogos!$A$2:$K$105,8,FALSE))</f>
        <v/>
      </c>
      <c r="D352" s="5">
        <f>IF($B352="","",VLOOKUP($B352,Jogos!$A$2:$K$105,10,FALSE))</f>
        <v/>
      </c>
      <c r="E352" s="5" t="inlineStr"/>
      <c r="F352" s="5" t="inlineStr"/>
      <c r="G352" s="8">
        <f>IF($B352="","",VLOOKUP($B352,Jogos!$A$2:$K$105,9,FALSE))</f>
        <v/>
      </c>
      <c r="H352" s="8">
        <f>IF($B352="","",VLOOKUP($B352,Jogos!$A$2:$K$105,11,FALSE))</f>
        <v/>
      </c>
      <c r="I352" s="5">
        <f>IF(OR($A352="", $B352="", $E352="", $F352="", $G352="", $H352=""), "",IF(AND($E352=$G352, $F352=$H352), 3, IF(SIGN($E352-$F352)=SIGN($G352-$H352), 1, 0))))</f>
        <v/>
      </c>
    </row>
    <row r="353">
      <c r="A353" s="5" t="inlineStr"/>
      <c r="B353" s="5" t="inlineStr"/>
      <c r="C353" s="5">
        <f>IF($B353="","",VLOOKUP($B353,Jogos!$A$2:$K$105,8,FALSE))</f>
        <v/>
      </c>
      <c r="D353" s="5">
        <f>IF($B353="","",VLOOKUP($B353,Jogos!$A$2:$K$105,10,FALSE))</f>
        <v/>
      </c>
      <c r="E353" s="5" t="inlineStr"/>
      <c r="F353" s="5" t="inlineStr"/>
      <c r="G353" s="8">
        <f>IF($B353="","",VLOOKUP($B353,Jogos!$A$2:$K$105,9,FALSE))</f>
        <v/>
      </c>
      <c r="H353" s="8">
        <f>IF($B353="","",VLOOKUP($B353,Jogos!$A$2:$K$105,11,FALSE))</f>
        <v/>
      </c>
      <c r="I353" s="5">
        <f>IF(OR($A353="", $B353="", $E353="", $F353="", $G353="", $H353=""), "",IF(AND($E353=$G353, $F353=$H353), 3, IF(SIGN($E353-$F353)=SIGN($G353-$H353), 1, 0))))</f>
        <v/>
      </c>
    </row>
    <row r="354">
      <c r="A354" s="5" t="inlineStr"/>
      <c r="B354" s="5" t="inlineStr"/>
      <c r="C354" s="5">
        <f>IF($B354="","",VLOOKUP($B354,Jogos!$A$2:$K$105,8,FALSE))</f>
        <v/>
      </c>
      <c r="D354" s="5">
        <f>IF($B354="","",VLOOKUP($B354,Jogos!$A$2:$K$105,10,FALSE))</f>
        <v/>
      </c>
      <c r="E354" s="5" t="inlineStr"/>
      <c r="F354" s="5" t="inlineStr"/>
      <c r="G354" s="8">
        <f>IF($B354="","",VLOOKUP($B354,Jogos!$A$2:$K$105,9,FALSE))</f>
        <v/>
      </c>
      <c r="H354" s="8">
        <f>IF($B354="","",VLOOKUP($B354,Jogos!$A$2:$K$105,11,FALSE))</f>
        <v/>
      </c>
      <c r="I354" s="5">
        <f>IF(OR($A354="", $B354="", $E354="", $F354="", $G354="", $H354=""), "",IF(AND($E354=$G354, $F354=$H354), 3, IF(SIGN($E354-$F354)=SIGN($G354-$H354), 1, 0))))</f>
        <v/>
      </c>
    </row>
    <row r="355">
      <c r="A355" s="5" t="inlineStr"/>
      <c r="B355" s="5" t="inlineStr"/>
      <c r="C355" s="5">
        <f>IF($B355="","",VLOOKUP($B355,Jogos!$A$2:$K$105,8,FALSE))</f>
        <v/>
      </c>
      <c r="D355" s="5">
        <f>IF($B355="","",VLOOKUP($B355,Jogos!$A$2:$K$105,10,FALSE))</f>
        <v/>
      </c>
      <c r="E355" s="5" t="inlineStr"/>
      <c r="F355" s="5" t="inlineStr"/>
      <c r="G355" s="8">
        <f>IF($B355="","",VLOOKUP($B355,Jogos!$A$2:$K$105,9,FALSE))</f>
        <v/>
      </c>
      <c r="H355" s="8">
        <f>IF($B355="","",VLOOKUP($B355,Jogos!$A$2:$K$105,11,FALSE))</f>
        <v/>
      </c>
      <c r="I355" s="5">
        <f>IF(OR($A355="", $B355="", $E355="", $F355="", $G355="", $H355=""), "",IF(AND($E355=$G355, $F355=$H355), 3, IF(SIGN($E355-$F355)=SIGN($G355-$H355), 1, 0))))</f>
        <v/>
      </c>
    </row>
    <row r="356">
      <c r="A356" s="5" t="inlineStr"/>
      <c r="B356" s="5" t="inlineStr"/>
      <c r="C356" s="5">
        <f>IF($B356="","",VLOOKUP($B356,Jogos!$A$2:$K$105,8,FALSE))</f>
        <v/>
      </c>
      <c r="D356" s="5">
        <f>IF($B356="","",VLOOKUP($B356,Jogos!$A$2:$K$105,10,FALSE))</f>
        <v/>
      </c>
      <c r="E356" s="5" t="inlineStr"/>
      <c r="F356" s="5" t="inlineStr"/>
      <c r="G356" s="8">
        <f>IF($B356="","",VLOOKUP($B356,Jogos!$A$2:$K$105,9,FALSE))</f>
        <v/>
      </c>
      <c r="H356" s="8">
        <f>IF($B356="","",VLOOKUP($B356,Jogos!$A$2:$K$105,11,FALSE))</f>
        <v/>
      </c>
      <c r="I356" s="5">
        <f>IF(OR($A356="", $B356="", $E356="", $F356="", $G356="", $H356=""), "",IF(AND($E356=$G356, $F356=$H356), 3, IF(SIGN($E356-$F356)=SIGN($G356-$H356), 1, 0))))</f>
        <v/>
      </c>
    </row>
    <row r="357">
      <c r="A357" s="5" t="inlineStr"/>
      <c r="B357" s="5" t="inlineStr"/>
      <c r="C357" s="5">
        <f>IF($B357="","",VLOOKUP($B357,Jogos!$A$2:$K$105,8,FALSE))</f>
        <v/>
      </c>
      <c r="D357" s="5">
        <f>IF($B357="","",VLOOKUP($B357,Jogos!$A$2:$K$105,10,FALSE))</f>
        <v/>
      </c>
      <c r="E357" s="5" t="inlineStr"/>
      <c r="F357" s="5" t="inlineStr"/>
      <c r="G357" s="8">
        <f>IF($B357="","",VLOOKUP($B357,Jogos!$A$2:$K$105,9,FALSE))</f>
        <v/>
      </c>
      <c r="H357" s="8">
        <f>IF($B357="","",VLOOKUP($B357,Jogos!$A$2:$K$105,11,FALSE))</f>
        <v/>
      </c>
      <c r="I357" s="5">
        <f>IF(OR($A357="", $B357="", $E357="", $F357="", $G357="", $H357=""), "",IF(AND($E357=$G357, $F357=$H357), 3, IF(SIGN($E357-$F357)=SIGN($G357-$H357), 1, 0))))</f>
        <v/>
      </c>
    </row>
    <row r="358">
      <c r="A358" s="5" t="inlineStr"/>
      <c r="B358" s="5" t="inlineStr"/>
      <c r="C358" s="5">
        <f>IF($B358="","",VLOOKUP($B358,Jogos!$A$2:$K$105,8,FALSE))</f>
        <v/>
      </c>
      <c r="D358" s="5">
        <f>IF($B358="","",VLOOKUP($B358,Jogos!$A$2:$K$105,10,FALSE))</f>
        <v/>
      </c>
      <c r="E358" s="5" t="inlineStr"/>
      <c r="F358" s="5" t="inlineStr"/>
      <c r="G358" s="8">
        <f>IF($B358="","",VLOOKUP($B358,Jogos!$A$2:$K$105,9,FALSE))</f>
        <v/>
      </c>
      <c r="H358" s="8">
        <f>IF($B358="","",VLOOKUP($B358,Jogos!$A$2:$K$105,11,FALSE))</f>
        <v/>
      </c>
      <c r="I358" s="5">
        <f>IF(OR($A358="", $B358="", $E358="", $F358="", $G358="", $H358=""), "",IF(AND($E358=$G358, $F358=$H358), 3, IF(SIGN($E358-$F358)=SIGN($G358-$H358), 1, 0))))</f>
        <v/>
      </c>
    </row>
    <row r="359">
      <c r="A359" s="5" t="inlineStr"/>
      <c r="B359" s="5" t="inlineStr"/>
      <c r="C359" s="5">
        <f>IF($B359="","",VLOOKUP($B359,Jogos!$A$2:$K$105,8,FALSE))</f>
        <v/>
      </c>
      <c r="D359" s="5">
        <f>IF($B359="","",VLOOKUP($B359,Jogos!$A$2:$K$105,10,FALSE))</f>
        <v/>
      </c>
      <c r="E359" s="5" t="inlineStr"/>
      <c r="F359" s="5" t="inlineStr"/>
      <c r="G359" s="8">
        <f>IF($B359="","",VLOOKUP($B359,Jogos!$A$2:$K$105,9,FALSE))</f>
        <v/>
      </c>
      <c r="H359" s="8">
        <f>IF($B359="","",VLOOKUP($B359,Jogos!$A$2:$K$105,11,FALSE))</f>
        <v/>
      </c>
      <c r="I359" s="5">
        <f>IF(OR($A359="", $B359="", $E359="", $F359="", $G359="", $H359=""), "",IF(AND($E359=$G359, $F359=$H359), 3, IF(SIGN($E359-$F359)=SIGN($G359-$H359), 1, 0))))</f>
        <v/>
      </c>
    </row>
    <row r="360">
      <c r="A360" s="5" t="inlineStr"/>
      <c r="B360" s="5" t="inlineStr"/>
      <c r="C360" s="5">
        <f>IF($B360="","",VLOOKUP($B360,Jogos!$A$2:$K$105,8,FALSE))</f>
        <v/>
      </c>
      <c r="D360" s="5">
        <f>IF($B360="","",VLOOKUP($B360,Jogos!$A$2:$K$105,10,FALSE))</f>
        <v/>
      </c>
      <c r="E360" s="5" t="inlineStr"/>
      <c r="F360" s="5" t="inlineStr"/>
      <c r="G360" s="8">
        <f>IF($B360="","",VLOOKUP($B360,Jogos!$A$2:$K$105,9,FALSE))</f>
        <v/>
      </c>
      <c r="H360" s="8">
        <f>IF($B360="","",VLOOKUP($B360,Jogos!$A$2:$K$105,11,FALSE))</f>
        <v/>
      </c>
      <c r="I360" s="5">
        <f>IF(OR($A360="", $B360="", $E360="", $F360="", $G360="", $H360=""), "",IF(AND($E360=$G360, $F360=$H360), 3, IF(SIGN($E360-$F360)=SIGN($G360-$H360), 1, 0))))</f>
        <v/>
      </c>
    </row>
    <row r="361">
      <c r="A361" s="5" t="inlineStr"/>
      <c r="B361" s="5" t="inlineStr"/>
      <c r="C361" s="5">
        <f>IF($B361="","",VLOOKUP($B361,Jogos!$A$2:$K$105,8,FALSE))</f>
        <v/>
      </c>
      <c r="D361" s="5">
        <f>IF($B361="","",VLOOKUP($B361,Jogos!$A$2:$K$105,10,FALSE))</f>
        <v/>
      </c>
      <c r="E361" s="5" t="inlineStr"/>
      <c r="F361" s="5" t="inlineStr"/>
      <c r="G361" s="8">
        <f>IF($B361="","",VLOOKUP($B361,Jogos!$A$2:$K$105,9,FALSE))</f>
        <v/>
      </c>
      <c r="H361" s="8">
        <f>IF($B361="","",VLOOKUP($B361,Jogos!$A$2:$K$105,11,FALSE))</f>
        <v/>
      </c>
      <c r="I361" s="5">
        <f>IF(OR($A361="", $B361="", $E361="", $F361="", $G361="", $H361=""), "",IF(AND($E361=$G361, $F361=$H361), 3, IF(SIGN($E361-$F361)=SIGN($G361-$H361), 1, 0))))</f>
        <v/>
      </c>
    </row>
    <row r="362">
      <c r="A362" s="5" t="inlineStr"/>
      <c r="B362" s="5" t="inlineStr"/>
      <c r="C362" s="5">
        <f>IF($B362="","",VLOOKUP($B362,Jogos!$A$2:$K$105,8,FALSE))</f>
        <v/>
      </c>
      <c r="D362" s="5">
        <f>IF($B362="","",VLOOKUP($B362,Jogos!$A$2:$K$105,10,FALSE))</f>
        <v/>
      </c>
      <c r="E362" s="5" t="inlineStr"/>
      <c r="F362" s="5" t="inlineStr"/>
      <c r="G362" s="8">
        <f>IF($B362="","",VLOOKUP($B362,Jogos!$A$2:$K$105,9,FALSE))</f>
        <v/>
      </c>
      <c r="H362" s="8">
        <f>IF($B362="","",VLOOKUP($B362,Jogos!$A$2:$K$105,11,FALSE))</f>
        <v/>
      </c>
      <c r="I362" s="5">
        <f>IF(OR($A362="", $B362="", $E362="", $F362="", $G362="", $H362=""), "",IF(AND($E362=$G362, $F362=$H362), 3, IF(SIGN($E362-$F362)=SIGN($G362-$H362), 1, 0))))</f>
        <v/>
      </c>
    </row>
    <row r="363">
      <c r="A363" s="5" t="inlineStr"/>
      <c r="B363" s="5" t="inlineStr"/>
      <c r="C363" s="5">
        <f>IF($B363="","",VLOOKUP($B363,Jogos!$A$2:$K$105,8,FALSE))</f>
        <v/>
      </c>
      <c r="D363" s="5">
        <f>IF($B363="","",VLOOKUP($B363,Jogos!$A$2:$K$105,10,FALSE))</f>
        <v/>
      </c>
      <c r="E363" s="5" t="inlineStr"/>
      <c r="F363" s="5" t="inlineStr"/>
      <c r="G363" s="8">
        <f>IF($B363="","",VLOOKUP($B363,Jogos!$A$2:$K$105,9,FALSE))</f>
        <v/>
      </c>
      <c r="H363" s="8">
        <f>IF($B363="","",VLOOKUP($B363,Jogos!$A$2:$K$105,11,FALSE))</f>
        <v/>
      </c>
      <c r="I363" s="5">
        <f>IF(OR($A363="", $B363="", $E363="", $F363="", $G363="", $H363=""), "",IF(AND($E363=$G363, $F363=$H363), 3, IF(SIGN($E363-$F363)=SIGN($G363-$H363), 1, 0))))</f>
        <v/>
      </c>
    </row>
    <row r="364">
      <c r="A364" s="5" t="inlineStr"/>
      <c r="B364" s="5" t="inlineStr"/>
      <c r="C364" s="5">
        <f>IF($B364="","",VLOOKUP($B364,Jogos!$A$2:$K$105,8,FALSE))</f>
        <v/>
      </c>
      <c r="D364" s="5">
        <f>IF($B364="","",VLOOKUP($B364,Jogos!$A$2:$K$105,10,FALSE))</f>
        <v/>
      </c>
      <c r="E364" s="5" t="inlineStr"/>
      <c r="F364" s="5" t="inlineStr"/>
      <c r="G364" s="8">
        <f>IF($B364="","",VLOOKUP($B364,Jogos!$A$2:$K$105,9,FALSE))</f>
        <v/>
      </c>
      <c r="H364" s="8">
        <f>IF($B364="","",VLOOKUP($B364,Jogos!$A$2:$K$105,11,FALSE))</f>
        <v/>
      </c>
      <c r="I364" s="5">
        <f>IF(OR($A364="", $B364="", $E364="", $F364="", $G364="", $H364=""), "",IF(AND($E364=$G364, $F364=$H364), 3, IF(SIGN($E364-$F364)=SIGN($G364-$H364), 1, 0))))</f>
        <v/>
      </c>
    </row>
    <row r="365">
      <c r="A365" s="5" t="inlineStr"/>
      <c r="B365" s="5" t="inlineStr"/>
      <c r="C365" s="5">
        <f>IF($B365="","",VLOOKUP($B365,Jogos!$A$2:$K$105,8,FALSE))</f>
        <v/>
      </c>
      <c r="D365" s="5">
        <f>IF($B365="","",VLOOKUP($B365,Jogos!$A$2:$K$105,10,FALSE))</f>
        <v/>
      </c>
      <c r="E365" s="5" t="inlineStr"/>
      <c r="F365" s="5" t="inlineStr"/>
      <c r="G365" s="8">
        <f>IF($B365="","",VLOOKUP($B365,Jogos!$A$2:$K$105,9,FALSE))</f>
        <v/>
      </c>
      <c r="H365" s="8">
        <f>IF($B365="","",VLOOKUP($B365,Jogos!$A$2:$K$105,11,FALSE))</f>
        <v/>
      </c>
      <c r="I365" s="5">
        <f>IF(OR($A365="", $B365="", $E365="", $F365="", $G365="", $H365=""), "",IF(AND($E365=$G365, $F365=$H365), 3, IF(SIGN($E365-$F365)=SIGN($G365-$H365), 1, 0))))</f>
        <v/>
      </c>
    </row>
    <row r="366">
      <c r="A366" s="5" t="inlineStr"/>
      <c r="B366" s="5" t="inlineStr"/>
      <c r="C366" s="5">
        <f>IF($B366="","",VLOOKUP($B366,Jogos!$A$2:$K$105,8,FALSE))</f>
        <v/>
      </c>
      <c r="D366" s="5">
        <f>IF($B366="","",VLOOKUP($B366,Jogos!$A$2:$K$105,10,FALSE))</f>
        <v/>
      </c>
      <c r="E366" s="5" t="inlineStr"/>
      <c r="F366" s="5" t="inlineStr"/>
      <c r="G366" s="8">
        <f>IF($B366="","",VLOOKUP($B366,Jogos!$A$2:$K$105,9,FALSE))</f>
        <v/>
      </c>
      <c r="H366" s="8">
        <f>IF($B366="","",VLOOKUP($B366,Jogos!$A$2:$K$105,11,FALSE))</f>
        <v/>
      </c>
      <c r="I366" s="5">
        <f>IF(OR($A366="", $B366="", $E366="", $F366="", $G366="", $H366=""), "",IF(AND($E366=$G366, $F366=$H366), 3, IF(SIGN($E366-$F366)=SIGN($G366-$H366), 1, 0))))</f>
        <v/>
      </c>
    </row>
    <row r="367">
      <c r="A367" s="5" t="inlineStr"/>
      <c r="B367" s="5" t="inlineStr"/>
      <c r="C367" s="5">
        <f>IF($B367="","",VLOOKUP($B367,Jogos!$A$2:$K$105,8,FALSE))</f>
        <v/>
      </c>
      <c r="D367" s="5">
        <f>IF($B367="","",VLOOKUP($B367,Jogos!$A$2:$K$105,10,FALSE))</f>
        <v/>
      </c>
      <c r="E367" s="5" t="inlineStr"/>
      <c r="F367" s="5" t="inlineStr"/>
      <c r="G367" s="8">
        <f>IF($B367="","",VLOOKUP($B367,Jogos!$A$2:$K$105,9,FALSE))</f>
        <v/>
      </c>
      <c r="H367" s="8">
        <f>IF($B367="","",VLOOKUP($B367,Jogos!$A$2:$K$105,11,FALSE))</f>
        <v/>
      </c>
      <c r="I367" s="5">
        <f>IF(OR($A367="", $B367="", $E367="", $F367="", $G367="", $H367=""), "",IF(AND($E367=$G367, $F367=$H367), 3, IF(SIGN($E367-$F367)=SIGN($G367-$H367), 1, 0))))</f>
        <v/>
      </c>
    </row>
    <row r="368">
      <c r="A368" s="5" t="inlineStr"/>
      <c r="B368" s="5" t="inlineStr"/>
      <c r="C368" s="5">
        <f>IF($B368="","",VLOOKUP($B368,Jogos!$A$2:$K$105,8,FALSE))</f>
        <v/>
      </c>
      <c r="D368" s="5">
        <f>IF($B368="","",VLOOKUP($B368,Jogos!$A$2:$K$105,10,FALSE))</f>
        <v/>
      </c>
      <c r="E368" s="5" t="inlineStr"/>
      <c r="F368" s="5" t="inlineStr"/>
      <c r="G368" s="8">
        <f>IF($B368="","",VLOOKUP($B368,Jogos!$A$2:$K$105,9,FALSE))</f>
        <v/>
      </c>
      <c r="H368" s="8">
        <f>IF($B368="","",VLOOKUP($B368,Jogos!$A$2:$K$105,11,FALSE))</f>
        <v/>
      </c>
      <c r="I368" s="5">
        <f>IF(OR($A368="", $B368="", $E368="", $F368="", $G368="", $H368=""), "",IF(AND($E368=$G368, $F368=$H368), 3, IF(SIGN($E368-$F368)=SIGN($G368-$H368), 1, 0))))</f>
        <v/>
      </c>
    </row>
    <row r="369">
      <c r="A369" s="5" t="inlineStr"/>
      <c r="B369" s="5" t="inlineStr"/>
      <c r="C369" s="5">
        <f>IF($B369="","",VLOOKUP($B369,Jogos!$A$2:$K$105,8,FALSE))</f>
        <v/>
      </c>
      <c r="D369" s="5">
        <f>IF($B369="","",VLOOKUP($B369,Jogos!$A$2:$K$105,10,FALSE))</f>
        <v/>
      </c>
      <c r="E369" s="5" t="inlineStr"/>
      <c r="F369" s="5" t="inlineStr"/>
      <c r="G369" s="8">
        <f>IF($B369="","",VLOOKUP($B369,Jogos!$A$2:$K$105,9,FALSE))</f>
        <v/>
      </c>
      <c r="H369" s="8">
        <f>IF($B369="","",VLOOKUP($B369,Jogos!$A$2:$K$105,11,FALSE))</f>
        <v/>
      </c>
      <c r="I369" s="5">
        <f>IF(OR($A369="", $B369="", $E369="", $F369="", $G369="", $H369=""), "",IF(AND($E369=$G369, $F369=$H369), 3, IF(SIGN($E369-$F369)=SIGN($G369-$H369), 1, 0))))</f>
        <v/>
      </c>
    </row>
    <row r="370">
      <c r="A370" s="5" t="inlineStr"/>
      <c r="B370" s="5" t="inlineStr"/>
      <c r="C370" s="5">
        <f>IF($B370="","",VLOOKUP($B370,Jogos!$A$2:$K$105,8,FALSE))</f>
        <v/>
      </c>
      <c r="D370" s="5">
        <f>IF($B370="","",VLOOKUP($B370,Jogos!$A$2:$K$105,10,FALSE))</f>
        <v/>
      </c>
      <c r="E370" s="5" t="inlineStr"/>
      <c r="F370" s="5" t="inlineStr"/>
      <c r="G370" s="8">
        <f>IF($B370="","",VLOOKUP($B370,Jogos!$A$2:$K$105,9,FALSE))</f>
        <v/>
      </c>
      <c r="H370" s="8">
        <f>IF($B370="","",VLOOKUP($B370,Jogos!$A$2:$K$105,11,FALSE))</f>
        <v/>
      </c>
      <c r="I370" s="5">
        <f>IF(OR($A370="", $B370="", $E370="", $F370="", $G370="", $H370=""), "",IF(AND($E370=$G370, $F370=$H370), 3, IF(SIGN($E370-$F370)=SIGN($G370-$H370), 1, 0))))</f>
        <v/>
      </c>
    </row>
    <row r="371">
      <c r="A371" s="5" t="inlineStr"/>
      <c r="B371" s="5" t="inlineStr"/>
      <c r="C371" s="5">
        <f>IF($B371="","",VLOOKUP($B371,Jogos!$A$2:$K$105,8,FALSE))</f>
        <v/>
      </c>
      <c r="D371" s="5">
        <f>IF($B371="","",VLOOKUP($B371,Jogos!$A$2:$K$105,10,FALSE))</f>
        <v/>
      </c>
      <c r="E371" s="5" t="inlineStr"/>
      <c r="F371" s="5" t="inlineStr"/>
      <c r="G371" s="8">
        <f>IF($B371="","",VLOOKUP($B371,Jogos!$A$2:$K$105,9,FALSE))</f>
        <v/>
      </c>
      <c r="H371" s="8">
        <f>IF($B371="","",VLOOKUP($B371,Jogos!$A$2:$K$105,11,FALSE))</f>
        <v/>
      </c>
      <c r="I371" s="5">
        <f>IF(OR($A371="", $B371="", $E371="", $F371="", $G371="", $H371=""), "",IF(AND($E371=$G371, $F371=$H371), 3, IF(SIGN($E371-$F371)=SIGN($G371-$H371), 1, 0))))</f>
        <v/>
      </c>
    </row>
    <row r="372">
      <c r="A372" s="5" t="inlineStr"/>
      <c r="B372" s="5" t="inlineStr"/>
      <c r="C372" s="5">
        <f>IF($B372="","",VLOOKUP($B372,Jogos!$A$2:$K$105,8,FALSE))</f>
        <v/>
      </c>
      <c r="D372" s="5">
        <f>IF($B372="","",VLOOKUP($B372,Jogos!$A$2:$K$105,10,FALSE))</f>
        <v/>
      </c>
      <c r="E372" s="5" t="inlineStr"/>
      <c r="F372" s="5" t="inlineStr"/>
      <c r="G372" s="8">
        <f>IF($B372="","",VLOOKUP($B372,Jogos!$A$2:$K$105,9,FALSE))</f>
        <v/>
      </c>
      <c r="H372" s="8">
        <f>IF($B372="","",VLOOKUP($B372,Jogos!$A$2:$K$105,11,FALSE))</f>
        <v/>
      </c>
      <c r="I372" s="5">
        <f>IF(OR($A372="", $B372="", $E372="", $F372="", $G372="", $H372=""), "",IF(AND($E372=$G372, $F372=$H372), 3, IF(SIGN($E372-$F372)=SIGN($G372-$H372), 1, 0))))</f>
        <v/>
      </c>
    </row>
    <row r="373">
      <c r="A373" s="5" t="inlineStr"/>
      <c r="B373" s="5" t="inlineStr"/>
      <c r="C373" s="5">
        <f>IF($B373="","",VLOOKUP($B373,Jogos!$A$2:$K$105,8,FALSE))</f>
        <v/>
      </c>
      <c r="D373" s="5">
        <f>IF($B373="","",VLOOKUP($B373,Jogos!$A$2:$K$105,10,FALSE))</f>
        <v/>
      </c>
      <c r="E373" s="5" t="inlineStr"/>
      <c r="F373" s="5" t="inlineStr"/>
      <c r="G373" s="8">
        <f>IF($B373="","",VLOOKUP($B373,Jogos!$A$2:$K$105,9,FALSE))</f>
        <v/>
      </c>
      <c r="H373" s="8">
        <f>IF($B373="","",VLOOKUP($B373,Jogos!$A$2:$K$105,11,FALSE))</f>
        <v/>
      </c>
      <c r="I373" s="5">
        <f>IF(OR($A373="", $B373="", $E373="", $F373="", $G373="", $H373=""), "",IF(AND($E373=$G373, $F373=$H373), 3, IF(SIGN($E373-$F373)=SIGN($G373-$H373), 1, 0))))</f>
        <v/>
      </c>
    </row>
    <row r="374">
      <c r="A374" s="5" t="inlineStr"/>
      <c r="B374" s="5" t="inlineStr"/>
      <c r="C374" s="5">
        <f>IF($B374="","",VLOOKUP($B374,Jogos!$A$2:$K$105,8,FALSE))</f>
        <v/>
      </c>
      <c r="D374" s="5">
        <f>IF($B374="","",VLOOKUP($B374,Jogos!$A$2:$K$105,10,FALSE))</f>
        <v/>
      </c>
      <c r="E374" s="5" t="inlineStr"/>
      <c r="F374" s="5" t="inlineStr"/>
      <c r="G374" s="8">
        <f>IF($B374="","",VLOOKUP($B374,Jogos!$A$2:$K$105,9,FALSE))</f>
        <v/>
      </c>
      <c r="H374" s="8">
        <f>IF($B374="","",VLOOKUP($B374,Jogos!$A$2:$K$105,11,FALSE))</f>
        <v/>
      </c>
      <c r="I374" s="5">
        <f>IF(OR($A374="", $B374="", $E374="", $F374="", $G374="", $H374=""), "",IF(AND($E374=$G374, $F374=$H374), 3, IF(SIGN($E374-$F374)=SIGN($G374-$H374), 1, 0))))</f>
        <v/>
      </c>
    </row>
    <row r="375">
      <c r="A375" s="5" t="inlineStr"/>
      <c r="B375" s="5" t="inlineStr"/>
      <c r="C375" s="5">
        <f>IF($B375="","",VLOOKUP($B375,Jogos!$A$2:$K$105,8,FALSE))</f>
        <v/>
      </c>
      <c r="D375" s="5">
        <f>IF($B375="","",VLOOKUP($B375,Jogos!$A$2:$K$105,10,FALSE))</f>
        <v/>
      </c>
      <c r="E375" s="5" t="inlineStr"/>
      <c r="F375" s="5" t="inlineStr"/>
      <c r="G375" s="8">
        <f>IF($B375="","",VLOOKUP($B375,Jogos!$A$2:$K$105,9,FALSE))</f>
        <v/>
      </c>
      <c r="H375" s="8">
        <f>IF($B375="","",VLOOKUP($B375,Jogos!$A$2:$K$105,11,FALSE))</f>
        <v/>
      </c>
      <c r="I375" s="5">
        <f>IF(OR($A375="", $B375="", $E375="", $F375="", $G375="", $H375=""), "",IF(AND($E375=$G375, $F375=$H375), 3, IF(SIGN($E375-$F375)=SIGN($G375-$H375), 1, 0))))</f>
        <v/>
      </c>
    </row>
    <row r="376">
      <c r="A376" s="5" t="inlineStr"/>
      <c r="B376" s="5" t="inlineStr"/>
      <c r="C376" s="5">
        <f>IF($B376="","",VLOOKUP($B376,Jogos!$A$2:$K$105,8,FALSE))</f>
        <v/>
      </c>
      <c r="D376" s="5">
        <f>IF($B376="","",VLOOKUP($B376,Jogos!$A$2:$K$105,10,FALSE))</f>
        <v/>
      </c>
      <c r="E376" s="5" t="inlineStr"/>
      <c r="F376" s="5" t="inlineStr"/>
      <c r="G376" s="8">
        <f>IF($B376="","",VLOOKUP($B376,Jogos!$A$2:$K$105,9,FALSE))</f>
        <v/>
      </c>
      <c r="H376" s="8">
        <f>IF($B376="","",VLOOKUP($B376,Jogos!$A$2:$K$105,11,FALSE))</f>
        <v/>
      </c>
      <c r="I376" s="5">
        <f>IF(OR($A376="", $B376="", $E376="", $F376="", $G376="", $H376=""), "",IF(AND($E376=$G376, $F376=$H376), 3, IF(SIGN($E376-$F376)=SIGN($G376-$H376), 1, 0))))</f>
        <v/>
      </c>
    </row>
    <row r="377">
      <c r="A377" s="5" t="inlineStr"/>
      <c r="B377" s="5" t="inlineStr"/>
      <c r="C377" s="5">
        <f>IF($B377="","",VLOOKUP($B377,Jogos!$A$2:$K$105,8,FALSE))</f>
        <v/>
      </c>
      <c r="D377" s="5">
        <f>IF($B377="","",VLOOKUP($B377,Jogos!$A$2:$K$105,10,FALSE))</f>
        <v/>
      </c>
      <c r="E377" s="5" t="inlineStr"/>
      <c r="F377" s="5" t="inlineStr"/>
      <c r="G377" s="8">
        <f>IF($B377="","",VLOOKUP($B377,Jogos!$A$2:$K$105,9,FALSE))</f>
        <v/>
      </c>
      <c r="H377" s="8">
        <f>IF($B377="","",VLOOKUP($B377,Jogos!$A$2:$K$105,11,FALSE))</f>
        <v/>
      </c>
      <c r="I377" s="5">
        <f>IF(OR($A377="", $B377="", $E377="", $F377="", $G377="", $H377=""), "",IF(AND($E377=$G377, $F377=$H377), 3, IF(SIGN($E377-$F377)=SIGN($G377-$H377), 1, 0))))</f>
        <v/>
      </c>
    </row>
    <row r="378">
      <c r="A378" s="5" t="inlineStr"/>
      <c r="B378" s="5" t="inlineStr"/>
      <c r="C378" s="5">
        <f>IF($B378="","",VLOOKUP($B378,Jogos!$A$2:$K$105,8,FALSE))</f>
        <v/>
      </c>
      <c r="D378" s="5">
        <f>IF($B378="","",VLOOKUP($B378,Jogos!$A$2:$K$105,10,FALSE))</f>
        <v/>
      </c>
      <c r="E378" s="5" t="inlineStr"/>
      <c r="F378" s="5" t="inlineStr"/>
      <c r="G378" s="8">
        <f>IF($B378="","",VLOOKUP($B378,Jogos!$A$2:$K$105,9,FALSE))</f>
        <v/>
      </c>
      <c r="H378" s="8">
        <f>IF($B378="","",VLOOKUP($B378,Jogos!$A$2:$K$105,11,FALSE))</f>
        <v/>
      </c>
      <c r="I378" s="5">
        <f>IF(OR($A378="", $B378="", $E378="", $F378="", $G378="", $H378=""), "",IF(AND($E378=$G378, $F378=$H378), 3, IF(SIGN($E378-$F378)=SIGN($G378-$H378), 1, 0))))</f>
        <v/>
      </c>
    </row>
    <row r="379">
      <c r="A379" s="5" t="inlineStr"/>
      <c r="B379" s="5" t="inlineStr"/>
      <c r="C379" s="5">
        <f>IF($B379="","",VLOOKUP($B379,Jogos!$A$2:$K$105,8,FALSE))</f>
        <v/>
      </c>
      <c r="D379" s="5">
        <f>IF($B379="","",VLOOKUP($B379,Jogos!$A$2:$K$105,10,FALSE))</f>
        <v/>
      </c>
      <c r="E379" s="5" t="inlineStr"/>
      <c r="F379" s="5" t="inlineStr"/>
      <c r="G379" s="8">
        <f>IF($B379="","",VLOOKUP($B379,Jogos!$A$2:$K$105,9,FALSE))</f>
        <v/>
      </c>
      <c r="H379" s="8">
        <f>IF($B379="","",VLOOKUP($B379,Jogos!$A$2:$K$105,11,FALSE))</f>
        <v/>
      </c>
      <c r="I379" s="5">
        <f>IF(OR($A379="", $B379="", $E379="", $F379="", $G379="", $H379=""), "",IF(AND($E379=$G379, $F379=$H379), 3, IF(SIGN($E379-$F379)=SIGN($G379-$H379), 1, 0))))</f>
        <v/>
      </c>
    </row>
    <row r="380">
      <c r="A380" s="5" t="inlineStr"/>
      <c r="B380" s="5" t="inlineStr"/>
      <c r="C380" s="5">
        <f>IF($B380="","",VLOOKUP($B380,Jogos!$A$2:$K$105,8,FALSE))</f>
        <v/>
      </c>
      <c r="D380" s="5">
        <f>IF($B380="","",VLOOKUP($B380,Jogos!$A$2:$K$105,10,FALSE))</f>
        <v/>
      </c>
      <c r="E380" s="5" t="inlineStr"/>
      <c r="F380" s="5" t="inlineStr"/>
      <c r="G380" s="8">
        <f>IF($B380="","",VLOOKUP($B380,Jogos!$A$2:$K$105,9,FALSE))</f>
        <v/>
      </c>
      <c r="H380" s="8">
        <f>IF($B380="","",VLOOKUP($B380,Jogos!$A$2:$K$105,11,FALSE))</f>
        <v/>
      </c>
      <c r="I380" s="5">
        <f>IF(OR($A380="", $B380="", $E380="", $F380="", $G380="", $H380=""), "",IF(AND($E380=$G380, $F380=$H380), 3, IF(SIGN($E380-$F380)=SIGN($G380-$H380), 1, 0))))</f>
        <v/>
      </c>
    </row>
    <row r="381">
      <c r="A381" s="5" t="inlineStr"/>
      <c r="B381" s="5" t="inlineStr"/>
      <c r="C381" s="5">
        <f>IF($B381="","",VLOOKUP($B381,Jogos!$A$2:$K$105,8,FALSE))</f>
        <v/>
      </c>
      <c r="D381" s="5">
        <f>IF($B381="","",VLOOKUP($B381,Jogos!$A$2:$K$105,10,FALSE))</f>
        <v/>
      </c>
      <c r="E381" s="5" t="inlineStr"/>
      <c r="F381" s="5" t="inlineStr"/>
      <c r="G381" s="8">
        <f>IF($B381="","",VLOOKUP($B381,Jogos!$A$2:$K$105,9,FALSE))</f>
        <v/>
      </c>
      <c r="H381" s="8">
        <f>IF($B381="","",VLOOKUP($B381,Jogos!$A$2:$K$105,11,FALSE))</f>
        <v/>
      </c>
      <c r="I381" s="5">
        <f>IF(OR($A381="", $B381="", $E381="", $F381="", $G381="", $H381=""), "",IF(AND($E381=$G381, $F381=$H381), 3, IF(SIGN($E381-$F381)=SIGN($G381-$H381), 1, 0))))</f>
        <v/>
      </c>
    </row>
    <row r="382">
      <c r="A382" s="5" t="inlineStr"/>
      <c r="B382" s="5" t="inlineStr"/>
      <c r="C382" s="5">
        <f>IF($B382="","",VLOOKUP($B382,Jogos!$A$2:$K$105,8,FALSE))</f>
        <v/>
      </c>
      <c r="D382" s="5">
        <f>IF($B382="","",VLOOKUP($B382,Jogos!$A$2:$K$105,10,FALSE))</f>
        <v/>
      </c>
      <c r="E382" s="5" t="inlineStr"/>
      <c r="F382" s="5" t="inlineStr"/>
      <c r="G382" s="8">
        <f>IF($B382="","",VLOOKUP($B382,Jogos!$A$2:$K$105,9,FALSE))</f>
        <v/>
      </c>
      <c r="H382" s="8">
        <f>IF($B382="","",VLOOKUP($B382,Jogos!$A$2:$K$105,11,FALSE))</f>
        <v/>
      </c>
      <c r="I382" s="5">
        <f>IF(OR($A382="", $B382="", $E382="", $F382="", $G382="", $H382=""), "",IF(AND($E382=$G382, $F382=$H382), 3, IF(SIGN($E382-$F382)=SIGN($G382-$H382), 1, 0))))</f>
        <v/>
      </c>
    </row>
    <row r="383">
      <c r="A383" s="5" t="inlineStr"/>
      <c r="B383" s="5" t="inlineStr"/>
      <c r="C383" s="5">
        <f>IF($B383="","",VLOOKUP($B383,Jogos!$A$2:$K$105,8,FALSE))</f>
        <v/>
      </c>
      <c r="D383" s="5">
        <f>IF($B383="","",VLOOKUP($B383,Jogos!$A$2:$K$105,10,FALSE))</f>
        <v/>
      </c>
      <c r="E383" s="5" t="inlineStr"/>
      <c r="F383" s="5" t="inlineStr"/>
      <c r="G383" s="8">
        <f>IF($B383="","",VLOOKUP($B383,Jogos!$A$2:$K$105,9,FALSE))</f>
        <v/>
      </c>
      <c r="H383" s="8">
        <f>IF($B383="","",VLOOKUP($B383,Jogos!$A$2:$K$105,11,FALSE))</f>
        <v/>
      </c>
      <c r="I383" s="5">
        <f>IF(OR($A383="", $B383="", $E383="", $F383="", $G383="", $H383=""), "",IF(AND($E383=$G383, $F383=$H383), 3, IF(SIGN($E383-$F383)=SIGN($G383-$H383), 1, 0))))</f>
        <v/>
      </c>
    </row>
    <row r="384">
      <c r="A384" s="5" t="inlineStr"/>
      <c r="B384" s="5" t="inlineStr"/>
      <c r="C384" s="5">
        <f>IF($B384="","",VLOOKUP($B384,Jogos!$A$2:$K$105,8,FALSE))</f>
        <v/>
      </c>
      <c r="D384" s="5">
        <f>IF($B384="","",VLOOKUP($B384,Jogos!$A$2:$K$105,10,FALSE))</f>
        <v/>
      </c>
      <c r="E384" s="5" t="inlineStr"/>
      <c r="F384" s="5" t="inlineStr"/>
      <c r="G384" s="8">
        <f>IF($B384="","",VLOOKUP($B384,Jogos!$A$2:$K$105,9,FALSE))</f>
        <v/>
      </c>
      <c r="H384" s="8">
        <f>IF($B384="","",VLOOKUP($B384,Jogos!$A$2:$K$105,11,FALSE))</f>
        <v/>
      </c>
      <c r="I384" s="5">
        <f>IF(OR($A384="", $B384="", $E384="", $F384="", $G384="", $H384=""), "",IF(AND($E384=$G384, $F384=$H384), 3, IF(SIGN($E384-$F384)=SIGN($G384-$H384), 1, 0))))</f>
        <v/>
      </c>
    </row>
    <row r="385">
      <c r="A385" s="5" t="inlineStr"/>
      <c r="B385" s="5" t="inlineStr"/>
      <c r="C385" s="5">
        <f>IF($B385="","",VLOOKUP($B385,Jogos!$A$2:$K$105,8,FALSE))</f>
        <v/>
      </c>
      <c r="D385" s="5">
        <f>IF($B385="","",VLOOKUP($B385,Jogos!$A$2:$K$105,10,FALSE))</f>
        <v/>
      </c>
      <c r="E385" s="5" t="inlineStr"/>
      <c r="F385" s="5" t="inlineStr"/>
      <c r="G385" s="8">
        <f>IF($B385="","",VLOOKUP($B385,Jogos!$A$2:$K$105,9,FALSE))</f>
        <v/>
      </c>
      <c r="H385" s="8">
        <f>IF($B385="","",VLOOKUP($B385,Jogos!$A$2:$K$105,11,FALSE))</f>
        <v/>
      </c>
      <c r="I385" s="5">
        <f>IF(OR($A385="", $B385="", $E385="", $F385="", $G385="", $H385=""), "",IF(AND($E385=$G385, $F385=$H385), 3, IF(SIGN($E385-$F385)=SIGN($G385-$H385), 1, 0))))</f>
        <v/>
      </c>
    </row>
    <row r="386">
      <c r="A386" s="5" t="inlineStr"/>
      <c r="B386" s="5" t="inlineStr"/>
      <c r="C386" s="5">
        <f>IF($B386="","",VLOOKUP($B386,Jogos!$A$2:$K$105,8,FALSE))</f>
        <v/>
      </c>
      <c r="D386" s="5">
        <f>IF($B386="","",VLOOKUP($B386,Jogos!$A$2:$K$105,10,FALSE))</f>
        <v/>
      </c>
      <c r="E386" s="5" t="inlineStr"/>
      <c r="F386" s="5" t="inlineStr"/>
      <c r="G386" s="8">
        <f>IF($B386="","",VLOOKUP($B386,Jogos!$A$2:$K$105,9,FALSE))</f>
        <v/>
      </c>
      <c r="H386" s="8">
        <f>IF($B386="","",VLOOKUP($B386,Jogos!$A$2:$K$105,11,FALSE))</f>
        <v/>
      </c>
      <c r="I386" s="5">
        <f>IF(OR($A386="", $B386="", $E386="", $F386="", $G386="", $H386=""), "",IF(AND($E386=$G386, $F386=$H386), 3, IF(SIGN($E386-$F386)=SIGN($G386-$H386), 1, 0))))</f>
        <v/>
      </c>
    </row>
    <row r="387">
      <c r="A387" s="5" t="inlineStr"/>
      <c r="B387" s="5" t="inlineStr"/>
      <c r="C387" s="5">
        <f>IF($B387="","",VLOOKUP($B387,Jogos!$A$2:$K$105,8,FALSE))</f>
        <v/>
      </c>
      <c r="D387" s="5">
        <f>IF($B387="","",VLOOKUP($B387,Jogos!$A$2:$K$105,10,FALSE))</f>
        <v/>
      </c>
      <c r="E387" s="5" t="inlineStr"/>
      <c r="F387" s="5" t="inlineStr"/>
      <c r="G387" s="8">
        <f>IF($B387="","",VLOOKUP($B387,Jogos!$A$2:$K$105,9,FALSE))</f>
        <v/>
      </c>
      <c r="H387" s="8">
        <f>IF($B387="","",VLOOKUP($B387,Jogos!$A$2:$K$105,11,FALSE))</f>
        <v/>
      </c>
      <c r="I387" s="5">
        <f>IF(OR($A387="", $B387="", $E387="", $F387="", $G387="", $H387=""), "",IF(AND($E387=$G387, $F387=$H387), 3, IF(SIGN($E387-$F387)=SIGN($G387-$H387), 1, 0))))</f>
        <v/>
      </c>
    </row>
    <row r="388">
      <c r="A388" s="5" t="inlineStr"/>
      <c r="B388" s="5" t="inlineStr"/>
      <c r="C388" s="5">
        <f>IF($B388="","",VLOOKUP($B388,Jogos!$A$2:$K$105,8,FALSE))</f>
        <v/>
      </c>
      <c r="D388" s="5">
        <f>IF($B388="","",VLOOKUP($B388,Jogos!$A$2:$K$105,10,FALSE))</f>
        <v/>
      </c>
      <c r="E388" s="5" t="inlineStr"/>
      <c r="F388" s="5" t="inlineStr"/>
      <c r="G388" s="8">
        <f>IF($B388="","",VLOOKUP($B388,Jogos!$A$2:$K$105,9,FALSE))</f>
        <v/>
      </c>
      <c r="H388" s="8">
        <f>IF($B388="","",VLOOKUP($B388,Jogos!$A$2:$K$105,11,FALSE))</f>
        <v/>
      </c>
      <c r="I388" s="5">
        <f>IF(OR($A388="", $B388="", $E388="", $F388="", $G388="", $H388=""), "",IF(AND($E388=$G388, $F388=$H388), 3, IF(SIGN($E388-$F388)=SIGN($G388-$H388), 1, 0))))</f>
        <v/>
      </c>
    </row>
    <row r="389">
      <c r="A389" s="5" t="inlineStr"/>
      <c r="B389" s="5" t="inlineStr"/>
      <c r="C389" s="5">
        <f>IF($B389="","",VLOOKUP($B389,Jogos!$A$2:$K$105,8,FALSE))</f>
        <v/>
      </c>
      <c r="D389" s="5">
        <f>IF($B389="","",VLOOKUP($B389,Jogos!$A$2:$K$105,10,FALSE))</f>
        <v/>
      </c>
      <c r="E389" s="5" t="inlineStr"/>
      <c r="F389" s="5" t="inlineStr"/>
      <c r="G389" s="8">
        <f>IF($B389="","",VLOOKUP($B389,Jogos!$A$2:$K$105,9,FALSE))</f>
        <v/>
      </c>
      <c r="H389" s="8">
        <f>IF($B389="","",VLOOKUP($B389,Jogos!$A$2:$K$105,11,FALSE))</f>
        <v/>
      </c>
      <c r="I389" s="5">
        <f>IF(OR($A389="", $B389="", $E389="", $F389="", $G389="", $H389=""), "",IF(AND($E389=$G389, $F389=$H389), 3, IF(SIGN($E389-$F389)=SIGN($G389-$H389), 1, 0))))</f>
        <v/>
      </c>
    </row>
    <row r="390">
      <c r="A390" s="5" t="inlineStr"/>
      <c r="B390" s="5" t="inlineStr"/>
      <c r="C390" s="5">
        <f>IF($B390="","",VLOOKUP($B390,Jogos!$A$2:$K$105,8,FALSE))</f>
        <v/>
      </c>
      <c r="D390" s="5">
        <f>IF($B390="","",VLOOKUP($B390,Jogos!$A$2:$K$105,10,FALSE))</f>
        <v/>
      </c>
      <c r="E390" s="5" t="inlineStr"/>
      <c r="F390" s="5" t="inlineStr"/>
      <c r="G390" s="8">
        <f>IF($B390="","",VLOOKUP($B390,Jogos!$A$2:$K$105,9,FALSE))</f>
        <v/>
      </c>
      <c r="H390" s="8">
        <f>IF($B390="","",VLOOKUP($B390,Jogos!$A$2:$K$105,11,FALSE))</f>
        <v/>
      </c>
      <c r="I390" s="5">
        <f>IF(OR($A390="", $B390="", $E390="", $F390="", $G390="", $H390=""), "",IF(AND($E390=$G390, $F390=$H390), 3, IF(SIGN($E390-$F390)=SIGN($G390-$H390), 1, 0))))</f>
        <v/>
      </c>
    </row>
    <row r="391">
      <c r="A391" s="5" t="inlineStr"/>
      <c r="B391" s="5" t="inlineStr"/>
      <c r="C391" s="5">
        <f>IF($B391="","",VLOOKUP($B391,Jogos!$A$2:$K$105,8,FALSE))</f>
        <v/>
      </c>
      <c r="D391" s="5">
        <f>IF($B391="","",VLOOKUP($B391,Jogos!$A$2:$K$105,10,FALSE))</f>
        <v/>
      </c>
      <c r="E391" s="5" t="inlineStr"/>
      <c r="F391" s="5" t="inlineStr"/>
      <c r="G391" s="8">
        <f>IF($B391="","",VLOOKUP($B391,Jogos!$A$2:$K$105,9,FALSE))</f>
        <v/>
      </c>
      <c r="H391" s="8">
        <f>IF($B391="","",VLOOKUP($B391,Jogos!$A$2:$K$105,11,FALSE))</f>
        <v/>
      </c>
      <c r="I391" s="5">
        <f>IF(OR($A391="", $B391="", $E391="", $F391="", $G391="", $H391=""), "",IF(AND($E391=$G391, $F391=$H391), 3, IF(SIGN($E391-$F391)=SIGN($G391-$H391), 1, 0))))</f>
        <v/>
      </c>
    </row>
    <row r="392">
      <c r="A392" s="5" t="inlineStr"/>
      <c r="B392" s="5" t="inlineStr"/>
      <c r="C392" s="5">
        <f>IF($B392="","",VLOOKUP($B392,Jogos!$A$2:$K$105,8,FALSE))</f>
        <v/>
      </c>
      <c r="D392" s="5">
        <f>IF($B392="","",VLOOKUP($B392,Jogos!$A$2:$K$105,10,FALSE))</f>
        <v/>
      </c>
      <c r="E392" s="5" t="inlineStr"/>
      <c r="F392" s="5" t="inlineStr"/>
      <c r="G392" s="8">
        <f>IF($B392="","",VLOOKUP($B392,Jogos!$A$2:$K$105,9,FALSE))</f>
        <v/>
      </c>
      <c r="H392" s="8">
        <f>IF($B392="","",VLOOKUP($B392,Jogos!$A$2:$K$105,11,FALSE))</f>
        <v/>
      </c>
      <c r="I392" s="5">
        <f>IF(OR($A392="", $B392="", $E392="", $F392="", $G392="", $H392=""), "",IF(AND($E392=$G392, $F392=$H392), 3, IF(SIGN($E392-$F392)=SIGN($G392-$H392), 1, 0))))</f>
        <v/>
      </c>
    </row>
    <row r="393">
      <c r="A393" s="5" t="inlineStr"/>
      <c r="B393" s="5" t="inlineStr"/>
      <c r="C393" s="5">
        <f>IF($B393="","",VLOOKUP($B393,Jogos!$A$2:$K$105,8,FALSE))</f>
        <v/>
      </c>
      <c r="D393" s="5">
        <f>IF($B393="","",VLOOKUP($B393,Jogos!$A$2:$K$105,10,FALSE))</f>
        <v/>
      </c>
      <c r="E393" s="5" t="inlineStr"/>
      <c r="F393" s="5" t="inlineStr"/>
      <c r="G393" s="8">
        <f>IF($B393="","",VLOOKUP($B393,Jogos!$A$2:$K$105,9,FALSE))</f>
        <v/>
      </c>
      <c r="H393" s="8">
        <f>IF($B393="","",VLOOKUP($B393,Jogos!$A$2:$K$105,11,FALSE))</f>
        <v/>
      </c>
      <c r="I393" s="5">
        <f>IF(OR($A393="", $B393="", $E393="", $F393="", $G393="", $H393=""), "",IF(AND($E393=$G393, $F393=$H393), 3, IF(SIGN($E393-$F393)=SIGN($G393-$H393), 1, 0))))</f>
        <v/>
      </c>
    </row>
    <row r="394">
      <c r="A394" s="5" t="inlineStr"/>
      <c r="B394" s="5" t="inlineStr"/>
      <c r="C394" s="5">
        <f>IF($B394="","",VLOOKUP($B394,Jogos!$A$2:$K$105,8,FALSE))</f>
        <v/>
      </c>
      <c r="D394" s="5">
        <f>IF($B394="","",VLOOKUP($B394,Jogos!$A$2:$K$105,10,FALSE))</f>
        <v/>
      </c>
      <c r="E394" s="5" t="inlineStr"/>
      <c r="F394" s="5" t="inlineStr"/>
      <c r="G394" s="8">
        <f>IF($B394="","",VLOOKUP($B394,Jogos!$A$2:$K$105,9,FALSE))</f>
        <v/>
      </c>
      <c r="H394" s="8">
        <f>IF($B394="","",VLOOKUP($B394,Jogos!$A$2:$K$105,11,FALSE))</f>
        <v/>
      </c>
      <c r="I394" s="5">
        <f>IF(OR($A394="", $B394="", $E394="", $F394="", $G394="", $H394=""), "",IF(AND($E394=$G394, $F394=$H394), 3, IF(SIGN($E394-$F394)=SIGN($G394-$H394), 1, 0))))</f>
        <v/>
      </c>
    </row>
    <row r="395">
      <c r="A395" s="5" t="inlineStr"/>
      <c r="B395" s="5" t="inlineStr"/>
      <c r="C395" s="5">
        <f>IF($B395="","",VLOOKUP($B395,Jogos!$A$2:$K$105,8,FALSE))</f>
        <v/>
      </c>
      <c r="D395" s="5">
        <f>IF($B395="","",VLOOKUP($B395,Jogos!$A$2:$K$105,10,FALSE))</f>
        <v/>
      </c>
      <c r="E395" s="5" t="inlineStr"/>
      <c r="F395" s="5" t="inlineStr"/>
      <c r="G395" s="8">
        <f>IF($B395="","",VLOOKUP($B395,Jogos!$A$2:$K$105,9,FALSE))</f>
        <v/>
      </c>
      <c r="H395" s="8">
        <f>IF($B395="","",VLOOKUP($B395,Jogos!$A$2:$K$105,11,FALSE))</f>
        <v/>
      </c>
      <c r="I395" s="5">
        <f>IF(OR($A395="", $B395="", $E395="", $F395="", $G395="", $H395=""), "",IF(AND($E395=$G395, $F395=$H395), 3, IF(SIGN($E395-$F395)=SIGN($G395-$H395), 1, 0))))</f>
        <v/>
      </c>
    </row>
    <row r="396">
      <c r="A396" s="5" t="inlineStr"/>
      <c r="B396" s="5" t="inlineStr"/>
      <c r="C396" s="5">
        <f>IF($B396="","",VLOOKUP($B396,Jogos!$A$2:$K$105,8,FALSE))</f>
        <v/>
      </c>
      <c r="D396" s="5">
        <f>IF($B396="","",VLOOKUP($B396,Jogos!$A$2:$K$105,10,FALSE))</f>
        <v/>
      </c>
      <c r="E396" s="5" t="inlineStr"/>
      <c r="F396" s="5" t="inlineStr"/>
      <c r="G396" s="8">
        <f>IF($B396="","",VLOOKUP($B396,Jogos!$A$2:$K$105,9,FALSE))</f>
        <v/>
      </c>
      <c r="H396" s="8">
        <f>IF($B396="","",VLOOKUP($B396,Jogos!$A$2:$K$105,11,FALSE))</f>
        <v/>
      </c>
      <c r="I396" s="5">
        <f>IF(OR($A396="", $B396="", $E396="", $F396="", $G396="", $H396=""), "",IF(AND($E396=$G396, $F396=$H396), 3, IF(SIGN($E396-$F396)=SIGN($G396-$H396), 1, 0))))</f>
        <v/>
      </c>
    </row>
    <row r="397">
      <c r="A397" s="5" t="inlineStr"/>
      <c r="B397" s="5" t="inlineStr"/>
      <c r="C397" s="5">
        <f>IF($B397="","",VLOOKUP($B397,Jogos!$A$2:$K$105,8,FALSE))</f>
        <v/>
      </c>
      <c r="D397" s="5">
        <f>IF($B397="","",VLOOKUP($B397,Jogos!$A$2:$K$105,10,FALSE))</f>
        <v/>
      </c>
      <c r="E397" s="5" t="inlineStr"/>
      <c r="F397" s="5" t="inlineStr"/>
      <c r="G397" s="8">
        <f>IF($B397="","",VLOOKUP($B397,Jogos!$A$2:$K$105,9,FALSE))</f>
        <v/>
      </c>
      <c r="H397" s="8">
        <f>IF($B397="","",VLOOKUP($B397,Jogos!$A$2:$K$105,11,FALSE))</f>
        <v/>
      </c>
      <c r="I397" s="5">
        <f>IF(OR($A397="", $B397="", $E397="", $F397="", $G397="", $H397=""), "",IF(AND($E397=$G397, $F397=$H397), 3, IF(SIGN($E397-$F397)=SIGN($G397-$H397), 1, 0))))</f>
        <v/>
      </c>
    </row>
    <row r="398">
      <c r="A398" s="5" t="inlineStr"/>
      <c r="B398" s="5" t="inlineStr"/>
      <c r="C398" s="5">
        <f>IF($B398="","",VLOOKUP($B398,Jogos!$A$2:$K$105,8,FALSE))</f>
        <v/>
      </c>
      <c r="D398" s="5">
        <f>IF($B398="","",VLOOKUP($B398,Jogos!$A$2:$K$105,10,FALSE))</f>
        <v/>
      </c>
      <c r="E398" s="5" t="inlineStr"/>
      <c r="F398" s="5" t="inlineStr"/>
      <c r="G398" s="8">
        <f>IF($B398="","",VLOOKUP($B398,Jogos!$A$2:$K$105,9,FALSE))</f>
        <v/>
      </c>
      <c r="H398" s="8">
        <f>IF($B398="","",VLOOKUP($B398,Jogos!$A$2:$K$105,11,FALSE))</f>
        <v/>
      </c>
      <c r="I398" s="5">
        <f>IF(OR($A398="", $B398="", $E398="", $F398="", $G398="", $H398=""), "",IF(AND($E398=$G398, $F398=$H398), 3, IF(SIGN($E398-$F398)=SIGN($G398-$H398), 1, 0))))</f>
        <v/>
      </c>
    </row>
    <row r="399">
      <c r="A399" s="5" t="inlineStr"/>
      <c r="B399" s="5" t="inlineStr"/>
      <c r="C399" s="5">
        <f>IF($B399="","",VLOOKUP($B399,Jogos!$A$2:$K$105,8,FALSE))</f>
        <v/>
      </c>
      <c r="D399" s="5">
        <f>IF($B399="","",VLOOKUP($B399,Jogos!$A$2:$K$105,10,FALSE))</f>
        <v/>
      </c>
      <c r="E399" s="5" t="inlineStr"/>
      <c r="F399" s="5" t="inlineStr"/>
      <c r="G399" s="8">
        <f>IF($B399="","",VLOOKUP($B399,Jogos!$A$2:$K$105,9,FALSE))</f>
        <v/>
      </c>
      <c r="H399" s="8">
        <f>IF($B399="","",VLOOKUP($B399,Jogos!$A$2:$K$105,11,FALSE))</f>
        <v/>
      </c>
      <c r="I399" s="5">
        <f>IF(OR($A399="", $B399="", $E399="", $F399="", $G399="", $H399=""), "",IF(AND($E399=$G399, $F399=$H399), 3, IF(SIGN($E399-$F399)=SIGN($G399-$H399), 1, 0))))</f>
        <v/>
      </c>
    </row>
    <row r="400">
      <c r="A400" s="5" t="inlineStr"/>
      <c r="B400" s="5" t="inlineStr"/>
      <c r="C400" s="5">
        <f>IF($B400="","",VLOOKUP($B400,Jogos!$A$2:$K$105,8,FALSE))</f>
        <v/>
      </c>
      <c r="D400" s="5">
        <f>IF($B400="","",VLOOKUP($B400,Jogos!$A$2:$K$105,10,FALSE))</f>
        <v/>
      </c>
      <c r="E400" s="5" t="inlineStr"/>
      <c r="F400" s="5" t="inlineStr"/>
      <c r="G400" s="8">
        <f>IF($B400="","",VLOOKUP($B400,Jogos!$A$2:$K$105,9,FALSE))</f>
        <v/>
      </c>
      <c r="H400" s="8">
        <f>IF($B400="","",VLOOKUP($B400,Jogos!$A$2:$K$105,11,FALSE))</f>
        <v/>
      </c>
      <c r="I400" s="5">
        <f>IF(OR($A400="", $B400="", $E400="", $F400="", $G400="", $H400=""), "",IF(AND($E400=$G400, $F400=$H400), 3, IF(SIGN($E400-$F400)=SIGN($G400-$H400), 1, 0))))</f>
        <v/>
      </c>
    </row>
    <row r="401">
      <c r="A401" s="5" t="inlineStr"/>
      <c r="B401" s="5" t="inlineStr"/>
      <c r="C401" s="5">
        <f>IF($B401="","",VLOOKUP($B401,Jogos!$A$2:$K$105,8,FALSE))</f>
        <v/>
      </c>
      <c r="D401" s="5">
        <f>IF($B401="","",VLOOKUP($B401,Jogos!$A$2:$K$105,10,FALSE))</f>
        <v/>
      </c>
      <c r="E401" s="5" t="inlineStr"/>
      <c r="F401" s="5" t="inlineStr"/>
      <c r="G401" s="8">
        <f>IF($B401="","",VLOOKUP($B401,Jogos!$A$2:$K$105,9,FALSE))</f>
        <v/>
      </c>
      <c r="H401" s="8">
        <f>IF($B401="","",VLOOKUP($B401,Jogos!$A$2:$K$105,11,FALSE))</f>
        <v/>
      </c>
      <c r="I401" s="5">
        <f>IF(OR($A401="", $B401="", $E401="", $F401="", $G401="", $H401=""), "",IF(AND($E401=$G401, $F401=$H401), 3, IF(SIGN($E401-$F401)=SIGN($G401-$H401), 1, 0))))</f>
        <v/>
      </c>
    </row>
    <row r="402">
      <c r="A402" s="5" t="inlineStr"/>
      <c r="B402" s="5" t="inlineStr"/>
      <c r="C402" s="5">
        <f>IF($B402="","",VLOOKUP($B402,Jogos!$A$2:$K$105,8,FALSE))</f>
        <v/>
      </c>
      <c r="D402" s="5">
        <f>IF($B402="","",VLOOKUP($B402,Jogos!$A$2:$K$105,10,FALSE))</f>
        <v/>
      </c>
      <c r="E402" s="5" t="inlineStr"/>
      <c r="F402" s="5" t="inlineStr"/>
      <c r="G402" s="8">
        <f>IF($B402="","",VLOOKUP($B402,Jogos!$A$2:$K$105,9,FALSE))</f>
        <v/>
      </c>
      <c r="H402" s="8">
        <f>IF($B402="","",VLOOKUP($B402,Jogos!$A$2:$K$105,11,FALSE))</f>
        <v/>
      </c>
      <c r="I402" s="5">
        <f>IF(OR($A402="", $B402="", $E402="", $F402="", $G402="", $H402=""), "",IF(AND($E402=$G402, $F402=$H402), 3, IF(SIGN($E402-$F402)=SIGN($G402-$H402), 1, 0))))</f>
        <v/>
      </c>
    </row>
    <row r="403">
      <c r="A403" s="5" t="inlineStr"/>
      <c r="B403" s="5" t="inlineStr"/>
      <c r="C403" s="5">
        <f>IF($B403="","",VLOOKUP($B403,Jogos!$A$2:$K$105,8,FALSE))</f>
        <v/>
      </c>
      <c r="D403" s="5">
        <f>IF($B403="","",VLOOKUP($B403,Jogos!$A$2:$K$105,10,FALSE))</f>
        <v/>
      </c>
      <c r="E403" s="5" t="inlineStr"/>
      <c r="F403" s="5" t="inlineStr"/>
      <c r="G403" s="8">
        <f>IF($B403="","",VLOOKUP($B403,Jogos!$A$2:$K$105,9,FALSE))</f>
        <v/>
      </c>
      <c r="H403" s="8">
        <f>IF($B403="","",VLOOKUP($B403,Jogos!$A$2:$K$105,11,FALSE))</f>
        <v/>
      </c>
      <c r="I403" s="5">
        <f>IF(OR($A403="", $B403="", $E403="", $F403="", $G403="", $H403=""), "",IF(AND($E403=$G403, $F403=$H403), 3, IF(SIGN($E403-$F403)=SIGN($G403-$H403), 1, 0))))</f>
        <v/>
      </c>
    </row>
    <row r="404">
      <c r="A404" s="5" t="inlineStr"/>
      <c r="B404" s="5" t="inlineStr"/>
      <c r="C404" s="5">
        <f>IF($B404="","",VLOOKUP($B404,Jogos!$A$2:$K$105,8,FALSE))</f>
        <v/>
      </c>
      <c r="D404" s="5">
        <f>IF($B404="","",VLOOKUP($B404,Jogos!$A$2:$K$105,10,FALSE))</f>
        <v/>
      </c>
      <c r="E404" s="5" t="inlineStr"/>
      <c r="F404" s="5" t="inlineStr"/>
      <c r="G404" s="8">
        <f>IF($B404="","",VLOOKUP($B404,Jogos!$A$2:$K$105,9,FALSE))</f>
        <v/>
      </c>
      <c r="H404" s="8">
        <f>IF($B404="","",VLOOKUP($B404,Jogos!$A$2:$K$105,11,FALSE))</f>
        <v/>
      </c>
      <c r="I404" s="5">
        <f>IF(OR($A404="", $B404="", $E404="", $F404="", $G404="", $H404=""), "",IF(AND($E404=$G404, $F404=$H404), 3, IF(SIGN($E404-$F404)=SIGN($G404-$H404), 1, 0))))</f>
        <v/>
      </c>
    </row>
    <row r="405">
      <c r="A405" s="5" t="inlineStr"/>
      <c r="B405" s="5" t="inlineStr"/>
      <c r="C405" s="5">
        <f>IF($B405="","",VLOOKUP($B405,Jogos!$A$2:$K$105,8,FALSE))</f>
        <v/>
      </c>
      <c r="D405" s="5">
        <f>IF($B405="","",VLOOKUP($B405,Jogos!$A$2:$K$105,10,FALSE))</f>
        <v/>
      </c>
      <c r="E405" s="5" t="inlineStr"/>
      <c r="F405" s="5" t="inlineStr"/>
      <c r="G405" s="8">
        <f>IF($B405="","",VLOOKUP($B405,Jogos!$A$2:$K$105,9,FALSE))</f>
        <v/>
      </c>
      <c r="H405" s="8">
        <f>IF($B405="","",VLOOKUP($B405,Jogos!$A$2:$K$105,11,FALSE))</f>
        <v/>
      </c>
      <c r="I405" s="5">
        <f>IF(OR($A405="", $B405="", $E405="", $F405="", $G405="", $H405=""), "",IF(AND($E405=$G405, $F405=$H405), 3, IF(SIGN($E405-$F405)=SIGN($G405-$H405), 1, 0))))</f>
        <v/>
      </c>
    </row>
    <row r="406">
      <c r="A406" s="5" t="inlineStr"/>
      <c r="B406" s="5" t="inlineStr"/>
      <c r="C406" s="5">
        <f>IF($B406="","",VLOOKUP($B406,Jogos!$A$2:$K$105,8,FALSE))</f>
        <v/>
      </c>
      <c r="D406" s="5">
        <f>IF($B406="","",VLOOKUP($B406,Jogos!$A$2:$K$105,10,FALSE))</f>
        <v/>
      </c>
      <c r="E406" s="5" t="inlineStr"/>
      <c r="F406" s="5" t="inlineStr"/>
      <c r="G406" s="8">
        <f>IF($B406="","",VLOOKUP($B406,Jogos!$A$2:$K$105,9,FALSE))</f>
        <v/>
      </c>
      <c r="H406" s="8">
        <f>IF($B406="","",VLOOKUP($B406,Jogos!$A$2:$K$105,11,FALSE))</f>
        <v/>
      </c>
      <c r="I406" s="5">
        <f>IF(OR($A406="", $B406="", $E406="", $F406="", $G406="", $H406=""), "",IF(AND($E406=$G406, $F406=$H406), 3, IF(SIGN($E406-$F406)=SIGN($G406-$H406), 1, 0))))</f>
        <v/>
      </c>
    </row>
    <row r="407">
      <c r="A407" s="5" t="inlineStr"/>
      <c r="B407" s="5" t="inlineStr"/>
      <c r="C407" s="5">
        <f>IF($B407="","",VLOOKUP($B407,Jogos!$A$2:$K$105,8,FALSE))</f>
        <v/>
      </c>
      <c r="D407" s="5">
        <f>IF($B407="","",VLOOKUP($B407,Jogos!$A$2:$K$105,10,FALSE))</f>
        <v/>
      </c>
      <c r="E407" s="5" t="inlineStr"/>
      <c r="F407" s="5" t="inlineStr"/>
      <c r="G407" s="8">
        <f>IF($B407="","",VLOOKUP($B407,Jogos!$A$2:$K$105,9,FALSE))</f>
        <v/>
      </c>
      <c r="H407" s="8">
        <f>IF($B407="","",VLOOKUP($B407,Jogos!$A$2:$K$105,11,FALSE))</f>
        <v/>
      </c>
      <c r="I407" s="5">
        <f>IF(OR($A407="", $B407="", $E407="", $F407="", $G407="", $H407=""), "",IF(AND($E407=$G407, $F407=$H407), 3, IF(SIGN($E407-$F407)=SIGN($G407-$H407), 1, 0))))</f>
        <v/>
      </c>
    </row>
    <row r="408">
      <c r="A408" s="5" t="inlineStr"/>
      <c r="B408" s="5" t="inlineStr"/>
      <c r="C408" s="5">
        <f>IF($B408="","",VLOOKUP($B408,Jogos!$A$2:$K$105,8,FALSE))</f>
        <v/>
      </c>
      <c r="D408" s="5">
        <f>IF($B408="","",VLOOKUP($B408,Jogos!$A$2:$K$105,10,FALSE))</f>
        <v/>
      </c>
      <c r="E408" s="5" t="inlineStr"/>
      <c r="F408" s="5" t="inlineStr"/>
      <c r="G408" s="8">
        <f>IF($B408="","",VLOOKUP($B408,Jogos!$A$2:$K$105,9,FALSE))</f>
        <v/>
      </c>
      <c r="H408" s="8">
        <f>IF($B408="","",VLOOKUP($B408,Jogos!$A$2:$K$105,11,FALSE))</f>
        <v/>
      </c>
      <c r="I408" s="5">
        <f>IF(OR($A408="", $B408="", $E408="", $F408="", $G408="", $H408=""), "",IF(AND($E408=$G408, $F408=$H408), 3, IF(SIGN($E408-$F408)=SIGN($G408-$H408), 1, 0))))</f>
        <v/>
      </c>
    </row>
    <row r="409">
      <c r="A409" s="5" t="inlineStr"/>
      <c r="B409" s="5" t="inlineStr"/>
      <c r="C409" s="5">
        <f>IF($B409="","",VLOOKUP($B409,Jogos!$A$2:$K$105,8,FALSE))</f>
        <v/>
      </c>
      <c r="D409" s="5">
        <f>IF($B409="","",VLOOKUP($B409,Jogos!$A$2:$K$105,10,FALSE))</f>
        <v/>
      </c>
      <c r="E409" s="5" t="inlineStr"/>
      <c r="F409" s="5" t="inlineStr"/>
      <c r="G409" s="8">
        <f>IF($B409="","",VLOOKUP($B409,Jogos!$A$2:$K$105,9,FALSE))</f>
        <v/>
      </c>
      <c r="H409" s="8">
        <f>IF($B409="","",VLOOKUP($B409,Jogos!$A$2:$K$105,11,FALSE))</f>
        <v/>
      </c>
      <c r="I409" s="5">
        <f>IF(OR($A409="", $B409="", $E409="", $F409="", $G409="", $H409=""), "",IF(AND($E409=$G409, $F409=$H409), 3, IF(SIGN($E409-$F409)=SIGN($G409-$H409), 1, 0))))</f>
        <v/>
      </c>
    </row>
    <row r="410">
      <c r="A410" s="5" t="inlineStr"/>
      <c r="B410" s="5" t="inlineStr"/>
      <c r="C410" s="5">
        <f>IF($B410="","",VLOOKUP($B410,Jogos!$A$2:$K$105,8,FALSE))</f>
        <v/>
      </c>
      <c r="D410" s="5">
        <f>IF($B410="","",VLOOKUP($B410,Jogos!$A$2:$K$105,10,FALSE))</f>
        <v/>
      </c>
      <c r="E410" s="5" t="inlineStr"/>
      <c r="F410" s="5" t="inlineStr"/>
      <c r="G410" s="8">
        <f>IF($B410="","",VLOOKUP($B410,Jogos!$A$2:$K$105,9,FALSE))</f>
        <v/>
      </c>
      <c r="H410" s="8">
        <f>IF($B410="","",VLOOKUP($B410,Jogos!$A$2:$K$105,11,FALSE))</f>
        <v/>
      </c>
      <c r="I410" s="5">
        <f>IF(OR($A410="", $B410="", $E410="", $F410="", $G410="", $H410=""), "",IF(AND($E410=$G410, $F410=$H410), 3, IF(SIGN($E410-$F410)=SIGN($G410-$H410), 1, 0))))</f>
        <v/>
      </c>
    </row>
    <row r="411">
      <c r="A411" s="5" t="inlineStr"/>
      <c r="B411" s="5" t="inlineStr"/>
      <c r="C411" s="5">
        <f>IF($B411="","",VLOOKUP($B411,Jogos!$A$2:$K$105,8,FALSE))</f>
        <v/>
      </c>
      <c r="D411" s="5">
        <f>IF($B411="","",VLOOKUP($B411,Jogos!$A$2:$K$105,10,FALSE))</f>
        <v/>
      </c>
      <c r="E411" s="5" t="inlineStr"/>
      <c r="F411" s="5" t="inlineStr"/>
      <c r="G411" s="8">
        <f>IF($B411="","",VLOOKUP($B411,Jogos!$A$2:$K$105,9,FALSE))</f>
        <v/>
      </c>
      <c r="H411" s="8">
        <f>IF($B411="","",VLOOKUP($B411,Jogos!$A$2:$K$105,11,FALSE))</f>
        <v/>
      </c>
      <c r="I411" s="5">
        <f>IF(OR($A411="", $B411="", $E411="", $F411="", $G411="", $H411=""), "",IF(AND($E411=$G411, $F411=$H411), 3, IF(SIGN($E411-$F411)=SIGN($G411-$H411), 1, 0))))</f>
        <v/>
      </c>
    </row>
    <row r="412">
      <c r="A412" s="5" t="inlineStr"/>
      <c r="B412" s="5" t="inlineStr"/>
      <c r="C412" s="5">
        <f>IF($B412="","",VLOOKUP($B412,Jogos!$A$2:$K$105,8,FALSE))</f>
        <v/>
      </c>
      <c r="D412" s="5">
        <f>IF($B412="","",VLOOKUP($B412,Jogos!$A$2:$K$105,10,FALSE))</f>
        <v/>
      </c>
      <c r="E412" s="5" t="inlineStr"/>
      <c r="F412" s="5" t="inlineStr"/>
      <c r="G412" s="8">
        <f>IF($B412="","",VLOOKUP($B412,Jogos!$A$2:$K$105,9,FALSE))</f>
        <v/>
      </c>
      <c r="H412" s="8">
        <f>IF($B412="","",VLOOKUP($B412,Jogos!$A$2:$K$105,11,FALSE))</f>
        <v/>
      </c>
      <c r="I412" s="5">
        <f>IF(OR($A412="", $B412="", $E412="", $F412="", $G412="", $H412=""), "",IF(AND($E412=$G412, $F412=$H412), 3, IF(SIGN($E412-$F412)=SIGN($G412-$H412), 1, 0))))</f>
        <v/>
      </c>
    </row>
    <row r="413">
      <c r="A413" s="5" t="inlineStr"/>
      <c r="B413" s="5" t="inlineStr"/>
      <c r="C413" s="5">
        <f>IF($B413="","",VLOOKUP($B413,Jogos!$A$2:$K$105,8,FALSE))</f>
        <v/>
      </c>
      <c r="D413" s="5">
        <f>IF($B413="","",VLOOKUP($B413,Jogos!$A$2:$K$105,10,FALSE))</f>
        <v/>
      </c>
      <c r="E413" s="5" t="inlineStr"/>
      <c r="F413" s="5" t="inlineStr"/>
      <c r="G413" s="8">
        <f>IF($B413="","",VLOOKUP($B413,Jogos!$A$2:$K$105,9,FALSE))</f>
        <v/>
      </c>
      <c r="H413" s="8">
        <f>IF($B413="","",VLOOKUP($B413,Jogos!$A$2:$K$105,11,FALSE))</f>
        <v/>
      </c>
      <c r="I413" s="5">
        <f>IF(OR($A413="", $B413="", $E413="", $F413="", $G413="", $H413=""), "",IF(AND($E413=$G413, $F413=$H413), 3, IF(SIGN($E413-$F413)=SIGN($G413-$H413), 1, 0))))</f>
        <v/>
      </c>
    </row>
    <row r="414">
      <c r="A414" s="5" t="inlineStr"/>
      <c r="B414" s="5" t="inlineStr"/>
      <c r="C414" s="5">
        <f>IF($B414="","",VLOOKUP($B414,Jogos!$A$2:$K$105,8,FALSE))</f>
        <v/>
      </c>
      <c r="D414" s="5">
        <f>IF($B414="","",VLOOKUP($B414,Jogos!$A$2:$K$105,10,FALSE))</f>
        <v/>
      </c>
      <c r="E414" s="5" t="inlineStr"/>
      <c r="F414" s="5" t="inlineStr"/>
      <c r="G414" s="8">
        <f>IF($B414="","",VLOOKUP($B414,Jogos!$A$2:$K$105,9,FALSE))</f>
        <v/>
      </c>
      <c r="H414" s="8">
        <f>IF($B414="","",VLOOKUP($B414,Jogos!$A$2:$K$105,11,FALSE))</f>
        <v/>
      </c>
      <c r="I414" s="5">
        <f>IF(OR($A414="", $B414="", $E414="", $F414="", $G414="", $H414=""), "",IF(AND($E414=$G414, $F414=$H414), 3, IF(SIGN($E414-$F414)=SIGN($G414-$H414), 1, 0))))</f>
        <v/>
      </c>
    </row>
    <row r="415">
      <c r="A415" s="5" t="inlineStr"/>
      <c r="B415" s="5" t="inlineStr"/>
      <c r="C415" s="5">
        <f>IF($B415="","",VLOOKUP($B415,Jogos!$A$2:$K$105,8,FALSE))</f>
        <v/>
      </c>
      <c r="D415" s="5">
        <f>IF($B415="","",VLOOKUP($B415,Jogos!$A$2:$K$105,10,FALSE))</f>
        <v/>
      </c>
      <c r="E415" s="5" t="inlineStr"/>
      <c r="F415" s="5" t="inlineStr"/>
      <c r="G415" s="8">
        <f>IF($B415="","",VLOOKUP($B415,Jogos!$A$2:$K$105,9,FALSE))</f>
        <v/>
      </c>
      <c r="H415" s="8">
        <f>IF($B415="","",VLOOKUP($B415,Jogos!$A$2:$K$105,11,FALSE))</f>
        <v/>
      </c>
      <c r="I415" s="5">
        <f>IF(OR($A415="", $B415="", $E415="", $F415="", $G415="", $H415=""), "",IF(AND($E415=$G415, $F415=$H415), 3, IF(SIGN($E415-$F415)=SIGN($G415-$H415), 1, 0))))</f>
        <v/>
      </c>
    </row>
    <row r="416">
      <c r="A416" s="5" t="inlineStr"/>
      <c r="B416" s="5" t="inlineStr"/>
      <c r="C416" s="5">
        <f>IF($B416="","",VLOOKUP($B416,Jogos!$A$2:$K$105,8,FALSE))</f>
        <v/>
      </c>
      <c r="D416" s="5">
        <f>IF($B416="","",VLOOKUP($B416,Jogos!$A$2:$K$105,10,FALSE))</f>
        <v/>
      </c>
      <c r="E416" s="5" t="inlineStr"/>
      <c r="F416" s="5" t="inlineStr"/>
      <c r="G416" s="8">
        <f>IF($B416="","",VLOOKUP($B416,Jogos!$A$2:$K$105,9,FALSE))</f>
        <v/>
      </c>
      <c r="H416" s="8">
        <f>IF($B416="","",VLOOKUP($B416,Jogos!$A$2:$K$105,11,FALSE))</f>
        <v/>
      </c>
      <c r="I416" s="5">
        <f>IF(OR($A416="", $B416="", $E416="", $F416="", $G416="", $H416=""), "",IF(AND($E416=$G416, $F416=$H416), 3, IF(SIGN($E416-$F416)=SIGN($G416-$H416), 1, 0))))</f>
        <v/>
      </c>
    </row>
    <row r="417">
      <c r="A417" s="5" t="inlineStr"/>
      <c r="B417" s="5" t="inlineStr"/>
      <c r="C417" s="5">
        <f>IF($B417="","",VLOOKUP($B417,Jogos!$A$2:$K$105,8,FALSE))</f>
        <v/>
      </c>
      <c r="D417" s="5">
        <f>IF($B417="","",VLOOKUP($B417,Jogos!$A$2:$K$105,10,FALSE))</f>
        <v/>
      </c>
      <c r="E417" s="5" t="inlineStr"/>
      <c r="F417" s="5" t="inlineStr"/>
      <c r="G417" s="8">
        <f>IF($B417="","",VLOOKUP($B417,Jogos!$A$2:$K$105,9,FALSE))</f>
        <v/>
      </c>
      <c r="H417" s="8">
        <f>IF($B417="","",VLOOKUP($B417,Jogos!$A$2:$K$105,11,FALSE))</f>
        <v/>
      </c>
      <c r="I417" s="5">
        <f>IF(OR($A417="", $B417="", $E417="", $F417="", $G417="", $H417=""), "",IF(AND($E417=$G417, $F417=$H417), 3, IF(SIGN($E417-$F417)=SIGN($G417-$H417), 1, 0))))</f>
        <v/>
      </c>
    </row>
    <row r="418">
      <c r="A418" s="5" t="inlineStr"/>
      <c r="B418" s="5" t="inlineStr"/>
      <c r="C418" s="5">
        <f>IF($B418="","",VLOOKUP($B418,Jogos!$A$2:$K$105,8,FALSE))</f>
        <v/>
      </c>
      <c r="D418" s="5">
        <f>IF($B418="","",VLOOKUP($B418,Jogos!$A$2:$K$105,10,FALSE))</f>
        <v/>
      </c>
      <c r="E418" s="5" t="inlineStr"/>
      <c r="F418" s="5" t="inlineStr"/>
      <c r="G418" s="8">
        <f>IF($B418="","",VLOOKUP($B418,Jogos!$A$2:$K$105,9,FALSE))</f>
        <v/>
      </c>
      <c r="H418" s="8">
        <f>IF($B418="","",VLOOKUP($B418,Jogos!$A$2:$K$105,11,FALSE))</f>
        <v/>
      </c>
      <c r="I418" s="5">
        <f>IF(OR($A418="", $B418="", $E418="", $F418="", $G418="", $H418=""), "",IF(AND($E418=$G418, $F418=$H418), 3, IF(SIGN($E418-$F418)=SIGN($G418-$H418), 1, 0))))</f>
        <v/>
      </c>
    </row>
    <row r="419">
      <c r="A419" s="5" t="inlineStr"/>
      <c r="B419" s="5" t="inlineStr"/>
      <c r="C419" s="5">
        <f>IF($B419="","",VLOOKUP($B419,Jogos!$A$2:$K$105,8,FALSE))</f>
        <v/>
      </c>
      <c r="D419" s="5">
        <f>IF($B419="","",VLOOKUP($B419,Jogos!$A$2:$K$105,10,FALSE))</f>
        <v/>
      </c>
      <c r="E419" s="5" t="inlineStr"/>
      <c r="F419" s="5" t="inlineStr"/>
      <c r="G419" s="8">
        <f>IF($B419="","",VLOOKUP($B419,Jogos!$A$2:$K$105,9,FALSE))</f>
        <v/>
      </c>
      <c r="H419" s="8">
        <f>IF($B419="","",VLOOKUP($B419,Jogos!$A$2:$K$105,11,FALSE))</f>
        <v/>
      </c>
      <c r="I419" s="5">
        <f>IF(OR($A419="", $B419="", $E419="", $F419="", $G419="", $H419=""), "",IF(AND($E419=$G419, $F419=$H419), 3, IF(SIGN($E419-$F419)=SIGN($G419-$H419), 1, 0))))</f>
        <v/>
      </c>
    </row>
    <row r="420">
      <c r="A420" s="5" t="inlineStr"/>
      <c r="B420" s="5" t="inlineStr"/>
      <c r="C420" s="5">
        <f>IF($B420="","",VLOOKUP($B420,Jogos!$A$2:$K$105,8,FALSE))</f>
        <v/>
      </c>
      <c r="D420" s="5">
        <f>IF($B420="","",VLOOKUP($B420,Jogos!$A$2:$K$105,10,FALSE))</f>
        <v/>
      </c>
      <c r="E420" s="5" t="inlineStr"/>
      <c r="F420" s="5" t="inlineStr"/>
      <c r="G420" s="8">
        <f>IF($B420="","",VLOOKUP($B420,Jogos!$A$2:$K$105,9,FALSE))</f>
        <v/>
      </c>
      <c r="H420" s="8">
        <f>IF($B420="","",VLOOKUP($B420,Jogos!$A$2:$K$105,11,FALSE))</f>
        <v/>
      </c>
      <c r="I420" s="5">
        <f>IF(OR($A420="", $B420="", $E420="", $F420="", $G420="", $H420=""), "",IF(AND($E420=$G420, $F420=$H420), 3, IF(SIGN($E420-$F420)=SIGN($G420-$H420), 1, 0))))</f>
        <v/>
      </c>
    </row>
    <row r="421">
      <c r="A421" s="5" t="inlineStr"/>
      <c r="B421" s="5" t="inlineStr"/>
      <c r="C421" s="5">
        <f>IF($B421="","",VLOOKUP($B421,Jogos!$A$2:$K$105,8,FALSE))</f>
        <v/>
      </c>
      <c r="D421" s="5">
        <f>IF($B421="","",VLOOKUP($B421,Jogos!$A$2:$K$105,10,FALSE))</f>
        <v/>
      </c>
      <c r="E421" s="5" t="inlineStr"/>
      <c r="F421" s="5" t="inlineStr"/>
      <c r="G421" s="8">
        <f>IF($B421="","",VLOOKUP($B421,Jogos!$A$2:$K$105,9,FALSE))</f>
        <v/>
      </c>
      <c r="H421" s="8">
        <f>IF($B421="","",VLOOKUP($B421,Jogos!$A$2:$K$105,11,FALSE))</f>
        <v/>
      </c>
      <c r="I421" s="5">
        <f>IF(OR($A421="", $B421="", $E421="", $F421="", $G421="", $H421=""), "",IF(AND($E421=$G421, $F421=$H421), 3, IF(SIGN($E421-$F421)=SIGN($G421-$H421), 1, 0))))</f>
        <v/>
      </c>
    </row>
    <row r="422">
      <c r="A422" s="5" t="inlineStr"/>
      <c r="B422" s="5" t="inlineStr"/>
      <c r="C422" s="5">
        <f>IF($B422="","",VLOOKUP($B422,Jogos!$A$2:$K$105,8,FALSE))</f>
        <v/>
      </c>
      <c r="D422" s="5">
        <f>IF($B422="","",VLOOKUP($B422,Jogos!$A$2:$K$105,10,FALSE))</f>
        <v/>
      </c>
      <c r="E422" s="5" t="inlineStr"/>
      <c r="F422" s="5" t="inlineStr"/>
      <c r="G422" s="8">
        <f>IF($B422="","",VLOOKUP($B422,Jogos!$A$2:$K$105,9,FALSE))</f>
        <v/>
      </c>
      <c r="H422" s="8">
        <f>IF($B422="","",VLOOKUP($B422,Jogos!$A$2:$K$105,11,FALSE))</f>
        <v/>
      </c>
      <c r="I422" s="5">
        <f>IF(OR($A422="", $B422="", $E422="", $F422="", $G422="", $H422=""), "",IF(AND($E422=$G422, $F422=$H422), 3, IF(SIGN($E422-$F422)=SIGN($G422-$H422), 1, 0))))</f>
        <v/>
      </c>
    </row>
    <row r="423">
      <c r="A423" s="5" t="inlineStr"/>
      <c r="B423" s="5" t="inlineStr"/>
      <c r="C423" s="5">
        <f>IF($B423="","",VLOOKUP($B423,Jogos!$A$2:$K$105,8,FALSE))</f>
        <v/>
      </c>
      <c r="D423" s="5">
        <f>IF($B423="","",VLOOKUP($B423,Jogos!$A$2:$K$105,10,FALSE))</f>
        <v/>
      </c>
      <c r="E423" s="5" t="inlineStr"/>
      <c r="F423" s="5" t="inlineStr"/>
      <c r="G423" s="8">
        <f>IF($B423="","",VLOOKUP($B423,Jogos!$A$2:$K$105,9,FALSE))</f>
        <v/>
      </c>
      <c r="H423" s="8">
        <f>IF($B423="","",VLOOKUP($B423,Jogos!$A$2:$K$105,11,FALSE))</f>
        <v/>
      </c>
      <c r="I423" s="5">
        <f>IF(OR($A423="", $B423="", $E423="", $F423="", $G423="", $H423=""), "",IF(AND($E423=$G423, $F423=$H423), 3, IF(SIGN($E423-$F423)=SIGN($G423-$H423), 1, 0))))</f>
        <v/>
      </c>
    </row>
    <row r="424">
      <c r="A424" s="5" t="inlineStr"/>
      <c r="B424" s="5" t="inlineStr"/>
      <c r="C424" s="5">
        <f>IF($B424="","",VLOOKUP($B424,Jogos!$A$2:$K$105,8,FALSE))</f>
        <v/>
      </c>
      <c r="D424" s="5">
        <f>IF($B424="","",VLOOKUP($B424,Jogos!$A$2:$K$105,10,FALSE))</f>
        <v/>
      </c>
      <c r="E424" s="5" t="inlineStr"/>
      <c r="F424" s="5" t="inlineStr"/>
      <c r="G424" s="8">
        <f>IF($B424="","",VLOOKUP($B424,Jogos!$A$2:$K$105,9,FALSE))</f>
        <v/>
      </c>
      <c r="H424" s="8">
        <f>IF($B424="","",VLOOKUP($B424,Jogos!$A$2:$K$105,11,FALSE))</f>
        <v/>
      </c>
      <c r="I424" s="5">
        <f>IF(OR($A424="", $B424="", $E424="", $F424="", $G424="", $H424=""), "",IF(AND($E424=$G424, $F424=$H424), 3, IF(SIGN($E424-$F424)=SIGN($G424-$H424), 1, 0))))</f>
        <v/>
      </c>
    </row>
    <row r="425">
      <c r="A425" s="5" t="inlineStr"/>
      <c r="B425" s="5" t="inlineStr"/>
      <c r="C425" s="5">
        <f>IF($B425="","",VLOOKUP($B425,Jogos!$A$2:$K$105,8,FALSE))</f>
        <v/>
      </c>
      <c r="D425" s="5">
        <f>IF($B425="","",VLOOKUP($B425,Jogos!$A$2:$K$105,10,FALSE))</f>
        <v/>
      </c>
      <c r="E425" s="5" t="inlineStr"/>
      <c r="F425" s="5" t="inlineStr"/>
      <c r="G425" s="8">
        <f>IF($B425="","",VLOOKUP($B425,Jogos!$A$2:$K$105,9,FALSE))</f>
        <v/>
      </c>
      <c r="H425" s="8">
        <f>IF($B425="","",VLOOKUP($B425,Jogos!$A$2:$K$105,11,FALSE))</f>
        <v/>
      </c>
      <c r="I425" s="5">
        <f>IF(OR($A425="", $B425="", $E425="", $F425="", $G425="", $H425=""), "",IF(AND($E425=$G425, $F425=$H425), 3, IF(SIGN($E425-$F425)=SIGN($G425-$H425), 1, 0))))</f>
        <v/>
      </c>
    </row>
    <row r="426">
      <c r="A426" s="5" t="inlineStr"/>
      <c r="B426" s="5" t="inlineStr"/>
      <c r="C426" s="5">
        <f>IF($B426="","",VLOOKUP($B426,Jogos!$A$2:$K$105,8,FALSE))</f>
        <v/>
      </c>
      <c r="D426" s="5">
        <f>IF($B426="","",VLOOKUP($B426,Jogos!$A$2:$K$105,10,FALSE))</f>
        <v/>
      </c>
      <c r="E426" s="5" t="inlineStr"/>
      <c r="F426" s="5" t="inlineStr"/>
      <c r="G426" s="8">
        <f>IF($B426="","",VLOOKUP($B426,Jogos!$A$2:$K$105,9,FALSE))</f>
        <v/>
      </c>
      <c r="H426" s="8">
        <f>IF($B426="","",VLOOKUP($B426,Jogos!$A$2:$K$105,11,FALSE))</f>
        <v/>
      </c>
      <c r="I426" s="5">
        <f>IF(OR($A426="", $B426="", $E426="", $F426="", $G426="", $H426=""), "",IF(AND($E426=$G426, $F426=$H426), 3, IF(SIGN($E426-$F426)=SIGN($G426-$H426), 1, 0))))</f>
        <v/>
      </c>
    </row>
    <row r="427">
      <c r="A427" s="5" t="inlineStr"/>
      <c r="B427" s="5" t="inlineStr"/>
      <c r="C427" s="5">
        <f>IF($B427="","",VLOOKUP($B427,Jogos!$A$2:$K$105,8,FALSE))</f>
        <v/>
      </c>
      <c r="D427" s="5">
        <f>IF($B427="","",VLOOKUP($B427,Jogos!$A$2:$K$105,10,FALSE))</f>
        <v/>
      </c>
      <c r="E427" s="5" t="inlineStr"/>
      <c r="F427" s="5" t="inlineStr"/>
      <c r="G427" s="8">
        <f>IF($B427="","",VLOOKUP($B427,Jogos!$A$2:$K$105,9,FALSE))</f>
        <v/>
      </c>
      <c r="H427" s="8">
        <f>IF($B427="","",VLOOKUP($B427,Jogos!$A$2:$K$105,11,FALSE))</f>
        <v/>
      </c>
      <c r="I427" s="5">
        <f>IF(OR($A427="", $B427="", $E427="", $F427="", $G427="", $H427=""), "",IF(AND($E427=$G427, $F427=$H427), 3, IF(SIGN($E427-$F427)=SIGN($G427-$H427), 1, 0))))</f>
        <v/>
      </c>
    </row>
    <row r="428">
      <c r="A428" s="5" t="inlineStr"/>
      <c r="B428" s="5" t="inlineStr"/>
      <c r="C428" s="5">
        <f>IF($B428="","",VLOOKUP($B428,Jogos!$A$2:$K$105,8,FALSE))</f>
        <v/>
      </c>
      <c r="D428" s="5">
        <f>IF($B428="","",VLOOKUP($B428,Jogos!$A$2:$K$105,10,FALSE))</f>
        <v/>
      </c>
      <c r="E428" s="5" t="inlineStr"/>
      <c r="F428" s="5" t="inlineStr"/>
      <c r="G428" s="8">
        <f>IF($B428="","",VLOOKUP($B428,Jogos!$A$2:$K$105,9,FALSE))</f>
        <v/>
      </c>
      <c r="H428" s="8">
        <f>IF($B428="","",VLOOKUP($B428,Jogos!$A$2:$K$105,11,FALSE))</f>
        <v/>
      </c>
      <c r="I428" s="5">
        <f>IF(OR($A428="", $B428="", $E428="", $F428="", $G428="", $H428=""), "",IF(AND($E428=$G428, $F428=$H428), 3, IF(SIGN($E428-$F428)=SIGN($G428-$H428), 1, 0))))</f>
        <v/>
      </c>
    </row>
    <row r="429">
      <c r="A429" s="5" t="inlineStr"/>
      <c r="B429" s="5" t="inlineStr"/>
      <c r="C429" s="5">
        <f>IF($B429="","",VLOOKUP($B429,Jogos!$A$2:$K$105,8,FALSE))</f>
        <v/>
      </c>
      <c r="D429" s="5">
        <f>IF($B429="","",VLOOKUP($B429,Jogos!$A$2:$K$105,10,FALSE))</f>
        <v/>
      </c>
      <c r="E429" s="5" t="inlineStr"/>
      <c r="F429" s="5" t="inlineStr"/>
      <c r="G429" s="8">
        <f>IF($B429="","",VLOOKUP($B429,Jogos!$A$2:$K$105,9,FALSE))</f>
        <v/>
      </c>
      <c r="H429" s="8">
        <f>IF($B429="","",VLOOKUP($B429,Jogos!$A$2:$K$105,11,FALSE))</f>
        <v/>
      </c>
      <c r="I429" s="5">
        <f>IF(OR($A429="", $B429="", $E429="", $F429="", $G429="", $H429=""), "",IF(AND($E429=$G429, $F429=$H429), 3, IF(SIGN($E429-$F429)=SIGN($G429-$H429), 1, 0))))</f>
        <v/>
      </c>
    </row>
    <row r="430">
      <c r="A430" s="5" t="inlineStr"/>
      <c r="B430" s="5" t="inlineStr"/>
      <c r="C430" s="5">
        <f>IF($B430="","",VLOOKUP($B430,Jogos!$A$2:$K$105,8,FALSE))</f>
        <v/>
      </c>
      <c r="D430" s="5">
        <f>IF($B430="","",VLOOKUP($B430,Jogos!$A$2:$K$105,10,FALSE))</f>
        <v/>
      </c>
      <c r="E430" s="5" t="inlineStr"/>
      <c r="F430" s="5" t="inlineStr"/>
      <c r="G430" s="8">
        <f>IF($B430="","",VLOOKUP($B430,Jogos!$A$2:$K$105,9,FALSE))</f>
        <v/>
      </c>
      <c r="H430" s="8">
        <f>IF($B430="","",VLOOKUP($B430,Jogos!$A$2:$K$105,11,FALSE))</f>
        <v/>
      </c>
      <c r="I430" s="5">
        <f>IF(OR($A430="", $B430="", $E430="", $F430="", $G430="", $H430=""), "",IF(AND($E430=$G430, $F430=$H430), 3, IF(SIGN($E430-$F430)=SIGN($G430-$H430), 1, 0))))</f>
        <v/>
      </c>
    </row>
    <row r="431">
      <c r="A431" s="5" t="inlineStr"/>
      <c r="B431" s="5" t="inlineStr"/>
      <c r="C431" s="5">
        <f>IF($B431="","",VLOOKUP($B431,Jogos!$A$2:$K$105,8,FALSE))</f>
        <v/>
      </c>
      <c r="D431" s="5">
        <f>IF($B431="","",VLOOKUP($B431,Jogos!$A$2:$K$105,10,FALSE))</f>
        <v/>
      </c>
      <c r="E431" s="5" t="inlineStr"/>
      <c r="F431" s="5" t="inlineStr"/>
      <c r="G431" s="8">
        <f>IF($B431="","",VLOOKUP($B431,Jogos!$A$2:$K$105,9,FALSE))</f>
        <v/>
      </c>
      <c r="H431" s="8">
        <f>IF($B431="","",VLOOKUP($B431,Jogos!$A$2:$K$105,11,FALSE))</f>
        <v/>
      </c>
      <c r="I431" s="5">
        <f>IF(OR($A431="", $B431="", $E431="", $F431="", $G431="", $H431=""), "",IF(AND($E431=$G431, $F431=$H431), 3, IF(SIGN($E431-$F431)=SIGN($G431-$H431), 1, 0))))</f>
        <v/>
      </c>
    </row>
    <row r="432">
      <c r="A432" s="5" t="inlineStr"/>
      <c r="B432" s="5" t="inlineStr"/>
      <c r="C432" s="5">
        <f>IF($B432="","",VLOOKUP($B432,Jogos!$A$2:$K$105,8,FALSE))</f>
        <v/>
      </c>
      <c r="D432" s="5">
        <f>IF($B432="","",VLOOKUP($B432,Jogos!$A$2:$K$105,10,FALSE))</f>
        <v/>
      </c>
      <c r="E432" s="5" t="inlineStr"/>
      <c r="F432" s="5" t="inlineStr"/>
      <c r="G432" s="8">
        <f>IF($B432="","",VLOOKUP($B432,Jogos!$A$2:$K$105,9,FALSE))</f>
        <v/>
      </c>
      <c r="H432" s="8">
        <f>IF($B432="","",VLOOKUP($B432,Jogos!$A$2:$K$105,11,FALSE))</f>
        <v/>
      </c>
      <c r="I432" s="5">
        <f>IF(OR($A432="", $B432="", $E432="", $F432="", $G432="", $H432=""), "",IF(AND($E432=$G432, $F432=$H432), 3, IF(SIGN($E432-$F432)=SIGN($G432-$H432), 1, 0))))</f>
        <v/>
      </c>
    </row>
    <row r="433">
      <c r="A433" s="5" t="inlineStr"/>
      <c r="B433" s="5" t="inlineStr"/>
      <c r="C433" s="5">
        <f>IF($B433="","",VLOOKUP($B433,Jogos!$A$2:$K$105,8,FALSE))</f>
        <v/>
      </c>
      <c r="D433" s="5">
        <f>IF($B433="","",VLOOKUP($B433,Jogos!$A$2:$K$105,10,FALSE))</f>
        <v/>
      </c>
      <c r="E433" s="5" t="inlineStr"/>
      <c r="F433" s="5" t="inlineStr"/>
      <c r="G433" s="8">
        <f>IF($B433="","",VLOOKUP($B433,Jogos!$A$2:$K$105,9,FALSE))</f>
        <v/>
      </c>
      <c r="H433" s="8">
        <f>IF($B433="","",VLOOKUP($B433,Jogos!$A$2:$K$105,11,FALSE))</f>
        <v/>
      </c>
      <c r="I433" s="5">
        <f>IF(OR($A433="", $B433="", $E433="", $F433="", $G433="", $H433=""), "",IF(AND($E433=$G433, $F433=$H433), 3, IF(SIGN($E433-$F433)=SIGN($G433-$H433), 1, 0))))</f>
        <v/>
      </c>
    </row>
    <row r="434">
      <c r="A434" s="5" t="inlineStr"/>
      <c r="B434" s="5" t="inlineStr"/>
      <c r="C434" s="5">
        <f>IF($B434="","",VLOOKUP($B434,Jogos!$A$2:$K$105,8,FALSE))</f>
        <v/>
      </c>
      <c r="D434" s="5">
        <f>IF($B434="","",VLOOKUP($B434,Jogos!$A$2:$K$105,10,FALSE))</f>
        <v/>
      </c>
      <c r="E434" s="5" t="inlineStr"/>
      <c r="F434" s="5" t="inlineStr"/>
      <c r="G434" s="8">
        <f>IF($B434="","",VLOOKUP($B434,Jogos!$A$2:$K$105,9,FALSE))</f>
        <v/>
      </c>
      <c r="H434" s="8">
        <f>IF($B434="","",VLOOKUP($B434,Jogos!$A$2:$K$105,11,FALSE))</f>
        <v/>
      </c>
      <c r="I434" s="5">
        <f>IF(OR($A434="", $B434="", $E434="", $F434="", $G434="", $H434=""), "",IF(AND($E434=$G434, $F434=$H434), 3, IF(SIGN($E434-$F434)=SIGN($G434-$H434), 1, 0))))</f>
        <v/>
      </c>
    </row>
    <row r="435">
      <c r="A435" s="5" t="inlineStr"/>
      <c r="B435" s="5" t="inlineStr"/>
      <c r="C435" s="5">
        <f>IF($B435="","",VLOOKUP($B435,Jogos!$A$2:$K$105,8,FALSE))</f>
        <v/>
      </c>
      <c r="D435" s="5">
        <f>IF($B435="","",VLOOKUP($B435,Jogos!$A$2:$K$105,10,FALSE))</f>
        <v/>
      </c>
      <c r="E435" s="5" t="inlineStr"/>
      <c r="F435" s="5" t="inlineStr"/>
      <c r="G435" s="8">
        <f>IF($B435="","",VLOOKUP($B435,Jogos!$A$2:$K$105,9,FALSE))</f>
        <v/>
      </c>
      <c r="H435" s="8">
        <f>IF($B435="","",VLOOKUP($B435,Jogos!$A$2:$K$105,11,FALSE))</f>
        <v/>
      </c>
      <c r="I435" s="5">
        <f>IF(OR($A435="", $B435="", $E435="", $F435="", $G435="", $H435=""), "",IF(AND($E435=$G435, $F435=$H435), 3, IF(SIGN($E435-$F435)=SIGN($G435-$H435), 1, 0))))</f>
        <v/>
      </c>
    </row>
    <row r="436">
      <c r="A436" s="5" t="inlineStr"/>
      <c r="B436" s="5" t="inlineStr"/>
      <c r="C436" s="5">
        <f>IF($B436="","",VLOOKUP($B436,Jogos!$A$2:$K$105,8,FALSE))</f>
        <v/>
      </c>
      <c r="D436" s="5">
        <f>IF($B436="","",VLOOKUP($B436,Jogos!$A$2:$K$105,10,FALSE))</f>
        <v/>
      </c>
      <c r="E436" s="5" t="inlineStr"/>
      <c r="F436" s="5" t="inlineStr"/>
      <c r="G436" s="8">
        <f>IF($B436="","",VLOOKUP($B436,Jogos!$A$2:$K$105,9,FALSE))</f>
        <v/>
      </c>
      <c r="H436" s="8">
        <f>IF($B436="","",VLOOKUP($B436,Jogos!$A$2:$K$105,11,FALSE))</f>
        <v/>
      </c>
      <c r="I436" s="5">
        <f>IF(OR($A436="", $B436="", $E436="", $F436="", $G436="", $H436=""), "",IF(AND($E436=$G436, $F436=$H436), 3, IF(SIGN($E436-$F436)=SIGN($G436-$H436), 1, 0))))</f>
        <v/>
      </c>
    </row>
    <row r="437">
      <c r="A437" s="5" t="inlineStr"/>
      <c r="B437" s="5" t="inlineStr"/>
      <c r="C437" s="5">
        <f>IF($B437="","",VLOOKUP($B437,Jogos!$A$2:$K$105,8,FALSE))</f>
        <v/>
      </c>
      <c r="D437" s="5">
        <f>IF($B437="","",VLOOKUP($B437,Jogos!$A$2:$K$105,10,FALSE))</f>
        <v/>
      </c>
      <c r="E437" s="5" t="inlineStr"/>
      <c r="F437" s="5" t="inlineStr"/>
      <c r="G437" s="8">
        <f>IF($B437="","",VLOOKUP($B437,Jogos!$A$2:$K$105,9,FALSE))</f>
        <v/>
      </c>
      <c r="H437" s="8">
        <f>IF($B437="","",VLOOKUP($B437,Jogos!$A$2:$K$105,11,FALSE))</f>
        <v/>
      </c>
      <c r="I437" s="5">
        <f>IF(OR($A437="", $B437="", $E437="", $F437="", $G437="", $H437=""), "",IF(AND($E437=$G437, $F437=$H437), 3, IF(SIGN($E437-$F437)=SIGN($G437-$H437), 1, 0))))</f>
        <v/>
      </c>
    </row>
    <row r="438">
      <c r="A438" s="5" t="inlineStr"/>
      <c r="B438" s="5" t="inlineStr"/>
      <c r="C438" s="5">
        <f>IF($B438="","",VLOOKUP($B438,Jogos!$A$2:$K$105,8,FALSE))</f>
        <v/>
      </c>
      <c r="D438" s="5">
        <f>IF($B438="","",VLOOKUP($B438,Jogos!$A$2:$K$105,10,FALSE))</f>
        <v/>
      </c>
      <c r="E438" s="5" t="inlineStr"/>
      <c r="F438" s="5" t="inlineStr"/>
      <c r="G438" s="8">
        <f>IF($B438="","",VLOOKUP($B438,Jogos!$A$2:$K$105,9,FALSE))</f>
        <v/>
      </c>
      <c r="H438" s="8">
        <f>IF($B438="","",VLOOKUP($B438,Jogos!$A$2:$K$105,11,FALSE))</f>
        <v/>
      </c>
      <c r="I438" s="5">
        <f>IF(OR($A438="", $B438="", $E438="", $F438="", $G438="", $H438=""), "",IF(AND($E438=$G438, $F438=$H438), 3, IF(SIGN($E438-$F438)=SIGN($G438-$H438), 1, 0))))</f>
        <v/>
      </c>
    </row>
    <row r="439">
      <c r="A439" s="5" t="inlineStr"/>
      <c r="B439" s="5" t="inlineStr"/>
      <c r="C439" s="5">
        <f>IF($B439="","",VLOOKUP($B439,Jogos!$A$2:$K$105,8,FALSE))</f>
        <v/>
      </c>
      <c r="D439" s="5">
        <f>IF($B439="","",VLOOKUP($B439,Jogos!$A$2:$K$105,10,FALSE))</f>
        <v/>
      </c>
      <c r="E439" s="5" t="inlineStr"/>
      <c r="F439" s="5" t="inlineStr"/>
      <c r="G439" s="8">
        <f>IF($B439="","",VLOOKUP($B439,Jogos!$A$2:$K$105,9,FALSE))</f>
        <v/>
      </c>
      <c r="H439" s="8">
        <f>IF($B439="","",VLOOKUP($B439,Jogos!$A$2:$K$105,11,FALSE))</f>
        <v/>
      </c>
      <c r="I439" s="5">
        <f>IF(OR($A439="", $B439="", $E439="", $F439="", $G439="", $H439=""), "",IF(AND($E439=$G439, $F439=$H439), 3, IF(SIGN($E439-$F439)=SIGN($G439-$H439), 1, 0))))</f>
        <v/>
      </c>
    </row>
    <row r="440">
      <c r="A440" s="5" t="inlineStr"/>
      <c r="B440" s="5" t="inlineStr"/>
      <c r="C440" s="5">
        <f>IF($B440="","",VLOOKUP($B440,Jogos!$A$2:$K$105,8,FALSE))</f>
        <v/>
      </c>
      <c r="D440" s="5">
        <f>IF($B440="","",VLOOKUP($B440,Jogos!$A$2:$K$105,10,FALSE))</f>
        <v/>
      </c>
      <c r="E440" s="5" t="inlineStr"/>
      <c r="F440" s="5" t="inlineStr"/>
      <c r="G440" s="8">
        <f>IF($B440="","",VLOOKUP($B440,Jogos!$A$2:$K$105,9,FALSE))</f>
        <v/>
      </c>
      <c r="H440" s="8">
        <f>IF($B440="","",VLOOKUP($B440,Jogos!$A$2:$K$105,11,FALSE))</f>
        <v/>
      </c>
      <c r="I440" s="5">
        <f>IF(OR($A440="", $B440="", $E440="", $F440="", $G440="", $H440=""), "",IF(AND($E440=$G440, $F440=$H440), 3, IF(SIGN($E440-$F440)=SIGN($G440-$H440), 1, 0))))</f>
        <v/>
      </c>
    </row>
    <row r="441">
      <c r="A441" s="5" t="inlineStr"/>
      <c r="B441" s="5" t="inlineStr"/>
      <c r="C441" s="5">
        <f>IF($B441="","",VLOOKUP($B441,Jogos!$A$2:$K$105,8,FALSE))</f>
        <v/>
      </c>
      <c r="D441" s="5">
        <f>IF($B441="","",VLOOKUP($B441,Jogos!$A$2:$K$105,10,FALSE))</f>
        <v/>
      </c>
      <c r="E441" s="5" t="inlineStr"/>
      <c r="F441" s="5" t="inlineStr"/>
      <c r="G441" s="8">
        <f>IF($B441="","",VLOOKUP($B441,Jogos!$A$2:$K$105,9,FALSE))</f>
        <v/>
      </c>
      <c r="H441" s="8">
        <f>IF($B441="","",VLOOKUP($B441,Jogos!$A$2:$K$105,11,FALSE))</f>
        <v/>
      </c>
      <c r="I441" s="5">
        <f>IF(OR($A441="", $B441="", $E441="", $F441="", $G441="", $H441=""), "",IF(AND($E441=$G441, $F441=$H441), 3, IF(SIGN($E441-$F441)=SIGN($G441-$H441), 1, 0))))</f>
        <v/>
      </c>
    </row>
    <row r="442">
      <c r="A442" s="5" t="inlineStr"/>
      <c r="B442" s="5" t="inlineStr"/>
      <c r="C442" s="5">
        <f>IF($B442="","",VLOOKUP($B442,Jogos!$A$2:$K$105,8,FALSE))</f>
        <v/>
      </c>
      <c r="D442" s="5">
        <f>IF($B442="","",VLOOKUP($B442,Jogos!$A$2:$K$105,10,FALSE))</f>
        <v/>
      </c>
      <c r="E442" s="5" t="inlineStr"/>
      <c r="F442" s="5" t="inlineStr"/>
      <c r="G442" s="8">
        <f>IF($B442="","",VLOOKUP($B442,Jogos!$A$2:$K$105,9,FALSE))</f>
        <v/>
      </c>
      <c r="H442" s="8">
        <f>IF($B442="","",VLOOKUP($B442,Jogos!$A$2:$K$105,11,FALSE))</f>
        <v/>
      </c>
      <c r="I442" s="5">
        <f>IF(OR($A442="", $B442="", $E442="", $F442="", $G442="", $H442=""), "",IF(AND($E442=$G442, $F442=$H442), 3, IF(SIGN($E442-$F442)=SIGN($G442-$H442), 1, 0))))</f>
        <v/>
      </c>
    </row>
    <row r="443">
      <c r="A443" s="5" t="inlineStr"/>
      <c r="B443" s="5" t="inlineStr"/>
      <c r="C443" s="5">
        <f>IF($B443="","",VLOOKUP($B443,Jogos!$A$2:$K$105,8,FALSE))</f>
        <v/>
      </c>
      <c r="D443" s="5">
        <f>IF($B443="","",VLOOKUP($B443,Jogos!$A$2:$K$105,10,FALSE))</f>
        <v/>
      </c>
      <c r="E443" s="5" t="inlineStr"/>
      <c r="F443" s="5" t="inlineStr"/>
      <c r="G443" s="8">
        <f>IF($B443="","",VLOOKUP($B443,Jogos!$A$2:$K$105,9,FALSE))</f>
        <v/>
      </c>
      <c r="H443" s="8">
        <f>IF($B443="","",VLOOKUP($B443,Jogos!$A$2:$K$105,11,FALSE))</f>
        <v/>
      </c>
      <c r="I443" s="5">
        <f>IF(OR($A443="", $B443="", $E443="", $F443="", $G443="", $H443=""), "",IF(AND($E443=$G443, $F443=$H443), 3, IF(SIGN($E443-$F443)=SIGN($G443-$H443), 1, 0))))</f>
        <v/>
      </c>
    </row>
    <row r="444">
      <c r="A444" s="5" t="inlineStr"/>
      <c r="B444" s="5" t="inlineStr"/>
      <c r="C444" s="5">
        <f>IF($B444="","",VLOOKUP($B444,Jogos!$A$2:$K$105,8,FALSE))</f>
        <v/>
      </c>
      <c r="D444" s="5">
        <f>IF($B444="","",VLOOKUP($B444,Jogos!$A$2:$K$105,10,FALSE))</f>
        <v/>
      </c>
      <c r="E444" s="5" t="inlineStr"/>
      <c r="F444" s="5" t="inlineStr"/>
      <c r="G444" s="8">
        <f>IF($B444="","",VLOOKUP($B444,Jogos!$A$2:$K$105,9,FALSE))</f>
        <v/>
      </c>
      <c r="H444" s="8">
        <f>IF($B444="","",VLOOKUP($B444,Jogos!$A$2:$K$105,11,FALSE))</f>
        <v/>
      </c>
      <c r="I444" s="5">
        <f>IF(OR($A444="", $B444="", $E444="", $F444="", $G444="", $H444=""), "",IF(AND($E444=$G444, $F444=$H444), 3, IF(SIGN($E444-$F444)=SIGN($G444-$H444), 1, 0))))</f>
        <v/>
      </c>
    </row>
    <row r="445">
      <c r="A445" s="5" t="inlineStr"/>
      <c r="B445" s="5" t="inlineStr"/>
      <c r="C445" s="5">
        <f>IF($B445="","",VLOOKUP($B445,Jogos!$A$2:$K$105,8,FALSE))</f>
        <v/>
      </c>
      <c r="D445" s="5">
        <f>IF($B445="","",VLOOKUP($B445,Jogos!$A$2:$K$105,10,FALSE))</f>
        <v/>
      </c>
      <c r="E445" s="5" t="inlineStr"/>
      <c r="F445" s="5" t="inlineStr"/>
      <c r="G445" s="8">
        <f>IF($B445="","",VLOOKUP($B445,Jogos!$A$2:$K$105,9,FALSE))</f>
        <v/>
      </c>
      <c r="H445" s="8">
        <f>IF($B445="","",VLOOKUP($B445,Jogos!$A$2:$K$105,11,FALSE))</f>
        <v/>
      </c>
      <c r="I445" s="5">
        <f>IF(OR($A445="", $B445="", $E445="", $F445="", $G445="", $H445=""), "",IF(AND($E445=$G445, $F445=$H445), 3, IF(SIGN($E445-$F445)=SIGN($G445-$H445), 1, 0))))</f>
        <v/>
      </c>
    </row>
    <row r="446">
      <c r="A446" s="5" t="inlineStr"/>
      <c r="B446" s="5" t="inlineStr"/>
      <c r="C446" s="5">
        <f>IF($B446="","",VLOOKUP($B446,Jogos!$A$2:$K$105,8,FALSE))</f>
        <v/>
      </c>
      <c r="D446" s="5">
        <f>IF($B446="","",VLOOKUP($B446,Jogos!$A$2:$K$105,10,FALSE))</f>
        <v/>
      </c>
      <c r="E446" s="5" t="inlineStr"/>
      <c r="F446" s="5" t="inlineStr"/>
      <c r="G446" s="8">
        <f>IF($B446="","",VLOOKUP($B446,Jogos!$A$2:$K$105,9,FALSE))</f>
        <v/>
      </c>
      <c r="H446" s="8">
        <f>IF($B446="","",VLOOKUP($B446,Jogos!$A$2:$K$105,11,FALSE))</f>
        <v/>
      </c>
      <c r="I446" s="5">
        <f>IF(OR($A446="", $B446="", $E446="", $F446="", $G446="", $H446=""), "",IF(AND($E446=$G446, $F446=$H446), 3, IF(SIGN($E446-$F446)=SIGN($G446-$H446), 1, 0))))</f>
        <v/>
      </c>
    </row>
    <row r="447">
      <c r="A447" s="5" t="inlineStr"/>
      <c r="B447" s="5" t="inlineStr"/>
      <c r="C447" s="5">
        <f>IF($B447="","",VLOOKUP($B447,Jogos!$A$2:$K$105,8,FALSE))</f>
        <v/>
      </c>
      <c r="D447" s="5">
        <f>IF($B447="","",VLOOKUP($B447,Jogos!$A$2:$K$105,10,FALSE))</f>
        <v/>
      </c>
      <c r="E447" s="5" t="inlineStr"/>
      <c r="F447" s="5" t="inlineStr"/>
      <c r="G447" s="8">
        <f>IF($B447="","",VLOOKUP($B447,Jogos!$A$2:$K$105,9,FALSE))</f>
        <v/>
      </c>
      <c r="H447" s="8">
        <f>IF($B447="","",VLOOKUP($B447,Jogos!$A$2:$K$105,11,FALSE))</f>
        <v/>
      </c>
      <c r="I447" s="5">
        <f>IF(OR($A447="", $B447="", $E447="", $F447="", $G447="", $H447=""), "",IF(AND($E447=$G447, $F447=$H447), 3, IF(SIGN($E447-$F447)=SIGN($G447-$H447), 1, 0))))</f>
        <v/>
      </c>
    </row>
    <row r="448">
      <c r="A448" s="5" t="inlineStr"/>
      <c r="B448" s="5" t="inlineStr"/>
      <c r="C448" s="5">
        <f>IF($B448="","",VLOOKUP($B448,Jogos!$A$2:$K$105,8,FALSE))</f>
        <v/>
      </c>
      <c r="D448" s="5">
        <f>IF($B448="","",VLOOKUP($B448,Jogos!$A$2:$K$105,10,FALSE))</f>
        <v/>
      </c>
      <c r="E448" s="5" t="inlineStr"/>
      <c r="F448" s="5" t="inlineStr"/>
      <c r="G448" s="8">
        <f>IF($B448="","",VLOOKUP($B448,Jogos!$A$2:$K$105,9,FALSE))</f>
        <v/>
      </c>
      <c r="H448" s="8">
        <f>IF($B448="","",VLOOKUP($B448,Jogos!$A$2:$K$105,11,FALSE))</f>
        <v/>
      </c>
      <c r="I448" s="5">
        <f>IF(OR($A448="", $B448="", $E448="", $F448="", $G448="", $H448=""), "",IF(AND($E448=$G448, $F448=$H448), 3, IF(SIGN($E448-$F448)=SIGN($G448-$H448), 1, 0))))</f>
        <v/>
      </c>
    </row>
    <row r="449">
      <c r="A449" s="5" t="inlineStr"/>
      <c r="B449" s="5" t="inlineStr"/>
      <c r="C449" s="5">
        <f>IF($B449="","",VLOOKUP($B449,Jogos!$A$2:$K$105,8,FALSE))</f>
        <v/>
      </c>
      <c r="D449" s="5">
        <f>IF($B449="","",VLOOKUP($B449,Jogos!$A$2:$K$105,10,FALSE))</f>
        <v/>
      </c>
      <c r="E449" s="5" t="inlineStr"/>
      <c r="F449" s="5" t="inlineStr"/>
      <c r="G449" s="8">
        <f>IF($B449="","",VLOOKUP($B449,Jogos!$A$2:$K$105,9,FALSE))</f>
        <v/>
      </c>
      <c r="H449" s="8">
        <f>IF($B449="","",VLOOKUP($B449,Jogos!$A$2:$K$105,11,FALSE))</f>
        <v/>
      </c>
      <c r="I449" s="5">
        <f>IF(OR($A449="", $B449="", $E449="", $F449="", $G449="", $H449=""), "",IF(AND($E449=$G449, $F449=$H449), 3, IF(SIGN($E449-$F449)=SIGN($G449-$H449), 1, 0))))</f>
        <v/>
      </c>
    </row>
    <row r="450">
      <c r="A450" s="5" t="inlineStr"/>
      <c r="B450" s="5" t="inlineStr"/>
      <c r="C450" s="5">
        <f>IF($B450="","",VLOOKUP($B450,Jogos!$A$2:$K$105,8,FALSE))</f>
        <v/>
      </c>
      <c r="D450" s="5">
        <f>IF($B450="","",VLOOKUP($B450,Jogos!$A$2:$K$105,10,FALSE))</f>
        <v/>
      </c>
      <c r="E450" s="5" t="inlineStr"/>
      <c r="F450" s="5" t="inlineStr"/>
      <c r="G450" s="8">
        <f>IF($B450="","",VLOOKUP($B450,Jogos!$A$2:$K$105,9,FALSE))</f>
        <v/>
      </c>
      <c r="H450" s="8">
        <f>IF($B450="","",VLOOKUP($B450,Jogos!$A$2:$K$105,11,FALSE))</f>
        <v/>
      </c>
      <c r="I450" s="5">
        <f>IF(OR($A450="", $B450="", $E450="", $F450="", $G450="", $H450=""), "",IF(AND($E450=$G450, $F450=$H450), 3, IF(SIGN($E450-$F450)=SIGN($G450-$H450), 1, 0))))</f>
        <v/>
      </c>
    </row>
    <row r="451">
      <c r="A451" s="5" t="inlineStr"/>
      <c r="B451" s="5" t="inlineStr"/>
      <c r="C451" s="5">
        <f>IF($B451="","",VLOOKUP($B451,Jogos!$A$2:$K$105,8,FALSE))</f>
        <v/>
      </c>
      <c r="D451" s="5">
        <f>IF($B451="","",VLOOKUP($B451,Jogos!$A$2:$K$105,10,FALSE))</f>
        <v/>
      </c>
      <c r="E451" s="5" t="inlineStr"/>
      <c r="F451" s="5" t="inlineStr"/>
      <c r="G451" s="8">
        <f>IF($B451="","",VLOOKUP($B451,Jogos!$A$2:$K$105,9,FALSE))</f>
        <v/>
      </c>
      <c r="H451" s="8">
        <f>IF($B451="","",VLOOKUP($B451,Jogos!$A$2:$K$105,11,FALSE))</f>
        <v/>
      </c>
      <c r="I451" s="5">
        <f>IF(OR($A451="", $B451="", $E451="", $F451="", $G451="", $H451=""), "",IF(AND($E451=$G451, $F451=$H451), 3, IF(SIGN($E451-$F451)=SIGN($G451-$H451), 1, 0))))</f>
        <v/>
      </c>
    </row>
    <row r="452">
      <c r="A452" s="5" t="inlineStr"/>
      <c r="B452" s="5" t="inlineStr"/>
      <c r="C452" s="5">
        <f>IF($B452="","",VLOOKUP($B452,Jogos!$A$2:$K$105,8,FALSE))</f>
        <v/>
      </c>
      <c r="D452" s="5">
        <f>IF($B452="","",VLOOKUP($B452,Jogos!$A$2:$K$105,10,FALSE))</f>
        <v/>
      </c>
      <c r="E452" s="5" t="inlineStr"/>
      <c r="F452" s="5" t="inlineStr"/>
      <c r="G452" s="8">
        <f>IF($B452="","",VLOOKUP($B452,Jogos!$A$2:$K$105,9,FALSE))</f>
        <v/>
      </c>
      <c r="H452" s="8">
        <f>IF($B452="","",VLOOKUP($B452,Jogos!$A$2:$K$105,11,FALSE))</f>
        <v/>
      </c>
      <c r="I452" s="5">
        <f>IF(OR($A452="", $B452="", $E452="", $F452="", $G452="", $H452=""), "",IF(AND($E452=$G452, $F452=$H452), 3, IF(SIGN($E452-$F452)=SIGN($G452-$H452), 1, 0))))</f>
        <v/>
      </c>
    </row>
    <row r="453">
      <c r="A453" s="5" t="inlineStr"/>
      <c r="B453" s="5" t="inlineStr"/>
      <c r="C453" s="5">
        <f>IF($B453="","",VLOOKUP($B453,Jogos!$A$2:$K$105,8,FALSE))</f>
        <v/>
      </c>
      <c r="D453" s="5">
        <f>IF($B453="","",VLOOKUP($B453,Jogos!$A$2:$K$105,10,FALSE))</f>
        <v/>
      </c>
      <c r="E453" s="5" t="inlineStr"/>
      <c r="F453" s="5" t="inlineStr"/>
      <c r="G453" s="8">
        <f>IF($B453="","",VLOOKUP($B453,Jogos!$A$2:$K$105,9,FALSE))</f>
        <v/>
      </c>
      <c r="H453" s="8">
        <f>IF($B453="","",VLOOKUP($B453,Jogos!$A$2:$K$105,11,FALSE))</f>
        <v/>
      </c>
      <c r="I453" s="5">
        <f>IF(OR($A453="", $B453="", $E453="", $F453="", $G453="", $H453=""), "",IF(AND($E453=$G453, $F453=$H453), 3, IF(SIGN($E453-$F453)=SIGN($G453-$H453), 1, 0))))</f>
        <v/>
      </c>
    </row>
    <row r="454">
      <c r="A454" s="5" t="inlineStr"/>
      <c r="B454" s="5" t="inlineStr"/>
      <c r="C454" s="5">
        <f>IF($B454="","",VLOOKUP($B454,Jogos!$A$2:$K$105,8,FALSE))</f>
        <v/>
      </c>
      <c r="D454" s="5">
        <f>IF($B454="","",VLOOKUP($B454,Jogos!$A$2:$K$105,10,FALSE))</f>
        <v/>
      </c>
      <c r="E454" s="5" t="inlineStr"/>
      <c r="F454" s="5" t="inlineStr"/>
      <c r="G454" s="8">
        <f>IF($B454="","",VLOOKUP($B454,Jogos!$A$2:$K$105,9,FALSE))</f>
        <v/>
      </c>
      <c r="H454" s="8">
        <f>IF($B454="","",VLOOKUP($B454,Jogos!$A$2:$K$105,11,FALSE))</f>
        <v/>
      </c>
      <c r="I454" s="5">
        <f>IF(OR($A454="", $B454="", $E454="", $F454="", $G454="", $H454=""), "",IF(AND($E454=$G454, $F454=$H454), 3, IF(SIGN($E454-$F454)=SIGN($G454-$H454), 1, 0))))</f>
        <v/>
      </c>
    </row>
    <row r="455">
      <c r="A455" s="5" t="inlineStr"/>
      <c r="B455" s="5" t="inlineStr"/>
      <c r="C455" s="5">
        <f>IF($B455="","",VLOOKUP($B455,Jogos!$A$2:$K$105,8,FALSE))</f>
        <v/>
      </c>
      <c r="D455" s="5">
        <f>IF($B455="","",VLOOKUP($B455,Jogos!$A$2:$K$105,10,FALSE))</f>
        <v/>
      </c>
      <c r="E455" s="5" t="inlineStr"/>
      <c r="F455" s="5" t="inlineStr"/>
      <c r="G455" s="8">
        <f>IF($B455="","",VLOOKUP($B455,Jogos!$A$2:$K$105,9,FALSE))</f>
        <v/>
      </c>
      <c r="H455" s="8">
        <f>IF($B455="","",VLOOKUP($B455,Jogos!$A$2:$K$105,11,FALSE))</f>
        <v/>
      </c>
      <c r="I455" s="5">
        <f>IF(OR($A455="", $B455="", $E455="", $F455="", $G455="", $H455=""), "",IF(AND($E455=$G455, $F455=$H455), 3, IF(SIGN($E455-$F455)=SIGN($G455-$H455), 1, 0))))</f>
        <v/>
      </c>
    </row>
    <row r="456">
      <c r="A456" s="5" t="inlineStr"/>
      <c r="B456" s="5" t="inlineStr"/>
      <c r="C456" s="5">
        <f>IF($B456="","",VLOOKUP($B456,Jogos!$A$2:$K$105,8,FALSE))</f>
        <v/>
      </c>
      <c r="D456" s="5">
        <f>IF($B456="","",VLOOKUP($B456,Jogos!$A$2:$K$105,10,FALSE))</f>
        <v/>
      </c>
      <c r="E456" s="5" t="inlineStr"/>
      <c r="F456" s="5" t="inlineStr"/>
      <c r="G456" s="8">
        <f>IF($B456="","",VLOOKUP($B456,Jogos!$A$2:$K$105,9,FALSE))</f>
        <v/>
      </c>
      <c r="H456" s="8">
        <f>IF($B456="","",VLOOKUP($B456,Jogos!$A$2:$K$105,11,FALSE))</f>
        <v/>
      </c>
      <c r="I456" s="5">
        <f>IF(OR($A456="", $B456="", $E456="", $F456="", $G456="", $H456=""), "",IF(AND($E456=$G456, $F456=$H456), 3, IF(SIGN($E456-$F456)=SIGN($G456-$H456), 1, 0))))</f>
        <v/>
      </c>
    </row>
    <row r="457">
      <c r="A457" s="5" t="inlineStr"/>
      <c r="B457" s="5" t="inlineStr"/>
      <c r="C457" s="5">
        <f>IF($B457="","",VLOOKUP($B457,Jogos!$A$2:$K$105,8,FALSE))</f>
        <v/>
      </c>
      <c r="D457" s="5">
        <f>IF($B457="","",VLOOKUP($B457,Jogos!$A$2:$K$105,10,FALSE))</f>
        <v/>
      </c>
      <c r="E457" s="5" t="inlineStr"/>
      <c r="F457" s="5" t="inlineStr"/>
      <c r="G457" s="8">
        <f>IF($B457="","",VLOOKUP($B457,Jogos!$A$2:$K$105,9,FALSE))</f>
        <v/>
      </c>
      <c r="H457" s="8">
        <f>IF($B457="","",VLOOKUP($B457,Jogos!$A$2:$K$105,11,FALSE))</f>
        <v/>
      </c>
      <c r="I457" s="5">
        <f>IF(OR($A457="", $B457="", $E457="", $F457="", $G457="", $H457=""), "",IF(AND($E457=$G457, $F457=$H457), 3, IF(SIGN($E457-$F457)=SIGN($G457-$H457), 1, 0))))</f>
        <v/>
      </c>
    </row>
    <row r="458">
      <c r="A458" s="5" t="inlineStr"/>
      <c r="B458" s="5" t="inlineStr"/>
      <c r="C458" s="5">
        <f>IF($B458="","",VLOOKUP($B458,Jogos!$A$2:$K$105,8,FALSE))</f>
        <v/>
      </c>
      <c r="D458" s="5">
        <f>IF($B458="","",VLOOKUP($B458,Jogos!$A$2:$K$105,10,FALSE))</f>
        <v/>
      </c>
      <c r="E458" s="5" t="inlineStr"/>
      <c r="F458" s="5" t="inlineStr"/>
      <c r="G458" s="8">
        <f>IF($B458="","",VLOOKUP($B458,Jogos!$A$2:$K$105,9,FALSE))</f>
        <v/>
      </c>
      <c r="H458" s="8">
        <f>IF($B458="","",VLOOKUP($B458,Jogos!$A$2:$K$105,11,FALSE))</f>
        <v/>
      </c>
      <c r="I458" s="5">
        <f>IF(OR($A458="", $B458="", $E458="", $F458="", $G458="", $H458=""), "",IF(AND($E458=$G458, $F458=$H458), 3, IF(SIGN($E458-$F458)=SIGN($G458-$H458), 1, 0))))</f>
        <v/>
      </c>
    </row>
    <row r="459">
      <c r="A459" s="5" t="inlineStr"/>
      <c r="B459" s="5" t="inlineStr"/>
      <c r="C459" s="5">
        <f>IF($B459="","",VLOOKUP($B459,Jogos!$A$2:$K$105,8,FALSE))</f>
        <v/>
      </c>
      <c r="D459" s="5">
        <f>IF($B459="","",VLOOKUP($B459,Jogos!$A$2:$K$105,10,FALSE))</f>
        <v/>
      </c>
      <c r="E459" s="5" t="inlineStr"/>
      <c r="F459" s="5" t="inlineStr"/>
      <c r="G459" s="8">
        <f>IF($B459="","",VLOOKUP($B459,Jogos!$A$2:$K$105,9,FALSE))</f>
        <v/>
      </c>
      <c r="H459" s="8">
        <f>IF($B459="","",VLOOKUP($B459,Jogos!$A$2:$K$105,11,FALSE))</f>
        <v/>
      </c>
      <c r="I459" s="5">
        <f>IF(OR($A459="", $B459="", $E459="", $F459="", $G459="", $H459=""), "",IF(AND($E459=$G459, $F459=$H459), 3, IF(SIGN($E459-$F459)=SIGN($G459-$H459), 1, 0))))</f>
        <v/>
      </c>
    </row>
    <row r="460">
      <c r="A460" s="5" t="inlineStr"/>
      <c r="B460" s="5" t="inlineStr"/>
      <c r="C460" s="5">
        <f>IF($B460="","",VLOOKUP($B460,Jogos!$A$2:$K$105,8,FALSE))</f>
        <v/>
      </c>
      <c r="D460" s="5">
        <f>IF($B460="","",VLOOKUP($B460,Jogos!$A$2:$K$105,10,FALSE))</f>
        <v/>
      </c>
      <c r="E460" s="5" t="inlineStr"/>
      <c r="F460" s="5" t="inlineStr"/>
      <c r="G460" s="8">
        <f>IF($B460="","",VLOOKUP($B460,Jogos!$A$2:$K$105,9,FALSE))</f>
        <v/>
      </c>
      <c r="H460" s="8">
        <f>IF($B460="","",VLOOKUP($B460,Jogos!$A$2:$K$105,11,FALSE))</f>
        <v/>
      </c>
      <c r="I460" s="5">
        <f>IF(OR($A460="", $B460="", $E460="", $F460="", $G460="", $H460=""), "",IF(AND($E460=$G460, $F460=$H460), 3, IF(SIGN($E460-$F460)=SIGN($G460-$H460), 1, 0))))</f>
        <v/>
      </c>
    </row>
    <row r="461">
      <c r="A461" s="5" t="inlineStr"/>
      <c r="B461" s="5" t="inlineStr"/>
      <c r="C461" s="5">
        <f>IF($B461="","",VLOOKUP($B461,Jogos!$A$2:$K$105,8,FALSE))</f>
        <v/>
      </c>
      <c r="D461" s="5">
        <f>IF($B461="","",VLOOKUP($B461,Jogos!$A$2:$K$105,10,FALSE))</f>
        <v/>
      </c>
      <c r="E461" s="5" t="inlineStr"/>
      <c r="F461" s="5" t="inlineStr"/>
      <c r="G461" s="8">
        <f>IF($B461="","",VLOOKUP($B461,Jogos!$A$2:$K$105,9,FALSE))</f>
        <v/>
      </c>
      <c r="H461" s="8">
        <f>IF($B461="","",VLOOKUP($B461,Jogos!$A$2:$K$105,11,FALSE))</f>
        <v/>
      </c>
      <c r="I461" s="5">
        <f>IF(OR($A461="", $B461="", $E461="", $F461="", $G461="", $H461=""), "",IF(AND($E461=$G461, $F461=$H461), 3, IF(SIGN($E461-$F461)=SIGN($G461-$H461), 1, 0))))</f>
        <v/>
      </c>
    </row>
    <row r="462">
      <c r="A462" s="5" t="inlineStr"/>
      <c r="B462" s="5" t="inlineStr"/>
      <c r="C462" s="5">
        <f>IF($B462="","",VLOOKUP($B462,Jogos!$A$2:$K$105,8,FALSE))</f>
        <v/>
      </c>
      <c r="D462" s="5">
        <f>IF($B462="","",VLOOKUP($B462,Jogos!$A$2:$K$105,10,FALSE))</f>
        <v/>
      </c>
      <c r="E462" s="5" t="inlineStr"/>
      <c r="F462" s="5" t="inlineStr"/>
      <c r="G462" s="8">
        <f>IF($B462="","",VLOOKUP($B462,Jogos!$A$2:$K$105,9,FALSE))</f>
        <v/>
      </c>
      <c r="H462" s="8">
        <f>IF($B462="","",VLOOKUP($B462,Jogos!$A$2:$K$105,11,FALSE))</f>
        <v/>
      </c>
      <c r="I462" s="5">
        <f>IF(OR($A462="", $B462="", $E462="", $F462="", $G462="", $H462=""), "",IF(AND($E462=$G462, $F462=$H462), 3, IF(SIGN($E462-$F462)=SIGN($G462-$H462), 1, 0))))</f>
        <v/>
      </c>
    </row>
    <row r="463">
      <c r="A463" s="5" t="inlineStr"/>
      <c r="B463" s="5" t="inlineStr"/>
      <c r="C463" s="5">
        <f>IF($B463="","",VLOOKUP($B463,Jogos!$A$2:$K$105,8,FALSE))</f>
        <v/>
      </c>
      <c r="D463" s="5">
        <f>IF($B463="","",VLOOKUP($B463,Jogos!$A$2:$K$105,10,FALSE))</f>
        <v/>
      </c>
      <c r="E463" s="5" t="inlineStr"/>
      <c r="F463" s="5" t="inlineStr"/>
      <c r="G463" s="8">
        <f>IF($B463="","",VLOOKUP($B463,Jogos!$A$2:$K$105,9,FALSE))</f>
        <v/>
      </c>
      <c r="H463" s="8">
        <f>IF($B463="","",VLOOKUP($B463,Jogos!$A$2:$K$105,11,FALSE))</f>
        <v/>
      </c>
      <c r="I463" s="5">
        <f>IF(OR($A463="", $B463="", $E463="", $F463="", $G463="", $H463=""), "",IF(AND($E463=$G463, $F463=$H463), 3, IF(SIGN($E463-$F463)=SIGN($G463-$H463), 1, 0))))</f>
        <v/>
      </c>
    </row>
    <row r="464">
      <c r="A464" s="5" t="inlineStr"/>
      <c r="B464" s="5" t="inlineStr"/>
      <c r="C464" s="5">
        <f>IF($B464="","",VLOOKUP($B464,Jogos!$A$2:$K$105,8,FALSE))</f>
        <v/>
      </c>
      <c r="D464" s="5">
        <f>IF($B464="","",VLOOKUP($B464,Jogos!$A$2:$K$105,10,FALSE))</f>
        <v/>
      </c>
      <c r="E464" s="5" t="inlineStr"/>
      <c r="F464" s="5" t="inlineStr"/>
      <c r="G464" s="8">
        <f>IF($B464="","",VLOOKUP($B464,Jogos!$A$2:$K$105,9,FALSE))</f>
        <v/>
      </c>
      <c r="H464" s="8">
        <f>IF($B464="","",VLOOKUP($B464,Jogos!$A$2:$K$105,11,FALSE))</f>
        <v/>
      </c>
      <c r="I464" s="5">
        <f>IF(OR($A464="", $B464="", $E464="", $F464="", $G464="", $H464=""), "",IF(AND($E464=$G464, $F464=$H464), 3, IF(SIGN($E464-$F464)=SIGN($G464-$H464), 1, 0))))</f>
        <v/>
      </c>
    </row>
    <row r="465">
      <c r="A465" s="5" t="inlineStr"/>
      <c r="B465" s="5" t="inlineStr"/>
      <c r="C465" s="5">
        <f>IF($B465="","",VLOOKUP($B465,Jogos!$A$2:$K$105,8,FALSE))</f>
        <v/>
      </c>
      <c r="D465" s="5">
        <f>IF($B465="","",VLOOKUP($B465,Jogos!$A$2:$K$105,10,FALSE))</f>
        <v/>
      </c>
      <c r="E465" s="5" t="inlineStr"/>
      <c r="F465" s="5" t="inlineStr"/>
      <c r="G465" s="8">
        <f>IF($B465="","",VLOOKUP($B465,Jogos!$A$2:$K$105,9,FALSE))</f>
        <v/>
      </c>
      <c r="H465" s="8">
        <f>IF($B465="","",VLOOKUP($B465,Jogos!$A$2:$K$105,11,FALSE))</f>
        <v/>
      </c>
      <c r="I465" s="5">
        <f>IF(OR($A465="", $B465="", $E465="", $F465="", $G465="", $H465=""), "",IF(AND($E465=$G465, $F465=$H465), 3, IF(SIGN($E465-$F465)=SIGN($G465-$H465), 1, 0))))</f>
        <v/>
      </c>
    </row>
    <row r="466">
      <c r="A466" s="5" t="inlineStr"/>
      <c r="B466" s="5" t="inlineStr"/>
      <c r="C466" s="5">
        <f>IF($B466="","",VLOOKUP($B466,Jogos!$A$2:$K$105,8,FALSE))</f>
        <v/>
      </c>
      <c r="D466" s="5">
        <f>IF($B466="","",VLOOKUP($B466,Jogos!$A$2:$K$105,10,FALSE))</f>
        <v/>
      </c>
      <c r="E466" s="5" t="inlineStr"/>
      <c r="F466" s="5" t="inlineStr"/>
      <c r="G466" s="8">
        <f>IF($B466="","",VLOOKUP($B466,Jogos!$A$2:$K$105,9,FALSE))</f>
        <v/>
      </c>
      <c r="H466" s="8">
        <f>IF($B466="","",VLOOKUP($B466,Jogos!$A$2:$K$105,11,FALSE))</f>
        <v/>
      </c>
      <c r="I466" s="5">
        <f>IF(OR($A466="", $B466="", $E466="", $F466="", $G466="", $H466=""), "",IF(AND($E466=$G466, $F466=$H466), 3, IF(SIGN($E466-$F466)=SIGN($G466-$H466), 1, 0))))</f>
        <v/>
      </c>
    </row>
    <row r="467">
      <c r="A467" s="5" t="inlineStr"/>
      <c r="B467" s="5" t="inlineStr"/>
      <c r="C467" s="5">
        <f>IF($B467="","",VLOOKUP($B467,Jogos!$A$2:$K$105,8,FALSE))</f>
        <v/>
      </c>
      <c r="D467" s="5">
        <f>IF($B467="","",VLOOKUP($B467,Jogos!$A$2:$K$105,10,FALSE))</f>
        <v/>
      </c>
      <c r="E467" s="5" t="inlineStr"/>
      <c r="F467" s="5" t="inlineStr"/>
      <c r="G467" s="8">
        <f>IF($B467="","",VLOOKUP($B467,Jogos!$A$2:$K$105,9,FALSE))</f>
        <v/>
      </c>
      <c r="H467" s="8">
        <f>IF($B467="","",VLOOKUP($B467,Jogos!$A$2:$K$105,11,FALSE))</f>
        <v/>
      </c>
      <c r="I467" s="5">
        <f>IF(OR($A467="", $B467="", $E467="", $F467="", $G467="", $H467=""), "",IF(AND($E467=$G467, $F467=$H467), 3, IF(SIGN($E467-$F467)=SIGN($G467-$H467), 1, 0))))</f>
        <v/>
      </c>
    </row>
    <row r="468">
      <c r="A468" s="5" t="inlineStr"/>
      <c r="B468" s="5" t="inlineStr"/>
      <c r="C468" s="5">
        <f>IF($B468="","",VLOOKUP($B468,Jogos!$A$2:$K$105,8,FALSE))</f>
        <v/>
      </c>
      <c r="D468" s="5">
        <f>IF($B468="","",VLOOKUP($B468,Jogos!$A$2:$K$105,10,FALSE))</f>
        <v/>
      </c>
      <c r="E468" s="5" t="inlineStr"/>
      <c r="F468" s="5" t="inlineStr"/>
      <c r="G468" s="8">
        <f>IF($B468="","",VLOOKUP($B468,Jogos!$A$2:$K$105,9,FALSE))</f>
        <v/>
      </c>
      <c r="H468" s="8">
        <f>IF($B468="","",VLOOKUP($B468,Jogos!$A$2:$K$105,11,FALSE))</f>
        <v/>
      </c>
      <c r="I468" s="5">
        <f>IF(OR($A468="", $B468="", $E468="", $F468="", $G468="", $H468=""), "",IF(AND($E468=$G468, $F468=$H468), 3, IF(SIGN($E468-$F468)=SIGN($G468-$H468), 1, 0))))</f>
        <v/>
      </c>
    </row>
    <row r="469">
      <c r="A469" s="5" t="inlineStr"/>
      <c r="B469" s="5" t="inlineStr"/>
      <c r="C469" s="5">
        <f>IF($B469="","",VLOOKUP($B469,Jogos!$A$2:$K$105,8,FALSE))</f>
        <v/>
      </c>
      <c r="D469" s="5">
        <f>IF($B469="","",VLOOKUP($B469,Jogos!$A$2:$K$105,10,FALSE))</f>
        <v/>
      </c>
      <c r="E469" s="5" t="inlineStr"/>
      <c r="F469" s="5" t="inlineStr"/>
      <c r="G469" s="8">
        <f>IF($B469="","",VLOOKUP($B469,Jogos!$A$2:$K$105,9,FALSE))</f>
        <v/>
      </c>
      <c r="H469" s="8">
        <f>IF($B469="","",VLOOKUP($B469,Jogos!$A$2:$K$105,11,FALSE))</f>
        <v/>
      </c>
      <c r="I469" s="5">
        <f>IF(OR($A469="", $B469="", $E469="", $F469="", $G469="", $H469=""), "",IF(AND($E469=$G469, $F469=$H469), 3, IF(SIGN($E469-$F469)=SIGN($G469-$H469), 1, 0))))</f>
        <v/>
      </c>
    </row>
    <row r="470">
      <c r="A470" s="5" t="inlineStr"/>
      <c r="B470" s="5" t="inlineStr"/>
      <c r="C470" s="5">
        <f>IF($B470="","",VLOOKUP($B470,Jogos!$A$2:$K$105,8,FALSE))</f>
        <v/>
      </c>
      <c r="D470" s="5">
        <f>IF($B470="","",VLOOKUP($B470,Jogos!$A$2:$K$105,10,FALSE))</f>
        <v/>
      </c>
      <c r="E470" s="5" t="inlineStr"/>
      <c r="F470" s="5" t="inlineStr"/>
      <c r="G470" s="8">
        <f>IF($B470="","",VLOOKUP($B470,Jogos!$A$2:$K$105,9,FALSE))</f>
        <v/>
      </c>
      <c r="H470" s="8">
        <f>IF($B470="","",VLOOKUP($B470,Jogos!$A$2:$K$105,11,FALSE))</f>
        <v/>
      </c>
      <c r="I470" s="5">
        <f>IF(OR($A470="", $B470="", $E470="", $F470="", $G470="", $H470=""), "",IF(AND($E470=$G470, $F470=$H470), 3, IF(SIGN($E470-$F470)=SIGN($G470-$H470), 1, 0))))</f>
        <v/>
      </c>
    </row>
    <row r="471">
      <c r="A471" s="5" t="inlineStr"/>
      <c r="B471" s="5" t="inlineStr"/>
      <c r="C471" s="5">
        <f>IF($B471="","",VLOOKUP($B471,Jogos!$A$2:$K$105,8,FALSE))</f>
        <v/>
      </c>
      <c r="D471" s="5">
        <f>IF($B471="","",VLOOKUP($B471,Jogos!$A$2:$K$105,10,FALSE))</f>
        <v/>
      </c>
      <c r="E471" s="5" t="inlineStr"/>
      <c r="F471" s="5" t="inlineStr"/>
      <c r="G471" s="8">
        <f>IF($B471="","",VLOOKUP($B471,Jogos!$A$2:$K$105,9,FALSE))</f>
        <v/>
      </c>
      <c r="H471" s="8">
        <f>IF($B471="","",VLOOKUP($B471,Jogos!$A$2:$K$105,11,FALSE))</f>
        <v/>
      </c>
      <c r="I471" s="5">
        <f>IF(OR($A471="", $B471="", $E471="", $F471="", $G471="", $H471=""), "",IF(AND($E471=$G471, $F471=$H471), 3, IF(SIGN($E471-$F471)=SIGN($G471-$H471), 1, 0))))</f>
        <v/>
      </c>
    </row>
    <row r="472">
      <c r="A472" s="5" t="inlineStr"/>
      <c r="B472" s="5" t="inlineStr"/>
      <c r="C472" s="5">
        <f>IF($B472="","",VLOOKUP($B472,Jogos!$A$2:$K$105,8,FALSE))</f>
        <v/>
      </c>
      <c r="D472" s="5">
        <f>IF($B472="","",VLOOKUP($B472,Jogos!$A$2:$K$105,10,FALSE))</f>
        <v/>
      </c>
      <c r="E472" s="5" t="inlineStr"/>
      <c r="F472" s="5" t="inlineStr"/>
      <c r="G472" s="8">
        <f>IF($B472="","",VLOOKUP($B472,Jogos!$A$2:$K$105,9,FALSE))</f>
        <v/>
      </c>
      <c r="H472" s="8">
        <f>IF($B472="","",VLOOKUP($B472,Jogos!$A$2:$K$105,11,FALSE))</f>
        <v/>
      </c>
      <c r="I472" s="5">
        <f>IF(OR($A472="", $B472="", $E472="", $F472="", $G472="", $H472=""), "",IF(AND($E472=$G472, $F472=$H472), 3, IF(SIGN($E472-$F472)=SIGN($G472-$H472), 1, 0))))</f>
        <v/>
      </c>
    </row>
    <row r="473">
      <c r="A473" s="5" t="inlineStr"/>
      <c r="B473" s="5" t="inlineStr"/>
      <c r="C473" s="5">
        <f>IF($B473="","",VLOOKUP($B473,Jogos!$A$2:$K$105,8,FALSE))</f>
        <v/>
      </c>
      <c r="D473" s="5">
        <f>IF($B473="","",VLOOKUP($B473,Jogos!$A$2:$K$105,10,FALSE))</f>
        <v/>
      </c>
      <c r="E473" s="5" t="inlineStr"/>
      <c r="F473" s="5" t="inlineStr"/>
      <c r="G473" s="8">
        <f>IF($B473="","",VLOOKUP($B473,Jogos!$A$2:$K$105,9,FALSE))</f>
        <v/>
      </c>
      <c r="H473" s="8">
        <f>IF($B473="","",VLOOKUP($B473,Jogos!$A$2:$K$105,11,FALSE))</f>
        <v/>
      </c>
      <c r="I473" s="5">
        <f>IF(OR($A473="", $B473="", $E473="", $F473="", $G473="", $H473=""), "",IF(AND($E473=$G473, $F473=$H473), 3, IF(SIGN($E473-$F473)=SIGN($G473-$H473), 1, 0))))</f>
        <v/>
      </c>
    </row>
    <row r="474">
      <c r="A474" s="5" t="inlineStr"/>
      <c r="B474" s="5" t="inlineStr"/>
      <c r="C474" s="5">
        <f>IF($B474="","",VLOOKUP($B474,Jogos!$A$2:$K$105,8,FALSE))</f>
        <v/>
      </c>
      <c r="D474" s="5">
        <f>IF($B474="","",VLOOKUP($B474,Jogos!$A$2:$K$105,10,FALSE))</f>
        <v/>
      </c>
      <c r="E474" s="5" t="inlineStr"/>
      <c r="F474" s="5" t="inlineStr"/>
      <c r="G474" s="8">
        <f>IF($B474="","",VLOOKUP($B474,Jogos!$A$2:$K$105,9,FALSE))</f>
        <v/>
      </c>
      <c r="H474" s="8">
        <f>IF($B474="","",VLOOKUP($B474,Jogos!$A$2:$K$105,11,FALSE))</f>
        <v/>
      </c>
      <c r="I474" s="5">
        <f>IF(OR($A474="", $B474="", $E474="", $F474="", $G474="", $H474=""), "",IF(AND($E474=$G474, $F474=$H474), 3, IF(SIGN($E474-$F474)=SIGN($G474-$H474), 1, 0))))</f>
        <v/>
      </c>
    </row>
    <row r="475">
      <c r="A475" s="5" t="inlineStr"/>
      <c r="B475" s="5" t="inlineStr"/>
      <c r="C475" s="5">
        <f>IF($B475="","",VLOOKUP($B475,Jogos!$A$2:$K$105,8,FALSE))</f>
        <v/>
      </c>
      <c r="D475" s="5">
        <f>IF($B475="","",VLOOKUP($B475,Jogos!$A$2:$K$105,10,FALSE))</f>
        <v/>
      </c>
      <c r="E475" s="5" t="inlineStr"/>
      <c r="F475" s="5" t="inlineStr"/>
      <c r="G475" s="8">
        <f>IF($B475="","",VLOOKUP($B475,Jogos!$A$2:$K$105,9,FALSE))</f>
        <v/>
      </c>
      <c r="H475" s="8">
        <f>IF($B475="","",VLOOKUP($B475,Jogos!$A$2:$K$105,11,FALSE))</f>
        <v/>
      </c>
      <c r="I475" s="5">
        <f>IF(OR($A475="", $B475="", $E475="", $F475="", $G475="", $H475=""), "",IF(AND($E475=$G475, $F475=$H475), 3, IF(SIGN($E475-$F475)=SIGN($G475-$H475), 1, 0))))</f>
        <v/>
      </c>
    </row>
    <row r="476">
      <c r="A476" s="5" t="inlineStr"/>
      <c r="B476" s="5" t="inlineStr"/>
      <c r="C476" s="5">
        <f>IF($B476="","",VLOOKUP($B476,Jogos!$A$2:$K$105,8,FALSE))</f>
        <v/>
      </c>
      <c r="D476" s="5">
        <f>IF($B476="","",VLOOKUP($B476,Jogos!$A$2:$K$105,10,FALSE))</f>
        <v/>
      </c>
      <c r="E476" s="5" t="inlineStr"/>
      <c r="F476" s="5" t="inlineStr"/>
      <c r="G476" s="8">
        <f>IF($B476="","",VLOOKUP($B476,Jogos!$A$2:$K$105,9,FALSE))</f>
        <v/>
      </c>
      <c r="H476" s="8">
        <f>IF($B476="","",VLOOKUP($B476,Jogos!$A$2:$K$105,11,FALSE))</f>
        <v/>
      </c>
      <c r="I476" s="5">
        <f>IF(OR($A476="", $B476="", $E476="", $F476="", $G476="", $H476=""), "",IF(AND($E476=$G476, $F476=$H476), 3, IF(SIGN($E476-$F476)=SIGN($G476-$H476), 1, 0))))</f>
        <v/>
      </c>
    </row>
    <row r="477">
      <c r="A477" s="5" t="inlineStr"/>
      <c r="B477" s="5" t="inlineStr"/>
      <c r="C477" s="5">
        <f>IF($B477="","",VLOOKUP($B477,Jogos!$A$2:$K$105,8,FALSE))</f>
        <v/>
      </c>
      <c r="D477" s="5">
        <f>IF($B477="","",VLOOKUP($B477,Jogos!$A$2:$K$105,10,FALSE))</f>
        <v/>
      </c>
      <c r="E477" s="5" t="inlineStr"/>
      <c r="F477" s="5" t="inlineStr"/>
      <c r="G477" s="8">
        <f>IF($B477="","",VLOOKUP($B477,Jogos!$A$2:$K$105,9,FALSE))</f>
        <v/>
      </c>
      <c r="H477" s="8">
        <f>IF($B477="","",VLOOKUP($B477,Jogos!$A$2:$K$105,11,FALSE))</f>
        <v/>
      </c>
      <c r="I477" s="5">
        <f>IF(OR($A477="", $B477="", $E477="", $F477="", $G477="", $H477=""), "",IF(AND($E477=$G477, $F477=$H477), 3, IF(SIGN($E477-$F477)=SIGN($G477-$H477), 1, 0))))</f>
        <v/>
      </c>
    </row>
    <row r="478">
      <c r="A478" s="5" t="inlineStr"/>
      <c r="B478" s="5" t="inlineStr"/>
      <c r="C478" s="5">
        <f>IF($B478="","",VLOOKUP($B478,Jogos!$A$2:$K$105,8,FALSE))</f>
        <v/>
      </c>
      <c r="D478" s="5">
        <f>IF($B478="","",VLOOKUP($B478,Jogos!$A$2:$K$105,10,FALSE))</f>
        <v/>
      </c>
      <c r="E478" s="5" t="inlineStr"/>
      <c r="F478" s="5" t="inlineStr"/>
      <c r="G478" s="8">
        <f>IF($B478="","",VLOOKUP($B478,Jogos!$A$2:$K$105,9,FALSE))</f>
        <v/>
      </c>
      <c r="H478" s="8">
        <f>IF($B478="","",VLOOKUP($B478,Jogos!$A$2:$K$105,11,FALSE))</f>
        <v/>
      </c>
      <c r="I478" s="5">
        <f>IF(OR($A478="", $B478="", $E478="", $F478="", $G478="", $H478=""), "",IF(AND($E478=$G478, $F478=$H478), 3, IF(SIGN($E478-$F478)=SIGN($G478-$H478), 1, 0))))</f>
        <v/>
      </c>
    </row>
    <row r="479">
      <c r="A479" s="5" t="inlineStr"/>
      <c r="B479" s="5" t="inlineStr"/>
      <c r="C479" s="5">
        <f>IF($B479="","",VLOOKUP($B479,Jogos!$A$2:$K$105,8,FALSE))</f>
        <v/>
      </c>
      <c r="D479" s="5">
        <f>IF($B479="","",VLOOKUP($B479,Jogos!$A$2:$K$105,10,FALSE))</f>
        <v/>
      </c>
      <c r="E479" s="5" t="inlineStr"/>
      <c r="F479" s="5" t="inlineStr"/>
      <c r="G479" s="8">
        <f>IF($B479="","",VLOOKUP($B479,Jogos!$A$2:$K$105,9,FALSE))</f>
        <v/>
      </c>
      <c r="H479" s="8">
        <f>IF($B479="","",VLOOKUP($B479,Jogos!$A$2:$K$105,11,FALSE))</f>
        <v/>
      </c>
      <c r="I479" s="5">
        <f>IF(OR($A479="", $B479="", $E479="", $F479="", $G479="", $H479=""), "",IF(AND($E479=$G479, $F479=$H479), 3, IF(SIGN($E479-$F479)=SIGN($G479-$H479), 1, 0))))</f>
        <v/>
      </c>
    </row>
    <row r="480">
      <c r="A480" s="5" t="inlineStr"/>
      <c r="B480" s="5" t="inlineStr"/>
      <c r="C480" s="5">
        <f>IF($B480="","",VLOOKUP($B480,Jogos!$A$2:$K$105,8,FALSE))</f>
        <v/>
      </c>
      <c r="D480" s="5">
        <f>IF($B480="","",VLOOKUP($B480,Jogos!$A$2:$K$105,10,FALSE))</f>
        <v/>
      </c>
      <c r="E480" s="5" t="inlineStr"/>
      <c r="F480" s="5" t="inlineStr"/>
      <c r="G480" s="8">
        <f>IF($B480="","",VLOOKUP($B480,Jogos!$A$2:$K$105,9,FALSE))</f>
        <v/>
      </c>
      <c r="H480" s="8">
        <f>IF($B480="","",VLOOKUP($B480,Jogos!$A$2:$K$105,11,FALSE))</f>
        <v/>
      </c>
      <c r="I480" s="5">
        <f>IF(OR($A480="", $B480="", $E480="", $F480="", $G480="", $H480=""), "",IF(AND($E480=$G480, $F480=$H480), 3, IF(SIGN($E480-$F480)=SIGN($G480-$H480), 1, 0))))</f>
        <v/>
      </c>
    </row>
    <row r="481">
      <c r="A481" s="5" t="inlineStr"/>
      <c r="B481" s="5" t="inlineStr"/>
      <c r="C481" s="5">
        <f>IF($B481="","",VLOOKUP($B481,Jogos!$A$2:$K$105,8,FALSE))</f>
        <v/>
      </c>
      <c r="D481" s="5">
        <f>IF($B481="","",VLOOKUP($B481,Jogos!$A$2:$K$105,10,FALSE))</f>
        <v/>
      </c>
      <c r="E481" s="5" t="inlineStr"/>
      <c r="F481" s="5" t="inlineStr"/>
      <c r="G481" s="8">
        <f>IF($B481="","",VLOOKUP($B481,Jogos!$A$2:$K$105,9,FALSE))</f>
        <v/>
      </c>
      <c r="H481" s="8">
        <f>IF($B481="","",VLOOKUP($B481,Jogos!$A$2:$K$105,11,FALSE))</f>
        <v/>
      </c>
      <c r="I481" s="5">
        <f>IF(OR($A481="", $B481="", $E481="", $F481="", $G481="", $H481=""), "",IF(AND($E481=$G481, $F481=$H481), 3, IF(SIGN($E481-$F481)=SIGN($G481-$H481), 1, 0))))</f>
        <v/>
      </c>
    </row>
    <row r="482">
      <c r="A482" s="5" t="inlineStr"/>
      <c r="B482" s="5" t="inlineStr"/>
      <c r="C482" s="5">
        <f>IF($B482="","",VLOOKUP($B482,Jogos!$A$2:$K$105,8,FALSE))</f>
        <v/>
      </c>
      <c r="D482" s="5">
        <f>IF($B482="","",VLOOKUP($B482,Jogos!$A$2:$K$105,10,FALSE))</f>
        <v/>
      </c>
      <c r="E482" s="5" t="inlineStr"/>
      <c r="F482" s="5" t="inlineStr"/>
      <c r="G482" s="8">
        <f>IF($B482="","",VLOOKUP($B482,Jogos!$A$2:$K$105,9,FALSE))</f>
        <v/>
      </c>
      <c r="H482" s="8">
        <f>IF($B482="","",VLOOKUP($B482,Jogos!$A$2:$K$105,11,FALSE))</f>
        <v/>
      </c>
      <c r="I482" s="5">
        <f>IF(OR($A482="", $B482="", $E482="", $F482="", $G482="", $H482=""), "",IF(AND($E482=$G482, $F482=$H482), 3, IF(SIGN($E482-$F482)=SIGN($G482-$H482), 1, 0))))</f>
        <v/>
      </c>
    </row>
    <row r="483">
      <c r="A483" s="5" t="inlineStr"/>
      <c r="B483" s="5" t="inlineStr"/>
      <c r="C483" s="5">
        <f>IF($B483="","",VLOOKUP($B483,Jogos!$A$2:$K$105,8,FALSE))</f>
        <v/>
      </c>
      <c r="D483" s="5">
        <f>IF($B483="","",VLOOKUP($B483,Jogos!$A$2:$K$105,10,FALSE))</f>
        <v/>
      </c>
      <c r="E483" s="5" t="inlineStr"/>
      <c r="F483" s="5" t="inlineStr"/>
      <c r="G483" s="8">
        <f>IF($B483="","",VLOOKUP($B483,Jogos!$A$2:$K$105,9,FALSE))</f>
        <v/>
      </c>
      <c r="H483" s="8">
        <f>IF($B483="","",VLOOKUP($B483,Jogos!$A$2:$K$105,11,FALSE))</f>
        <v/>
      </c>
      <c r="I483" s="5">
        <f>IF(OR($A483="", $B483="", $E483="", $F483="", $G483="", $H483=""), "",IF(AND($E483=$G483, $F483=$H483), 3, IF(SIGN($E483-$F483)=SIGN($G483-$H483), 1, 0))))</f>
        <v/>
      </c>
    </row>
    <row r="484">
      <c r="A484" s="5" t="inlineStr"/>
      <c r="B484" s="5" t="inlineStr"/>
      <c r="C484" s="5">
        <f>IF($B484="","",VLOOKUP($B484,Jogos!$A$2:$K$105,8,FALSE))</f>
        <v/>
      </c>
      <c r="D484" s="5">
        <f>IF($B484="","",VLOOKUP($B484,Jogos!$A$2:$K$105,10,FALSE))</f>
        <v/>
      </c>
      <c r="E484" s="5" t="inlineStr"/>
      <c r="F484" s="5" t="inlineStr"/>
      <c r="G484" s="8">
        <f>IF($B484="","",VLOOKUP($B484,Jogos!$A$2:$K$105,9,FALSE))</f>
        <v/>
      </c>
      <c r="H484" s="8">
        <f>IF($B484="","",VLOOKUP($B484,Jogos!$A$2:$K$105,11,FALSE))</f>
        <v/>
      </c>
      <c r="I484" s="5">
        <f>IF(OR($A484="", $B484="", $E484="", $F484="", $G484="", $H484=""), "",IF(AND($E484=$G484, $F484=$H484), 3, IF(SIGN($E484-$F484)=SIGN($G484-$H484), 1, 0))))</f>
        <v/>
      </c>
    </row>
    <row r="485">
      <c r="A485" s="5" t="inlineStr"/>
      <c r="B485" s="5" t="inlineStr"/>
      <c r="C485" s="5">
        <f>IF($B485="","",VLOOKUP($B485,Jogos!$A$2:$K$105,8,FALSE))</f>
        <v/>
      </c>
      <c r="D485" s="5">
        <f>IF($B485="","",VLOOKUP($B485,Jogos!$A$2:$K$105,10,FALSE))</f>
        <v/>
      </c>
      <c r="E485" s="5" t="inlineStr"/>
      <c r="F485" s="5" t="inlineStr"/>
      <c r="G485" s="8">
        <f>IF($B485="","",VLOOKUP($B485,Jogos!$A$2:$K$105,9,FALSE))</f>
        <v/>
      </c>
      <c r="H485" s="8">
        <f>IF($B485="","",VLOOKUP($B485,Jogos!$A$2:$K$105,11,FALSE))</f>
        <v/>
      </c>
      <c r="I485" s="5">
        <f>IF(OR($A485="", $B485="", $E485="", $F485="", $G485="", $H485=""), "",IF(AND($E485=$G485, $F485=$H485), 3, IF(SIGN($E485-$F485)=SIGN($G485-$H485), 1, 0))))</f>
        <v/>
      </c>
    </row>
    <row r="486">
      <c r="A486" s="5" t="inlineStr"/>
      <c r="B486" s="5" t="inlineStr"/>
      <c r="C486" s="5">
        <f>IF($B486="","",VLOOKUP($B486,Jogos!$A$2:$K$105,8,FALSE))</f>
        <v/>
      </c>
      <c r="D486" s="5">
        <f>IF($B486="","",VLOOKUP($B486,Jogos!$A$2:$K$105,10,FALSE))</f>
        <v/>
      </c>
      <c r="E486" s="5" t="inlineStr"/>
      <c r="F486" s="5" t="inlineStr"/>
      <c r="G486" s="8">
        <f>IF($B486="","",VLOOKUP($B486,Jogos!$A$2:$K$105,9,FALSE))</f>
        <v/>
      </c>
      <c r="H486" s="8">
        <f>IF($B486="","",VLOOKUP($B486,Jogos!$A$2:$K$105,11,FALSE))</f>
        <v/>
      </c>
      <c r="I486" s="5">
        <f>IF(OR($A486="", $B486="", $E486="", $F486="", $G486="", $H486=""), "",IF(AND($E486=$G486, $F486=$H486), 3, IF(SIGN($E486-$F486)=SIGN($G486-$H486), 1, 0))))</f>
        <v/>
      </c>
    </row>
    <row r="487">
      <c r="A487" s="5" t="inlineStr"/>
      <c r="B487" s="5" t="inlineStr"/>
      <c r="C487" s="5">
        <f>IF($B487="","",VLOOKUP($B487,Jogos!$A$2:$K$105,8,FALSE))</f>
        <v/>
      </c>
      <c r="D487" s="5">
        <f>IF($B487="","",VLOOKUP($B487,Jogos!$A$2:$K$105,10,FALSE))</f>
        <v/>
      </c>
      <c r="E487" s="5" t="inlineStr"/>
      <c r="F487" s="5" t="inlineStr"/>
      <c r="G487" s="8">
        <f>IF($B487="","",VLOOKUP($B487,Jogos!$A$2:$K$105,9,FALSE))</f>
        <v/>
      </c>
      <c r="H487" s="8">
        <f>IF($B487="","",VLOOKUP($B487,Jogos!$A$2:$K$105,11,FALSE))</f>
        <v/>
      </c>
      <c r="I487" s="5">
        <f>IF(OR($A487="", $B487="", $E487="", $F487="", $G487="", $H487=""), "",IF(AND($E487=$G487, $F487=$H487), 3, IF(SIGN($E487-$F487)=SIGN($G487-$H487), 1, 0))))</f>
        <v/>
      </c>
    </row>
    <row r="488">
      <c r="A488" s="5" t="inlineStr"/>
      <c r="B488" s="5" t="inlineStr"/>
      <c r="C488" s="5">
        <f>IF($B488="","",VLOOKUP($B488,Jogos!$A$2:$K$105,8,FALSE))</f>
        <v/>
      </c>
      <c r="D488" s="5">
        <f>IF($B488="","",VLOOKUP($B488,Jogos!$A$2:$K$105,10,FALSE))</f>
        <v/>
      </c>
      <c r="E488" s="5" t="inlineStr"/>
      <c r="F488" s="5" t="inlineStr"/>
      <c r="G488" s="8">
        <f>IF($B488="","",VLOOKUP($B488,Jogos!$A$2:$K$105,9,FALSE))</f>
        <v/>
      </c>
      <c r="H488" s="8">
        <f>IF($B488="","",VLOOKUP($B488,Jogos!$A$2:$K$105,11,FALSE))</f>
        <v/>
      </c>
      <c r="I488" s="5">
        <f>IF(OR($A488="", $B488="", $E488="", $F488="", $G488="", $H488=""), "",IF(AND($E488=$G488, $F488=$H488), 3, IF(SIGN($E488-$F488)=SIGN($G488-$H488), 1, 0))))</f>
        <v/>
      </c>
    </row>
    <row r="489">
      <c r="A489" s="5" t="inlineStr"/>
      <c r="B489" s="5" t="inlineStr"/>
      <c r="C489" s="5">
        <f>IF($B489="","",VLOOKUP($B489,Jogos!$A$2:$K$105,8,FALSE))</f>
        <v/>
      </c>
      <c r="D489" s="5">
        <f>IF($B489="","",VLOOKUP($B489,Jogos!$A$2:$K$105,10,FALSE))</f>
        <v/>
      </c>
      <c r="E489" s="5" t="inlineStr"/>
      <c r="F489" s="5" t="inlineStr"/>
      <c r="G489" s="8">
        <f>IF($B489="","",VLOOKUP($B489,Jogos!$A$2:$K$105,9,FALSE))</f>
        <v/>
      </c>
      <c r="H489" s="8">
        <f>IF($B489="","",VLOOKUP($B489,Jogos!$A$2:$K$105,11,FALSE))</f>
        <v/>
      </c>
      <c r="I489" s="5">
        <f>IF(OR($A489="", $B489="", $E489="", $F489="", $G489="", $H489=""), "",IF(AND($E489=$G489, $F489=$H489), 3, IF(SIGN($E489-$F489)=SIGN($G489-$H489), 1, 0))))</f>
        <v/>
      </c>
    </row>
    <row r="490">
      <c r="A490" s="5" t="inlineStr"/>
      <c r="B490" s="5" t="inlineStr"/>
      <c r="C490" s="5">
        <f>IF($B490="","",VLOOKUP($B490,Jogos!$A$2:$K$105,8,FALSE))</f>
        <v/>
      </c>
      <c r="D490" s="5">
        <f>IF($B490="","",VLOOKUP($B490,Jogos!$A$2:$K$105,10,FALSE))</f>
        <v/>
      </c>
      <c r="E490" s="5" t="inlineStr"/>
      <c r="F490" s="5" t="inlineStr"/>
      <c r="G490" s="8">
        <f>IF($B490="","",VLOOKUP($B490,Jogos!$A$2:$K$105,9,FALSE))</f>
        <v/>
      </c>
      <c r="H490" s="8">
        <f>IF($B490="","",VLOOKUP($B490,Jogos!$A$2:$K$105,11,FALSE))</f>
        <v/>
      </c>
      <c r="I490" s="5">
        <f>IF(OR($A490="", $B490="", $E490="", $F490="", $G490="", $H490=""), "",IF(AND($E490=$G490, $F490=$H490), 3, IF(SIGN($E490-$F490)=SIGN($G490-$H490), 1, 0))))</f>
        <v/>
      </c>
    </row>
    <row r="491">
      <c r="A491" s="5" t="inlineStr"/>
      <c r="B491" s="5" t="inlineStr"/>
      <c r="C491" s="5">
        <f>IF($B491="","",VLOOKUP($B491,Jogos!$A$2:$K$105,8,FALSE))</f>
        <v/>
      </c>
      <c r="D491" s="5">
        <f>IF($B491="","",VLOOKUP($B491,Jogos!$A$2:$K$105,10,FALSE))</f>
        <v/>
      </c>
      <c r="E491" s="5" t="inlineStr"/>
      <c r="F491" s="5" t="inlineStr"/>
      <c r="G491" s="8">
        <f>IF($B491="","",VLOOKUP($B491,Jogos!$A$2:$K$105,9,FALSE))</f>
        <v/>
      </c>
      <c r="H491" s="8">
        <f>IF($B491="","",VLOOKUP($B491,Jogos!$A$2:$K$105,11,FALSE))</f>
        <v/>
      </c>
      <c r="I491" s="5">
        <f>IF(OR($A491="", $B491="", $E491="", $F491="", $G491="", $H491=""), "",IF(AND($E491=$G491, $F491=$H491), 3, IF(SIGN($E491-$F491)=SIGN($G491-$H491), 1, 0))))</f>
        <v/>
      </c>
    </row>
    <row r="492">
      <c r="A492" s="5" t="inlineStr"/>
      <c r="B492" s="5" t="inlineStr"/>
      <c r="C492" s="5">
        <f>IF($B492="","",VLOOKUP($B492,Jogos!$A$2:$K$105,8,FALSE))</f>
        <v/>
      </c>
      <c r="D492" s="5">
        <f>IF($B492="","",VLOOKUP($B492,Jogos!$A$2:$K$105,10,FALSE))</f>
        <v/>
      </c>
      <c r="E492" s="5" t="inlineStr"/>
      <c r="F492" s="5" t="inlineStr"/>
      <c r="G492" s="8">
        <f>IF($B492="","",VLOOKUP($B492,Jogos!$A$2:$K$105,9,FALSE))</f>
        <v/>
      </c>
      <c r="H492" s="8">
        <f>IF($B492="","",VLOOKUP($B492,Jogos!$A$2:$K$105,11,FALSE))</f>
        <v/>
      </c>
      <c r="I492" s="5">
        <f>IF(OR($A492="", $B492="", $E492="", $F492="", $G492="", $H492=""), "",IF(AND($E492=$G492, $F492=$H492), 3, IF(SIGN($E492-$F492)=SIGN($G492-$H492), 1, 0))))</f>
        <v/>
      </c>
    </row>
    <row r="493">
      <c r="A493" s="5" t="inlineStr"/>
      <c r="B493" s="5" t="inlineStr"/>
      <c r="C493" s="5">
        <f>IF($B493="","",VLOOKUP($B493,Jogos!$A$2:$K$105,8,FALSE))</f>
        <v/>
      </c>
      <c r="D493" s="5">
        <f>IF($B493="","",VLOOKUP($B493,Jogos!$A$2:$K$105,10,FALSE))</f>
        <v/>
      </c>
      <c r="E493" s="5" t="inlineStr"/>
      <c r="F493" s="5" t="inlineStr"/>
      <c r="G493" s="8">
        <f>IF($B493="","",VLOOKUP($B493,Jogos!$A$2:$K$105,9,FALSE))</f>
        <v/>
      </c>
      <c r="H493" s="8">
        <f>IF($B493="","",VLOOKUP($B493,Jogos!$A$2:$K$105,11,FALSE))</f>
        <v/>
      </c>
      <c r="I493" s="5">
        <f>IF(OR($A493="", $B493="", $E493="", $F493="", $G493="", $H493=""), "",IF(AND($E493=$G493, $F493=$H493), 3, IF(SIGN($E493-$F493)=SIGN($G493-$H493), 1, 0))))</f>
        <v/>
      </c>
    </row>
    <row r="494">
      <c r="A494" s="5" t="inlineStr"/>
      <c r="B494" s="5" t="inlineStr"/>
      <c r="C494" s="5">
        <f>IF($B494="","",VLOOKUP($B494,Jogos!$A$2:$K$105,8,FALSE))</f>
        <v/>
      </c>
      <c r="D494" s="5">
        <f>IF($B494="","",VLOOKUP($B494,Jogos!$A$2:$K$105,10,FALSE))</f>
        <v/>
      </c>
      <c r="E494" s="5" t="inlineStr"/>
      <c r="F494" s="5" t="inlineStr"/>
      <c r="G494" s="8">
        <f>IF($B494="","",VLOOKUP($B494,Jogos!$A$2:$K$105,9,FALSE))</f>
        <v/>
      </c>
      <c r="H494" s="8">
        <f>IF($B494="","",VLOOKUP($B494,Jogos!$A$2:$K$105,11,FALSE))</f>
        <v/>
      </c>
      <c r="I494" s="5">
        <f>IF(OR($A494="", $B494="", $E494="", $F494="", $G494="", $H494=""), "",IF(AND($E494=$G494, $F494=$H494), 3, IF(SIGN($E494-$F494)=SIGN($G494-$H494), 1, 0))))</f>
        <v/>
      </c>
    </row>
    <row r="495">
      <c r="A495" s="5" t="inlineStr"/>
      <c r="B495" s="5" t="inlineStr"/>
      <c r="C495" s="5">
        <f>IF($B495="","",VLOOKUP($B495,Jogos!$A$2:$K$105,8,FALSE))</f>
        <v/>
      </c>
      <c r="D495" s="5">
        <f>IF($B495="","",VLOOKUP($B495,Jogos!$A$2:$K$105,10,FALSE))</f>
        <v/>
      </c>
      <c r="E495" s="5" t="inlineStr"/>
      <c r="F495" s="5" t="inlineStr"/>
      <c r="G495" s="8">
        <f>IF($B495="","",VLOOKUP($B495,Jogos!$A$2:$K$105,9,FALSE))</f>
        <v/>
      </c>
      <c r="H495" s="8">
        <f>IF($B495="","",VLOOKUP($B495,Jogos!$A$2:$K$105,11,FALSE))</f>
        <v/>
      </c>
      <c r="I495" s="5">
        <f>IF(OR($A495="", $B495="", $E495="", $F495="", $G495="", $H495=""), "",IF(AND($E495=$G495, $F495=$H495), 3, IF(SIGN($E495-$F495)=SIGN($G495-$H495), 1, 0))))</f>
        <v/>
      </c>
    </row>
    <row r="496">
      <c r="A496" s="5" t="inlineStr"/>
      <c r="B496" s="5" t="inlineStr"/>
      <c r="C496" s="5">
        <f>IF($B496="","",VLOOKUP($B496,Jogos!$A$2:$K$105,8,FALSE))</f>
        <v/>
      </c>
      <c r="D496" s="5">
        <f>IF($B496="","",VLOOKUP($B496,Jogos!$A$2:$K$105,10,FALSE))</f>
        <v/>
      </c>
      <c r="E496" s="5" t="inlineStr"/>
      <c r="F496" s="5" t="inlineStr"/>
      <c r="G496" s="8">
        <f>IF($B496="","",VLOOKUP($B496,Jogos!$A$2:$K$105,9,FALSE))</f>
        <v/>
      </c>
      <c r="H496" s="8">
        <f>IF($B496="","",VLOOKUP($B496,Jogos!$A$2:$K$105,11,FALSE))</f>
        <v/>
      </c>
      <c r="I496" s="5">
        <f>IF(OR($A496="", $B496="", $E496="", $F496="", $G496="", $H496=""), "",IF(AND($E496=$G496, $F496=$H496), 3, IF(SIGN($E496-$F496)=SIGN($G496-$H496), 1, 0))))</f>
        <v/>
      </c>
    </row>
    <row r="497">
      <c r="A497" s="5" t="inlineStr"/>
      <c r="B497" s="5" t="inlineStr"/>
      <c r="C497" s="5">
        <f>IF($B497="","",VLOOKUP($B497,Jogos!$A$2:$K$105,8,FALSE))</f>
        <v/>
      </c>
      <c r="D497" s="5">
        <f>IF($B497="","",VLOOKUP($B497,Jogos!$A$2:$K$105,10,FALSE))</f>
        <v/>
      </c>
      <c r="E497" s="5" t="inlineStr"/>
      <c r="F497" s="5" t="inlineStr"/>
      <c r="G497" s="8">
        <f>IF($B497="","",VLOOKUP($B497,Jogos!$A$2:$K$105,9,FALSE))</f>
        <v/>
      </c>
      <c r="H497" s="8">
        <f>IF($B497="","",VLOOKUP($B497,Jogos!$A$2:$K$105,11,FALSE))</f>
        <v/>
      </c>
      <c r="I497" s="5">
        <f>IF(OR($A497="", $B497="", $E497="", $F497="", $G497="", $H497=""), "",IF(AND($E497=$G497, $F497=$H497), 3, IF(SIGN($E497-$F497)=SIGN($G497-$H497), 1, 0))))</f>
        <v/>
      </c>
    </row>
    <row r="498">
      <c r="A498" s="5" t="inlineStr"/>
      <c r="B498" s="5" t="inlineStr"/>
      <c r="C498" s="5">
        <f>IF($B498="","",VLOOKUP($B498,Jogos!$A$2:$K$105,8,FALSE))</f>
        <v/>
      </c>
      <c r="D498" s="5">
        <f>IF($B498="","",VLOOKUP($B498,Jogos!$A$2:$K$105,10,FALSE))</f>
        <v/>
      </c>
      <c r="E498" s="5" t="inlineStr"/>
      <c r="F498" s="5" t="inlineStr"/>
      <c r="G498" s="8">
        <f>IF($B498="","",VLOOKUP($B498,Jogos!$A$2:$K$105,9,FALSE))</f>
        <v/>
      </c>
      <c r="H498" s="8">
        <f>IF($B498="","",VLOOKUP($B498,Jogos!$A$2:$K$105,11,FALSE))</f>
        <v/>
      </c>
      <c r="I498" s="5">
        <f>IF(OR($A498="", $B498="", $E498="", $F498="", $G498="", $H498=""), "",IF(AND($E498=$G498, $F498=$H498), 3, IF(SIGN($E498-$F498)=SIGN($G498-$H498), 1, 0))))</f>
        <v/>
      </c>
    </row>
    <row r="499">
      <c r="A499" s="5" t="inlineStr"/>
      <c r="B499" s="5" t="inlineStr"/>
      <c r="C499" s="5">
        <f>IF($B499="","",VLOOKUP($B499,Jogos!$A$2:$K$105,8,FALSE))</f>
        <v/>
      </c>
      <c r="D499" s="5">
        <f>IF($B499="","",VLOOKUP($B499,Jogos!$A$2:$K$105,10,FALSE))</f>
        <v/>
      </c>
      <c r="E499" s="5" t="inlineStr"/>
      <c r="F499" s="5" t="inlineStr"/>
      <c r="G499" s="8">
        <f>IF($B499="","",VLOOKUP($B499,Jogos!$A$2:$K$105,9,FALSE))</f>
        <v/>
      </c>
      <c r="H499" s="8">
        <f>IF($B499="","",VLOOKUP($B499,Jogos!$A$2:$K$105,11,FALSE))</f>
        <v/>
      </c>
      <c r="I499" s="5">
        <f>IF(OR($A499="", $B499="", $E499="", $F499="", $G499="", $H499=""), "",IF(AND($E499=$G499, $F499=$H499), 3, IF(SIGN($E499-$F499)=SIGN($G499-$H499), 1, 0))))</f>
        <v/>
      </c>
    </row>
    <row r="500">
      <c r="A500" s="5" t="inlineStr"/>
      <c r="B500" s="5" t="inlineStr"/>
      <c r="C500" s="5">
        <f>IF($B500="","",VLOOKUP($B500,Jogos!$A$2:$K$105,8,FALSE))</f>
        <v/>
      </c>
      <c r="D500" s="5">
        <f>IF($B500="","",VLOOKUP($B500,Jogos!$A$2:$K$105,10,FALSE))</f>
        <v/>
      </c>
      <c r="E500" s="5" t="inlineStr"/>
      <c r="F500" s="5" t="inlineStr"/>
      <c r="G500" s="8">
        <f>IF($B500="","",VLOOKUP($B500,Jogos!$A$2:$K$105,9,FALSE))</f>
        <v/>
      </c>
      <c r="H500" s="8">
        <f>IF($B500="","",VLOOKUP($B500,Jogos!$A$2:$K$105,11,FALSE))</f>
        <v/>
      </c>
      <c r="I500" s="5">
        <f>IF(OR($A500="", $B500="", $E500="", $F500="", $G500="", $H500=""), "",IF(AND($E500=$G500, $F500=$H500), 3, IF(SIGN($E500-$F500)=SIGN($G500-$H500), 1, 0))))</f>
        <v/>
      </c>
    </row>
    <row r="501">
      <c r="A501" s="5" t="inlineStr"/>
      <c r="B501" s="5" t="inlineStr"/>
      <c r="C501" s="5">
        <f>IF($B501="","",VLOOKUP($B501,Jogos!$A$2:$K$105,8,FALSE))</f>
        <v/>
      </c>
      <c r="D501" s="5">
        <f>IF($B501="","",VLOOKUP($B501,Jogos!$A$2:$K$105,10,FALSE))</f>
        <v/>
      </c>
      <c r="E501" s="5" t="inlineStr"/>
      <c r="F501" s="5" t="inlineStr"/>
      <c r="G501" s="8">
        <f>IF($B501="","",VLOOKUP($B501,Jogos!$A$2:$K$105,9,FALSE))</f>
        <v/>
      </c>
      <c r="H501" s="8">
        <f>IF($B501="","",VLOOKUP($B501,Jogos!$A$2:$K$105,11,FALSE))</f>
        <v/>
      </c>
      <c r="I501" s="5">
        <f>IF(OR($A501="", $B501="", $E501="", $F501="", $G501="", $H501=""), "",IF(AND($E501=$G501, $F501=$H501), 3, IF(SIGN($E501-$F501)=SIGN($G501-$H501), 1, 0))))</f>
        <v/>
      </c>
    </row>
    <row r="502">
      <c r="A502" s="5" t="inlineStr"/>
      <c r="B502" s="5" t="inlineStr"/>
      <c r="C502" s="5">
        <f>IF($B502="","",VLOOKUP($B502,Jogos!$A$2:$K$105,8,FALSE))</f>
        <v/>
      </c>
      <c r="D502" s="5">
        <f>IF($B502="","",VLOOKUP($B502,Jogos!$A$2:$K$105,10,FALSE))</f>
        <v/>
      </c>
      <c r="E502" s="5" t="inlineStr"/>
      <c r="F502" s="5" t="inlineStr"/>
      <c r="G502" s="8">
        <f>IF($B502="","",VLOOKUP($B502,Jogos!$A$2:$K$105,9,FALSE))</f>
        <v/>
      </c>
      <c r="H502" s="8">
        <f>IF($B502="","",VLOOKUP($B502,Jogos!$A$2:$K$105,11,FALSE))</f>
        <v/>
      </c>
      <c r="I502" s="5">
        <f>IF(OR($A502="", $B502="", $E502="", $F502="", $G502="", $H502=""), "",IF(AND($E502=$G502, $F502=$H502), 3, IF(SIGN($E502-$F502)=SIGN($G502-$H502), 1, 0))))</f>
        <v/>
      </c>
    </row>
    <row r="503">
      <c r="A503" s="5" t="inlineStr"/>
      <c r="B503" s="5" t="inlineStr"/>
      <c r="C503" s="5">
        <f>IF($B503="","",VLOOKUP($B503,Jogos!$A$2:$K$105,8,FALSE))</f>
        <v/>
      </c>
      <c r="D503" s="5">
        <f>IF($B503="","",VLOOKUP($B503,Jogos!$A$2:$K$105,10,FALSE))</f>
        <v/>
      </c>
      <c r="E503" s="5" t="inlineStr"/>
      <c r="F503" s="5" t="inlineStr"/>
      <c r="G503" s="8">
        <f>IF($B503="","",VLOOKUP($B503,Jogos!$A$2:$K$105,9,FALSE))</f>
        <v/>
      </c>
      <c r="H503" s="8">
        <f>IF($B503="","",VLOOKUP($B503,Jogos!$A$2:$K$105,11,FALSE))</f>
        <v/>
      </c>
      <c r="I503" s="5">
        <f>IF(OR($A503="", $B503="", $E503="", $F503="", $G503="", $H503=""), "",IF(AND($E503=$G503, $F503=$H503), 3, IF(SIGN($E503-$F503)=SIGN($G503-$H503), 1, 0))))</f>
        <v/>
      </c>
    </row>
    <row r="504">
      <c r="A504" s="5" t="inlineStr"/>
      <c r="B504" s="5" t="inlineStr"/>
      <c r="C504" s="5">
        <f>IF($B504="","",VLOOKUP($B504,Jogos!$A$2:$K$105,8,FALSE))</f>
        <v/>
      </c>
      <c r="D504" s="5">
        <f>IF($B504="","",VLOOKUP($B504,Jogos!$A$2:$K$105,10,FALSE))</f>
        <v/>
      </c>
      <c r="E504" s="5" t="inlineStr"/>
      <c r="F504" s="5" t="inlineStr"/>
      <c r="G504" s="8">
        <f>IF($B504="","",VLOOKUP($B504,Jogos!$A$2:$K$105,9,FALSE))</f>
        <v/>
      </c>
      <c r="H504" s="8">
        <f>IF($B504="","",VLOOKUP($B504,Jogos!$A$2:$K$105,11,FALSE))</f>
        <v/>
      </c>
      <c r="I504" s="5">
        <f>IF(OR($A504="", $B504="", $E504="", $F504="", $G504="", $H504=""), "",IF(AND($E504=$G504, $F504=$H504), 3, IF(SIGN($E504-$F504)=SIGN($G504-$H504), 1, 0))))</f>
        <v/>
      </c>
    </row>
    <row r="505">
      <c r="A505" s="5" t="inlineStr"/>
      <c r="B505" s="5" t="inlineStr"/>
      <c r="C505" s="5">
        <f>IF($B505="","",VLOOKUP($B505,Jogos!$A$2:$K$105,8,FALSE))</f>
        <v/>
      </c>
      <c r="D505" s="5">
        <f>IF($B505="","",VLOOKUP($B505,Jogos!$A$2:$K$105,10,FALSE))</f>
        <v/>
      </c>
      <c r="E505" s="5" t="inlineStr"/>
      <c r="F505" s="5" t="inlineStr"/>
      <c r="G505" s="8">
        <f>IF($B505="","",VLOOKUP($B505,Jogos!$A$2:$K$105,9,FALSE))</f>
        <v/>
      </c>
      <c r="H505" s="8">
        <f>IF($B505="","",VLOOKUP($B505,Jogos!$A$2:$K$105,11,FALSE))</f>
        <v/>
      </c>
      <c r="I505" s="5">
        <f>IF(OR($A505="", $B505="", $E505="", $F505="", $G505="", $H505=""), "",IF(AND($E505=$G505, $F505=$H505), 3, IF(SIGN($E505-$F505)=SIGN($G505-$H505), 1, 0))))</f>
        <v/>
      </c>
    </row>
    <row r="506">
      <c r="A506" s="5" t="inlineStr"/>
      <c r="B506" s="5" t="inlineStr"/>
      <c r="C506" s="5">
        <f>IF($B506="","",VLOOKUP($B506,Jogos!$A$2:$K$105,8,FALSE))</f>
        <v/>
      </c>
      <c r="D506" s="5">
        <f>IF($B506="","",VLOOKUP($B506,Jogos!$A$2:$K$105,10,FALSE))</f>
        <v/>
      </c>
      <c r="E506" s="5" t="inlineStr"/>
      <c r="F506" s="5" t="inlineStr"/>
      <c r="G506" s="8">
        <f>IF($B506="","",VLOOKUP($B506,Jogos!$A$2:$K$105,9,FALSE))</f>
        <v/>
      </c>
      <c r="H506" s="8">
        <f>IF($B506="","",VLOOKUP($B506,Jogos!$A$2:$K$105,11,FALSE))</f>
        <v/>
      </c>
      <c r="I506" s="5">
        <f>IF(OR($A506="", $B506="", $E506="", $F506="", $G506="", $H506=""), "",IF(AND($E506=$G506, $F506=$H506), 3, IF(SIGN($E506-$F506)=SIGN($G506-$H506), 1, 0))))</f>
        <v/>
      </c>
    </row>
    <row r="507">
      <c r="A507" s="5" t="inlineStr"/>
      <c r="B507" s="5" t="inlineStr"/>
      <c r="C507" s="5">
        <f>IF($B507="","",VLOOKUP($B507,Jogos!$A$2:$K$105,8,FALSE))</f>
        <v/>
      </c>
      <c r="D507" s="5">
        <f>IF($B507="","",VLOOKUP($B507,Jogos!$A$2:$K$105,10,FALSE))</f>
        <v/>
      </c>
      <c r="E507" s="5" t="inlineStr"/>
      <c r="F507" s="5" t="inlineStr"/>
      <c r="G507" s="8">
        <f>IF($B507="","",VLOOKUP($B507,Jogos!$A$2:$K$105,9,FALSE))</f>
        <v/>
      </c>
      <c r="H507" s="8">
        <f>IF($B507="","",VLOOKUP($B507,Jogos!$A$2:$K$105,11,FALSE))</f>
        <v/>
      </c>
      <c r="I507" s="5">
        <f>IF(OR($A507="", $B507="", $E507="", $F507="", $G507="", $H507=""), "",IF(AND($E507=$G507, $F507=$H507), 3, IF(SIGN($E507-$F507)=SIGN($G507-$H507), 1, 0))))</f>
        <v/>
      </c>
    </row>
    <row r="508">
      <c r="A508" s="5" t="inlineStr"/>
      <c r="B508" s="5" t="inlineStr"/>
      <c r="C508" s="5">
        <f>IF($B508="","",VLOOKUP($B508,Jogos!$A$2:$K$105,8,FALSE))</f>
        <v/>
      </c>
      <c r="D508" s="5">
        <f>IF($B508="","",VLOOKUP($B508,Jogos!$A$2:$K$105,10,FALSE))</f>
        <v/>
      </c>
      <c r="E508" s="5" t="inlineStr"/>
      <c r="F508" s="5" t="inlineStr"/>
      <c r="G508" s="8">
        <f>IF($B508="","",VLOOKUP($B508,Jogos!$A$2:$K$105,9,FALSE))</f>
        <v/>
      </c>
      <c r="H508" s="8">
        <f>IF($B508="","",VLOOKUP($B508,Jogos!$A$2:$K$105,11,FALSE))</f>
        <v/>
      </c>
      <c r="I508" s="5">
        <f>IF(OR($A508="", $B508="", $E508="", $F508="", $G508="", $H508=""), "",IF(AND($E508=$G508, $F508=$H508), 3, IF(SIGN($E508-$F508)=SIGN($G508-$H508), 1, 0))))</f>
        <v/>
      </c>
    </row>
    <row r="509">
      <c r="A509" s="5" t="inlineStr"/>
      <c r="B509" s="5" t="inlineStr"/>
      <c r="C509" s="5">
        <f>IF($B509="","",VLOOKUP($B509,Jogos!$A$2:$K$105,8,FALSE))</f>
        <v/>
      </c>
      <c r="D509" s="5">
        <f>IF($B509="","",VLOOKUP($B509,Jogos!$A$2:$K$105,10,FALSE))</f>
        <v/>
      </c>
      <c r="E509" s="5" t="inlineStr"/>
      <c r="F509" s="5" t="inlineStr"/>
      <c r="G509" s="8">
        <f>IF($B509="","",VLOOKUP($B509,Jogos!$A$2:$K$105,9,FALSE))</f>
        <v/>
      </c>
      <c r="H509" s="8">
        <f>IF($B509="","",VLOOKUP($B509,Jogos!$A$2:$K$105,11,FALSE))</f>
        <v/>
      </c>
      <c r="I509" s="5">
        <f>IF(OR($A509="", $B509="", $E509="", $F509="", $G509="", $H509=""), "",IF(AND($E509=$G509, $F509=$H509), 3, IF(SIGN($E509-$F509)=SIGN($G509-$H509), 1, 0))))</f>
        <v/>
      </c>
    </row>
    <row r="510">
      <c r="A510" s="5" t="inlineStr"/>
      <c r="B510" s="5" t="inlineStr"/>
      <c r="C510" s="5">
        <f>IF($B510="","",VLOOKUP($B510,Jogos!$A$2:$K$105,8,FALSE))</f>
        <v/>
      </c>
      <c r="D510" s="5">
        <f>IF($B510="","",VLOOKUP($B510,Jogos!$A$2:$K$105,10,FALSE))</f>
        <v/>
      </c>
      <c r="E510" s="5" t="inlineStr"/>
      <c r="F510" s="5" t="inlineStr"/>
      <c r="G510" s="8">
        <f>IF($B510="","",VLOOKUP($B510,Jogos!$A$2:$K$105,9,FALSE))</f>
        <v/>
      </c>
      <c r="H510" s="8">
        <f>IF($B510="","",VLOOKUP($B510,Jogos!$A$2:$K$105,11,FALSE))</f>
        <v/>
      </c>
      <c r="I510" s="5">
        <f>IF(OR($A510="", $B510="", $E510="", $F510="", $G510="", $H510=""), "",IF(AND($E510=$G510, $F510=$H510), 3, IF(SIGN($E510-$F510)=SIGN($G510-$H510), 1, 0))))</f>
        <v/>
      </c>
    </row>
    <row r="511">
      <c r="A511" s="5" t="inlineStr"/>
      <c r="B511" s="5" t="inlineStr"/>
      <c r="C511" s="5">
        <f>IF($B511="","",VLOOKUP($B511,Jogos!$A$2:$K$105,8,FALSE))</f>
        <v/>
      </c>
      <c r="D511" s="5">
        <f>IF($B511="","",VLOOKUP($B511,Jogos!$A$2:$K$105,10,FALSE))</f>
        <v/>
      </c>
      <c r="E511" s="5" t="inlineStr"/>
      <c r="F511" s="5" t="inlineStr"/>
      <c r="G511" s="8">
        <f>IF($B511="","",VLOOKUP($B511,Jogos!$A$2:$K$105,9,FALSE))</f>
        <v/>
      </c>
      <c r="H511" s="8">
        <f>IF($B511="","",VLOOKUP($B511,Jogos!$A$2:$K$105,11,FALSE))</f>
        <v/>
      </c>
      <c r="I511" s="5">
        <f>IF(OR($A511="", $B511="", $E511="", $F511="", $G511="", $H511=""), "",IF(AND($E511=$G511, $F511=$H511), 3, IF(SIGN($E511-$F511)=SIGN($G511-$H511), 1, 0))))</f>
        <v/>
      </c>
    </row>
    <row r="512">
      <c r="A512" s="5" t="inlineStr"/>
      <c r="B512" s="5" t="inlineStr"/>
      <c r="C512" s="5">
        <f>IF($B512="","",VLOOKUP($B512,Jogos!$A$2:$K$105,8,FALSE))</f>
        <v/>
      </c>
      <c r="D512" s="5">
        <f>IF($B512="","",VLOOKUP($B512,Jogos!$A$2:$K$105,10,FALSE))</f>
        <v/>
      </c>
      <c r="E512" s="5" t="inlineStr"/>
      <c r="F512" s="5" t="inlineStr"/>
      <c r="G512" s="8">
        <f>IF($B512="","",VLOOKUP($B512,Jogos!$A$2:$K$105,9,FALSE))</f>
        <v/>
      </c>
      <c r="H512" s="8">
        <f>IF($B512="","",VLOOKUP($B512,Jogos!$A$2:$K$105,11,FALSE))</f>
        <v/>
      </c>
      <c r="I512" s="5">
        <f>IF(OR($A512="", $B512="", $E512="", $F512="", $G512="", $H512=""), "",IF(AND($E512=$G512, $F512=$H512), 3, IF(SIGN($E512-$F512)=SIGN($G512-$H512), 1, 0))))</f>
        <v/>
      </c>
    </row>
    <row r="513">
      <c r="A513" s="5" t="inlineStr"/>
      <c r="B513" s="5" t="inlineStr"/>
      <c r="C513" s="5">
        <f>IF($B513="","",VLOOKUP($B513,Jogos!$A$2:$K$105,8,FALSE))</f>
        <v/>
      </c>
      <c r="D513" s="5">
        <f>IF($B513="","",VLOOKUP($B513,Jogos!$A$2:$K$105,10,FALSE))</f>
        <v/>
      </c>
      <c r="E513" s="5" t="inlineStr"/>
      <c r="F513" s="5" t="inlineStr"/>
      <c r="G513" s="8">
        <f>IF($B513="","",VLOOKUP($B513,Jogos!$A$2:$K$105,9,FALSE))</f>
        <v/>
      </c>
      <c r="H513" s="8">
        <f>IF($B513="","",VLOOKUP($B513,Jogos!$A$2:$K$105,11,FALSE))</f>
        <v/>
      </c>
      <c r="I513" s="5">
        <f>IF(OR($A513="", $B513="", $E513="", $F513="", $G513="", $H513=""), "",IF(AND($E513=$G513, $F513=$H513), 3, IF(SIGN($E513-$F513)=SIGN($G513-$H513), 1, 0))))</f>
        <v/>
      </c>
    </row>
    <row r="514">
      <c r="A514" s="5" t="inlineStr"/>
      <c r="B514" s="5" t="inlineStr"/>
      <c r="C514" s="5">
        <f>IF($B514="","",VLOOKUP($B514,Jogos!$A$2:$K$105,8,FALSE))</f>
        <v/>
      </c>
      <c r="D514" s="5">
        <f>IF($B514="","",VLOOKUP($B514,Jogos!$A$2:$K$105,10,FALSE))</f>
        <v/>
      </c>
      <c r="E514" s="5" t="inlineStr"/>
      <c r="F514" s="5" t="inlineStr"/>
      <c r="G514" s="8">
        <f>IF($B514="","",VLOOKUP($B514,Jogos!$A$2:$K$105,9,FALSE))</f>
        <v/>
      </c>
      <c r="H514" s="8">
        <f>IF($B514="","",VLOOKUP($B514,Jogos!$A$2:$K$105,11,FALSE))</f>
        <v/>
      </c>
      <c r="I514" s="5">
        <f>IF(OR($A514="", $B514="", $E514="", $F514="", $G514="", $H514=""), "",IF(AND($E514=$G514, $F514=$H514), 3, IF(SIGN($E514-$F514)=SIGN($G514-$H514), 1, 0))))</f>
        <v/>
      </c>
    </row>
    <row r="515">
      <c r="A515" s="5" t="inlineStr"/>
      <c r="B515" s="5" t="inlineStr"/>
      <c r="C515" s="5">
        <f>IF($B515="","",VLOOKUP($B515,Jogos!$A$2:$K$105,8,FALSE))</f>
        <v/>
      </c>
      <c r="D515" s="5">
        <f>IF($B515="","",VLOOKUP($B515,Jogos!$A$2:$K$105,10,FALSE))</f>
        <v/>
      </c>
      <c r="E515" s="5" t="inlineStr"/>
      <c r="F515" s="5" t="inlineStr"/>
      <c r="G515" s="8">
        <f>IF($B515="","",VLOOKUP($B515,Jogos!$A$2:$K$105,9,FALSE))</f>
        <v/>
      </c>
      <c r="H515" s="8">
        <f>IF($B515="","",VLOOKUP($B515,Jogos!$A$2:$K$105,11,FALSE))</f>
        <v/>
      </c>
      <c r="I515" s="5">
        <f>IF(OR($A515="", $B515="", $E515="", $F515="", $G515="", $H515=""), "",IF(AND($E515=$G515, $F515=$H515), 3, IF(SIGN($E515-$F515)=SIGN($G515-$H515), 1, 0))))</f>
        <v/>
      </c>
    </row>
    <row r="516">
      <c r="A516" s="5" t="inlineStr"/>
      <c r="B516" s="5" t="inlineStr"/>
      <c r="C516" s="5">
        <f>IF($B516="","",VLOOKUP($B516,Jogos!$A$2:$K$105,8,FALSE))</f>
        <v/>
      </c>
      <c r="D516" s="5">
        <f>IF($B516="","",VLOOKUP($B516,Jogos!$A$2:$K$105,10,FALSE))</f>
        <v/>
      </c>
      <c r="E516" s="5" t="inlineStr"/>
      <c r="F516" s="5" t="inlineStr"/>
      <c r="G516" s="8">
        <f>IF($B516="","",VLOOKUP($B516,Jogos!$A$2:$K$105,9,FALSE))</f>
        <v/>
      </c>
      <c r="H516" s="8">
        <f>IF($B516="","",VLOOKUP($B516,Jogos!$A$2:$K$105,11,FALSE))</f>
        <v/>
      </c>
      <c r="I516" s="5">
        <f>IF(OR($A516="", $B516="", $E516="", $F516="", $G516="", $H516=""), "",IF(AND($E516=$G516, $F516=$H516), 3, IF(SIGN($E516-$F516)=SIGN($G516-$H516), 1, 0))))</f>
        <v/>
      </c>
    </row>
    <row r="517">
      <c r="A517" s="5" t="inlineStr"/>
      <c r="B517" s="5" t="inlineStr"/>
      <c r="C517" s="5">
        <f>IF($B517="","",VLOOKUP($B517,Jogos!$A$2:$K$105,8,FALSE))</f>
        <v/>
      </c>
      <c r="D517" s="5">
        <f>IF($B517="","",VLOOKUP($B517,Jogos!$A$2:$K$105,10,FALSE))</f>
        <v/>
      </c>
      <c r="E517" s="5" t="inlineStr"/>
      <c r="F517" s="5" t="inlineStr"/>
      <c r="G517" s="8">
        <f>IF($B517="","",VLOOKUP($B517,Jogos!$A$2:$K$105,9,FALSE))</f>
        <v/>
      </c>
      <c r="H517" s="8">
        <f>IF($B517="","",VLOOKUP($B517,Jogos!$A$2:$K$105,11,FALSE))</f>
        <v/>
      </c>
      <c r="I517" s="5">
        <f>IF(OR($A517="", $B517="", $E517="", $F517="", $G517="", $H517=""), "",IF(AND($E517=$G517, $F517=$H517), 3, IF(SIGN($E517-$F517)=SIGN($G517-$H517), 1, 0))))</f>
        <v/>
      </c>
    </row>
    <row r="518">
      <c r="A518" s="5" t="inlineStr"/>
      <c r="B518" s="5" t="inlineStr"/>
      <c r="C518" s="5">
        <f>IF($B518="","",VLOOKUP($B518,Jogos!$A$2:$K$105,8,FALSE))</f>
        <v/>
      </c>
      <c r="D518" s="5">
        <f>IF($B518="","",VLOOKUP($B518,Jogos!$A$2:$K$105,10,FALSE))</f>
        <v/>
      </c>
      <c r="E518" s="5" t="inlineStr"/>
      <c r="F518" s="5" t="inlineStr"/>
      <c r="G518" s="8">
        <f>IF($B518="","",VLOOKUP($B518,Jogos!$A$2:$K$105,9,FALSE))</f>
        <v/>
      </c>
      <c r="H518" s="8">
        <f>IF($B518="","",VLOOKUP($B518,Jogos!$A$2:$K$105,11,FALSE))</f>
        <v/>
      </c>
      <c r="I518" s="5">
        <f>IF(OR($A518="", $B518="", $E518="", $F518="", $G518="", $H518=""), "",IF(AND($E518=$G518, $F518=$H518), 3, IF(SIGN($E518-$F518)=SIGN($G518-$H518), 1, 0))))</f>
        <v/>
      </c>
    </row>
    <row r="519">
      <c r="A519" s="5" t="inlineStr"/>
      <c r="B519" s="5" t="inlineStr"/>
      <c r="C519" s="5">
        <f>IF($B519="","",VLOOKUP($B519,Jogos!$A$2:$K$105,8,FALSE))</f>
        <v/>
      </c>
      <c r="D519" s="5">
        <f>IF($B519="","",VLOOKUP($B519,Jogos!$A$2:$K$105,10,FALSE))</f>
        <v/>
      </c>
      <c r="E519" s="5" t="inlineStr"/>
      <c r="F519" s="5" t="inlineStr"/>
      <c r="G519" s="8">
        <f>IF($B519="","",VLOOKUP($B519,Jogos!$A$2:$K$105,9,FALSE))</f>
        <v/>
      </c>
      <c r="H519" s="8">
        <f>IF($B519="","",VLOOKUP($B519,Jogos!$A$2:$K$105,11,FALSE))</f>
        <v/>
      </c>
      <c r="I519" s="5">
        <f>IF(OR($A519="", $B519="", $E519="", $F519="", $G519="", $H519=""), "",IF(AND($E519=$G519, $F519=$H519), 3, IF(SIGN($E519-$F519)=SIGN($G519-$H519), 1, 0))))</f>
        <v/>
      </c>
    </row>
    <row r="520">
      <c r="A520" s="5" t="inlineStr"/>
      <c r="B520" s="5" t="inlineStr"/>
      <c r="C520" s="5">
        <f>IF($B520="","",VLOOKUP($B520,Jogos!$A$2:$K$105,8,FALSE))</f>
        <v/>
      </c>
      <c r="D520" s="5">
        <f>IF($B520="","",VLOOKUP($B520,Jogos!$A$2:$K$105,10,FALSE))</f>
        <v/>
      </c>
      <c r="E520" s="5" t="inlineStr"/>
      <c r="F520" s="5" t="inlineStr"/>
      <c r="G520" s="8">
        <f>IF($B520="","",VLOOKUP($B520,Jogos!$A$2:$K$105,9,FALSE))</f>
        <v/>
      </c>
      <c r="H520" s="8">
        <f>IF($B520="","",VLOOKUP($B520,Jogos!$A$2:$K$105,11,FALSE))</f>
        <v/>
      </c>
      <c r="I520" s="5">
        <f>IF(OR($A520="", $B520="", $E520="", $F520="", $G520="", $H520=""), "",IF(AND($E520=$G520, $F520=$H520), 3, IF(SIGN($E520-$F520)=SIGN($G520-$H520), 1, 0))))</f>
        <v/>
      </c>
    </row>
    <row r="521">
      <c r="A521" s="5" t="inlineStr"/>
      <c r="B521" s="5" t="inlineStr"/>
      <c r="C521" s="5">
        <f>IF($B521="","",VLOOKUP($B521,Jogos!$A$2:$K$105,8,FALSE))</f>
        <v/>
      </c>
      <c r="D521" s="5">
        <f>IF($B521="","",VLOOKUP($B521,Jogos!$A$2:$K$105,10,FALSE))</f>
        <v/>
      </c>
      <c r="E521" s="5" t="inlineStr"/>
      <c r="F521" s="5" t="inlineStr"/>
      <c r="G521" s="8">
        <f>IF($B521="","",VLOOKUP($B521,Jogos!$A$2:$K$105,9,FALSE))</f>
        <v/>
      </c>
      <c r="H521" s="8">
        <f>IF($B521="","",VLOOKUP($B521,Jogos!$A$2:$K$105,11,FALSE))</f>
        <v/>
      </c>
      <c r="I521" s="5">
        <f>IF(OR($A521="", $B521="", $E521="", $F521="", $G521="", $H521=""), "",IF(AND($E521=$G521, $F521=$H521), 3, IF(SIGN($E521-$F521)=SIGN($G521-$H521), 1, 0))))</f>
        <v/>
      </c>
    </row>
    <row r="522">
      <c r="A522" s="5" t="inlineStr"/>
      <c r="B522" s="5" t="inlineStr"/>
      <c r="C522" s="5">
        <f>IF($B522="","",VLOOKUP($B522,Jogos!$A$2:$K$105,8,FALSE))</f>
        <v/>
      </c>
      <c r="D522" s="5">
        <f>IF($B522="","",VLOOKUP($B522,Jogos!$A$2:$K$105,10,FALSE))</f>
        <v/>
      </c>
      <c r="E522" s="5" t="inlineStr"/>
      <c r="F522" s="5" t="inlineStr"/>
      <c r="G522" s="8">
        <f>IF($B522="","",VLOOKUP($B522,Jogos!$A$2:$K$105,9,FALSE))</f>
        <v/>
      </c>
      <c r="H522" s="8">
        <f>IF($B522="","",VLOOKUP($B522,Jogos!$A$2:$K$105,11,FALSE))</f>
        <v/>
      </c>
      <c r="I522" s="5">
        <f>IF(OR($A522="", $B522="", $E522="", $F522="", $G522="", $H522=""), "",IF(AND($E522=$G522, $F522=$H522), 3, IF(SIGN($E522-$F522)=SIGN($G522-$H522), 1, 0))))</f>
        <v/>
      </c>
    </row>
    <row r="523">
      <c r="A523" s="5" t="inlineStr"/>
      <c r="B523" s="5" t="inlineStr"/>
      <c r="C523" s="5">
        <f>IF($B523="","",VLOOKUP($B523,Jogos!$A$2:$K$105,8,FALSE))</f>
        <v/>
      </c>
      <c r="D523" s="5">
        <f>IF($B523="","",VLOOKUP($B523,Jogos!$A$2:$K$105,10,FALSE))</f>
        <v/>
      </c>
      <c r="E523" s="5" t="inlineStr"/>
      <c r="F523" s="5" t="inlineStr"/>
      <c r="G523" s="8">
        <f>IF($B523="","",VLOOKUP($B523,Jogos!$A$2:$K$105,9,FALSE))</f>
        <v/>
      </c>
      <c r="H523" s="8">
        <f>IF($B523="","",VLOOKUP($B523,Jogos!$A$2:$K$105,11,FALSE))</f>
        <v/>
      </c>
      <c r="I523" s="5">
        <f>IF(OR($A523="", $B523="", $E523="", $F523="", $G523="", $H523=""), "",IF(AND($E523=$G523, $F523=$H523), 3, IF(SIGN($E523-$F523)=SIGN($G523-$H523), 1, 0))))</f>
        <v/>
      </c>
    </row>
    <row r="524">
      <c r="A524" s="5" t="inlineStr"/>
      <c r="B524" s="5" t="inlineStr"/>
      <c r="C524" s="5">
        <f>IF($B524="","",VLOOKUP($B524,Jogos!$A$2:$K$105,8,FALSE))</f>
        <v/>
      </c>
      <c r="D524" s="5">
        <f>IF($B524="","",VLOOKUP($B524,Jogos!$A$2:$K$105,10,FALSE))</f>
        <v/>
      </c>
      <c r="E524" s="5" t="inlineStr"/>
      <c r="F524" s="5" t="inlineStr"/>
      <c r="G524" s="8">
        <f>IF($B524="","",VLOOKUP($B524,Jogos!$A$2:$K$105,9,FALSE))</f>
        <v/>
      </c>
      <c r="H524" s="8">
        <f>IF($B524="","",VLOOKUP($B524,Jogos!$A$2:$K$105,11,FALSE))</f>
        <v/>
      </c>
      <c r="I524" s="5">
        <f>IF(OR($A524="", $B524="", $E524="", $F524="", $G524="", $H524=""), "",IF(AND($E524=$G524, $F524=$H524), 3, IF(SIGN($E524-$F524)=SIGN($G524-$H524), 1, 0))))</f>
        <v/>
      </c>
    </row>
    <row r="525">
      <c r="A525" s="5" t="inlineStr"/>
      <c r="B525" s="5" t="inlineStr"/>
      <c r="C525" s="5">
        <f>IF($B525="","",VLOOKUP($B525,Jogos!$A$2:$K$105,8,FALSE))</f>
        <v/>
      </c>
      <c r="D525" s="5">
        <f>IF($B525="","",VLOOKUP($B525,Jogos!$A$2:$K$105,10,FALSE))</f>
        <v/>
      </c>
      <c r="E525" s="5" t="inlineStr"/>
      <c r="F525" s="5" t="inlineStr"/>
      <c r="G525" s="8">
        <f>IF($B525="","",VLOOKUP($B525,Jogos!$A$2:$K$105,9,FALSE))</f>
        <v/>
      </c>
      <c r="H525" s="8">
        <f>IF($B525="","",VLOOKUP($B525,Jogos!$A$2:$K$105,11,FALSE))</f>
        <v/>
      </c>
      <c r="I525" s="5">
        <f>IF(OR($A525="", $B525="", $E525="", $F525="", $G525="", $H525=""), "",IF(AND($E525=$G525, $F525=$H525), 3, IF(SIGN($E525-$F525)=SIGN($G525-$H525), 1, 0))))</f>
        <v/>
      </c>
    </row>
    <row r="526">
      <c r="A526" s="5" t="inlineStr"/>
      <c r="B526" s="5" t="inlineStr"/>
      <c r="C526" s="5">
        <f>IF($B526="","",VLOOKUP($B526,Jogos!$A$2:$K$105,8,FALSE))</f>
        <v/>
      </c>
      <c r="D526" s="5">
        <f>IF($B526="","",VLOOKUP($B526,Jogos!$A$2:$K$105,10,FALSE))</f>
        <v/>
      </c>
      <c r="E526" s="5" t="inlineStr"/>
      <c r="F526" s="5" t="inlineStr"/>
      <c r="G526" s="8">
        <f>IF($B526="","",VLOOKUP($B526,Jogos!$A$2:$K$105,9,FALSE))</f>
        <v/>
      </c>
      <c r="H526" s="8">
        <f>IF($B526="","",VLOOKUP($B526,Jogos!$A$2:$K$105,11,FALSE))</f>
        <v/>
      </c>
      <c r="I526" s="5">
        <f>IF(OR($A526="", $B526="", $E526="", $F526="", $G526="", $H526=""), "",IF(AND($E526=$G526, $F526=$H526), 3, IF(SIGN($E526-$F526)=SIGN($G526-$H526), 1, 0))))</f>
        <v/>
      </c>
    </row>
    <row r="527">
      <c r="A527" s="5" t="inlineStr"/>
      <c r="B527" s="5" t="inlineStr"/>
      <c r="C527" s="5">
        <f>IF($B527="","",VLOOKUP($B527,Jogos!$A$2:$K$105,8,FALSE))</f>
        <v/>
      </c>
      <c r="D527" s="5">
        <f>IF($B527="","",VLOOKUP($B527,Jogos!$A$2:$K$105,10,FALSE))</f>
        <v/>
      </c>
      <c r="E527" s="5" t="inlineStr"/>
      <c r="F527" s="5" t="inlineStr"/>
      <c r="G527" s="8">
        <f>IF($B527="","",VLOOKUP($B527,Jogos!$A$2:$K$105,9,FALSE))</f>
        <v/>
      </c>
      <c r="H527" s="8">
        <f>IF($B527="","",VLOOKUP($B527,Jogos!$A$2:$K$105,11,FALSE))</f>
        <v/>
      </c>
      <c r="I527" s="5">
        <f>IF(OR($A527="", $B527="", $E527="", $F527="", $G527="", $H527=""), "",IF(AND($E527=$G527, $F527=$H527), 3, IF(SIGN($E527-$F527)=SIGN($G527-$H527), 1, 0))))</f>
        <v/>
      </c>
    </row>
    <row r="528">
      <c r="A528" s="5" t="inlineStr"/>
      <c r="B528" s="5" t="inlineStr"/>
      <c r="C528" s="5">
        <f>IF($B528="","",VLOOKUP($B528,Jogos!$A$2:$K$105,8,FALSE))</f>
        <v/>
      </c>
      <c r="D528" s="5">
        <f>IF($B528="","",VLOOKUP($B528,Jogos!$A$2:$K$105,10,FALSE))</f>
        <v/>
      </c>
      <c r="E528" s="5" t="inlineStr"/>
      <c r="F528" s="5" t="inlineStr"/>
      <c r="G528" s="8">
        <f>IF($B528="","",VLOOKUP($B528,Jogos!$A$2:$K$105,9,FALSE))</f>
        <v/>
      </c>
      <c r="H528" s="8">
        <f>IF($B528="","",VLOOKUP($B528,Jogos!$A$2:$K$105,11,FALSE))</f>
        <v/>
      </c>
      <c r="I528" s="5">
        <f>IF(OR($A528="", $B528="", $E528="", $F528="", $G528="", $H528=""), "",IF(AND($E528=$G528, $F528=$H528), 3, IF(SIGN($E528-$F528)=SIGN($G528-$H528), 1, 0))))</f>
        <v/>
      </c>
    </row>
    <row r="529">
      <c r="A529" s="5" t="inlineStr"/>
      <c r="B529" s="5" t="inlineStr"/>
      <c r="C529" s="5">
        <f>IF($B529="","",VLOOKUP($B529,Jogos!$A$2:$K$105,8,FALSE))</f>
        <v/>
      </c>
      <c r="D529" s="5">
        <f>IF($B529="","",VLOOKUP($B529,Jogos!$A$2:$K$105,10,FALSE))</f>
        <v/>
      </c>
      <c r="E529" s="5" t="inlineStr"/>
      <c r="F529" s="5" t="inlineStr"/>
      <c r="G529" s="8">
        <f>IF($B529="","",VLOOKUP($B529,Jogos!$A$2:$K$105,9,FALSE))</f>
        <v/>
      </c>
      <c r="H529" s="8">
        <f>IF($B529="","",VLOOKUP($B529,Jogos!$A$2:$K$105,11,FALSE))</f>
        <v/>
      </c>
      <c r="I529" s="5">
        <f>IF(OR($A529="", $B529="", $E529="", $F529="", $G529="", $H529=""), "",IF(AND($E529=$G529, $F529=$H529), 3, IF(SIGN($E529-$F529)=SIGN($G529-$H529), 1, 0))))</f>
        <v/>
      </c>
    </row>
    <row r="530">
      <c r="A530" s="5" t="inlineStr"/>
      <c r="B530" s="5" t="inlineStr"/>
      <c r="C530" s="5">
        <f>IF($B530="","",VLOOKUP($B530,Jogos!$A$2:$K$105,8,FALSE))</f>
        <v/>
      </c>
      <c r="D530" s="5">
        <f>IF($B530="","",VLOOKUP($B530,Jogos!$A$2:$K$105,10,FALSE))</f>
        <v/>
      </c>
      <c r="E530" s="5" t="inlineStr"/>
      <c r="F530" s="5" t="inlineStr"/>
      <c r="G530" s="8">
        <f>IF($B530="","",VLOOKUP($B530,Jogos!$A$2:$K$105,9,FALSE))</f>
        <v/>
      </c>
      <c r="H530" s="8">
        <f>IF($B530="","",VLOOKUP($B530,Jogos!$A$2:$K$105,11,FALSE))</f>
        <v/>
      </c>
      <c r="I530" s="5">
        <f>IF(OR($A530="", $B530="", $E530="", $F530="", $G530="", $H530=""), "",IF(AND($E530=$G530, $F530=$H530), 3, IF(SIGN($E530-$F530)=SIGN($G530-$H530), 1, 0))))</f>
        <v/>
      </c>
    </row>
    <row r="531">
      <c r="A531" s="5" t="inlineStr"/>
      <c r="B531" s="5" t="inlineStr"/>
      <c r="C531" s="5">
        <f>IF($B531="","",VLOOKUP($B531,Jogos!$A$2:$K$105,8,FALSE))</f>
        <v/>
      </c>
      <c r="D531" s="5">
        <f>IF($B531="","",VLOOKUP($B531,Jogos!$A$2:$K$105,10,FALSE))</f>
        <v/>
      </c>
      <c r="E531" s="5" t="inlineStr"/>
      <c r="F531" s="5" t="inlineStr"/>
      <c r="G531" s="8">
        <f>IF($B531="","",VLOOKUP($B531,Jogos!$A$2:$K$105,9,FALSE))</f>
        <v/>
      </c>
      <c r="H531" s="8">
        <f>IF($B531="","",VLOOKUP($B531,Jogos!$A$2:$K$105,11,FALSE))</f>
        <v/>
      </c>
      <c r="I531" s="5">
        <f>IF(OR($A531="", $B531="", $E531="", $F531="", $G531="", $H531=""), "",IF(AND($E531=$G531, $F531=$H531), 3, IF(SIGN($E531-$F531)=SIGN($G531-$H531), 1, 0))))</f>
        <v/>
      </c>
    </row>
    <row r="532">
      <c r="A532" s="5" t="inlineStr"/>
      <c r="B532" s="5" t="inlineStr"/>
      <c r="C532" s="5">
        <f>IF($B532="","",VLOOKUP($B532,Jogos!$A$2:$K$105,8,FALSE))</f>
        <v/>
      </c>
      <c r="D532" s="5">
        <f>IF($B532="","",VLOOKUP($B532,Jogos!$A$2:$K$105,10,FALSE))</f>
        <v/>
      </c>
      <c r="E532" s="5" t="inlineStr"/>
      <c r="F532" s="5" t="inlineStr"/>
      <c r="G532" s="8">
        <f>IF($B532="","",VLOOKUP($B532,Jogos!$A$2:$K$105,9,FALSE))</f>
        <v/>
      </c>
      <c r="H532" s="8">
        <f>IF($B532="","",VLOOKUP($B532,Jogos!$A$2:$K$105,11,FALSE))</f>
        <v/>
      </c>
      <c r="I532" s="5">
        <f>IF(OR($A532="", $B532="", $E532="", $F532="", $G532="", $H532=""), "",IF(AND($E532=$G532, $F532=$H532), 3, IF(SIGN($E532-$F532)=SIGN($G532-$H532), 1, 0))))</f>
        <v/>
      </c>
    </row>
    <row r="533">
      <c r="A533" s="5" t="inlineStr"/>
      <c r="B533" s="5" t="inlineStr"/>
      <c r="C533" s="5">
        <f>IF($B533="","",VLOOKUP($B533,Jogos!$A$2:$K$105,8,FALSE))</f>
        <v/>
      </c>
      <c r="D533" s="5">
        <f>IF($B533="","",VLOOKUP($B533,Jogos!$A$2:$K$105,10,FALSE))</f>
        <v/>
      </c>
      <c r="E533" s="5" t="inlineStr"/>
      <c r="F533" s="5" t="inlineStr"/>
      <c r="G533" s="8">
        <f>IF($B533="","",VLOOKUP($B533,Jogos!$A$2:$K$105,9,FALSE))</f>
        <v/>
      </c>
      <c r="H533" s="8">
        <f>IF($B533="","",VLOOKUP($B533,Jogos!$A$2:$K$105,11,FALSE))</f>
        <v/>
      </c>
      <c r="I533" s="5">
        <f>IF(OR($A533="", $B533="", $E533="", $F533="", $G533="", $H533=""), "",IF(AND($E533=$G533, $F533=$H533), 3, IF(SIGN($E533-$F533)=SIGN($G533-$H533), 1, 0))))</f>
        <v/>
      </c>
    </row>
    <row r="534">
      <c r="A534" s="5" t="inlineStr"/>
      <c r="B534" s="5" t="inlineStr"/>
      <c r="C534" s="5">
        <f>IF($B534="","",VLOOKUP($B534,Jogos!$A$2:$K$105,8,FALSE))</f>
        <v/>
      </c>
      <c r="D534" s="5">
        <f>IF($B534="","",VLOOKUP($B534,Jogos!$A$2:$K$105,10,FALSE))</f>
        <v/>
      </c>
      <c r="E534" s="5" t="inlineStr"/>
      <c r="F534" s="5" t="inlineStr"/>
      <c r="G534" s="8">
        <f>IF($B534="","",VLOOKUP($B534,Jogos!$A$2:$K$105,9,FALSE))</f>
        <v/>
      </c>
      <c r="H534" s="8">
        <f>IF($B534="","",VLOOKUP($B534,Jogos!$A$2:$K$105,11,FALSE))</f>
        <v/>
      </c>
      <c r="I534" s="5">
        <f>IF(OR($A534="", $B534="", $E534="", $F534="", $G534="", $H534=""), "",IF(AND($E534=$G534, $F534=$H534), 3, IF(SIGN($E534-$F534)=SIGN($G534-$H534), 1, 0))))</f>
        <v/>
      </c>
    </row>
    <row r="535">
      <c r="A535" s="5" t="inlineStr"/>
      <c r="B535" s="5" t="inlineStr"/>
      <c r="C535" s="5">
        <f>IF($B535="","",VLOOKUP($B535,Jogos!$A$2:$K$105,8,FALSE))</f>
        <v/>
      </c>
      <c r="D535" s="5">
        <f>IF($B535="","",VLOOKUP($B535,Jogos!$A$2:$K$105,10,FALSE))</f>
        <v/>
      </c>
      <c r="E535" s="5" t="inlineStr"/>
      <c r="F535" s="5" t="inlineStr"/>
      <c r="G535" s="8">
        <f>IF($B535="","",VLOOKUP($B535,Jogos!$A$2:$K$105,9,FALSE))</f>
        <v/>
      </c>
      <c r="H535" s="8">
        <f>IF($B535="","",VLOOKUP($B535,Jogos!$A$2:$K$105,11,FALSE))</f>
        <v/>
      </c>
      <c r="I535" s="5">
        <f>IF(OR($A535="", $B535="", $E535="", $F535="", $G535="", $H535=""), "",IF(AND($E535=$G535, $F535=$H535), 3, IF(SIGN($E535-$F535)=SIGN($G535-$H535), 1, 0))))</f>
        <v/>
      </c>
    </row>
    <row r="536">
      <c r="A536" s="5" t="inlineStr"/>
      <c r="B536" s="5" t="inlineStr"/>
      <c r="C536" s="5">
        <f>IF($B536="","",VLOOKUP($B536,Jogos!$A$2:$K$105,8,FALSE))</f>
        <v/>
      </c>
      <c r="D536" s="5">
        <f>IF($B536="","",VLOOKUP($B536,Jogos!$A$2:$K$105,10,FALSE))</f>
        <v/>
      </c>
      <c r="E536" s="5" t="inlineStr"/>
      <c r="F536" s="5" t="inlineStr"/>
      <c r="G536" s="8">
        <f>IF($B536="","",VLOOKUP($B536,Jogos!$A$2:$K$105,9,FALSE))</f>
        <v/>
      </c>
      <c r="H536" s="8">
        <f>IF($B536="","",VLOOKUP($B536,Jogos!$A$2:$K$105,11,FALSE))</f>
        <v/>
      </c>
      <c r="I536" s="5">
        <f>IF(OR($A536="", $B536="", $E536="", $F536="", $G536="", $H536=""), "",IF(AND($E536=$G536, $F536=$H536), 3, IF(SIGN($E536-$F536)=SIGN($G536-$H536), 1, 0))))</f>
        <v/>
      </c>
    </row>
    <row r="537">
      <c r="A537" s="5" t="inlineStr"/>
      <c r="B537" s="5" t="inlineStr"/>
      <c r="C537" s="5">
        <f>IF($B537="","",VLOOKUP($B537,Jogos!$A$2:$K$105,8,FALSE))</f>
        <v/>
      </c>
      <c r="D537" s="5">
        <f>IF($B537="","",VLOOKUP($B537,Jogos!$A$2:$K$105,10,FALSE))</f>
        <v/>
      </c>
      <c r="E537" s="5" t="inlineStr"/>
      <c r="F537" s="5" t="inlineStr"/>
      <c r="G537" s="8">
        <f>IF($B537="","",VLOOKUP($B537,Jogos!$A$2:$K$105,9,FALSE))</f>
        <v/>
      </c>
      <c r="H537" s="8">
        <f>IF($B537="","",VLOOKUP($B537,Jogos!$A$2:$K$105,11,FALSE))</f>
        <v/>
      </c>
      <c r="I537" s="5">
        <f>IF(OR($A537="", $B537="", $E537="", $F537="", $G537="", $H537=""), "",IF(AND($E537=$G537, $F537=$H537), 3, IF(SIGN($E537-$F537)=SIGN($G537-$H537), 1, 0))))</f>
        <v/>
      </c>
    </row>
    <row r="538">
      <c r="A538" s="5" t="inlineStr"/>
      <c r="B538" s="5" t="inlineStr"/>
      <c r="C538" s="5">
        <f>IF($B538="","",VLOOKUP($B538,Jogos!$A$2:$K$105,8,FALSE))</f>
        <v/>
      </c>
      <c r="D538" s="5">
        <f>IF($B538="","",VLOOKUP($B538,Jogos!$A$2:$K$105,10,FALSE))</f>
        <v/>
      </c>
      <c r="E538" s="5" t="inlineStr"/>
      <c r="F538" s="5" t="inlineStr"/>
      <c r="G538" s="8">
        <f>IF($B538="","",VLOOKUP($B538,Jogos!$A$2:$K$105,9,FALSE))</f>
        <v/>
      </c>
      <c r="H538" s="8">
        <f>IF($B538="","",VLOOKUP($B538,Jogos!$A$2:$K$105,11,FALSE))</f>
        <v/>
      </c>
      <c r="I538" s="5">
        <f>IF(OR($A538="", $B538="", $E538="", $F538="", $G538="", $H538=""), "",IF(AND($E538=$G538, $F538=$H538), 3, IF(SIGN($E538-$F538)=SIGN($G538-$H538), 1, 0))))</f>
        <v/>
      </c>
    </row>
    <row r="539">
      <c r="A539" s="5" t="inlineStr"/>
      <c r="B539" s="5" t="inlineStr"/>
      <c r="C539" s="5">
        <f>IF($B539="","",VLOOKUP($B539,Jogos!$A$2:$K$105,8,FALSE))</f>
        <v/>
      </c>
      <c r="D539" s="5">
        <f>IF($B539="","",VLOOKUP($B539,Jogos!$A$2:$K$105,10,FALSE))</f>
        <v/>
      </c>
      <c r="E539" s="5" t="inlineStr"/>
      <c r="F539" s="5" t="inlineStr"/>
      <c r="G539" s="8">
        <f>IF($B539="","",VLOOKUP($B539,Jogos!$A$2:$K$105,9,FALSE))</f>
        <v/>
      </c>
      <c r="H539" s="8">
        <f>IF($B539="","",VLOOKUP($B539,Jogos!$A$2:$K$105,11,FALSE))</f>
        <v/>
      </c>
      <c r="I539" s="5">
        <f>IF(OR($A539="", $B539="", $E539="", $F539="", $G539="", $H539=""), "",IF(AND($E539=$G539, $F539=$H539), 3, IF(SIGN($E539-$F539)=SIGN($G539-$H539), 1, 0))))</f>
        <v/>
      </c>
    </row>
    <row r="540">
      <c r="A540" s="5" t="inlineStr"/>
      <c r="B540" s="5" t="inlineStr"/>
      <c r="C540" s="5">
        <f>IF($B540="","",VLOOKUP($B540,Jogos!$A$2:$K$105,8,FALSE))</f>
        <v/>
      </c>
      <c r="D540" s="5">
        <f>IF($B540="","",VLOOKUP($B540,Jogos!$A$2:$K$105,10,FALSE))</f>
        <v/>
      </c>
      <c r="E540" s="5" t="inlineStr"/>
      <c r="F540" s="5" t="inlineStr"/>
      <c r="G540" s="8">
        <f>IF($B540="","",VLOOKUP($B540,Jogos!$A$2:$K$105,9,FALSE))</f>
        <v/>
      </c>
      <c r="H540" s="8">
        <f>IF($B540="","",VLOOKUP($B540,Jogos!$A$2:$K$105,11,FALSE))</f>
        <v/>
      </c>
      <c r="I540" s="5">
        <f>IF(OR($A540="", $B540="", $E540="", $F540="", $G540="", $H540=""), "",IF(AND($E540=$G540, $F540=$H540), 3, IF(SIGN($E540-$F540)=SIGN($G540-$H540), 1, 0))))</f>
        <v/>
      </c>
    </row>
    <row r="541">
      <c r="A541" s="5" t="inlineStr"/>
      <c r="B541" s="5" t="inlineStr"/>
      <c r="C541" s="5">
        <f>IF($B541="","",VLOOKUP($B541,Jogos!$A$2:$K$105,8,FALSE))</f>
        <v/>
      </c>
      <c r="D541" s="5">
        <f>IF($B541="","",VLOOKUP($B541,Jogos!$A$2:$K$105,10,FALSE))</f>
        <v/>
      </c>
      <c r="E541" s="5" t="inlineStr"/>
      <c r="F541" s="5" t="inlineStr"/>
      <c r="G541" s="8">
        <f>IF($B541="","",VLOOKUP($B541,Jogos!$A$2:$K$105,9,FALSE))</f>
        <v/>
      </c>
      <c r="H541" s="8">
        <f>IF($B541="","",VLOOKUP($B541,Jogos!$A$2:$K$105,11,FALSE))</f>
        <v/>
      </c>
      <c r="I541" s="5">
        <f>IF(OR($A541="", $B541="", $E541="", $F541="", $G541="", $H541=""), "",IF(AND($E541=$G541, $F541=$H541), 3, IF(SIGN($E541-$F541)=SIGN($G541-$H541), 1, 0))))</f>
        <v/>
      </c>
    </row>
    <row r="542">
      <c r="A542" s="5" t="inlineStr"/>
      <c r="B542" s="5" t="inlineStr"/>
      <c r="C542" s="5">
        <f>IF($B542="","",VLOOKUP($B542,Jogos!$A$2:$K$105,8,FALSE))</f>
        <v/>
      </c>
      <c r="D542" s="5">
        <f>IF($B542="","",VLOOKUP($B542,Jogos!$A$2:$K$105,10,FALSE))</f>
        <v/>
      </c>
      <c r="E542" s="5" t="inlineStr"/>
      <c r="F542" s="5" t="inlineStr"/>
      <c r="G542" s="8">
        <f>IF($B542="","",VLOOKUP($B542,Jogos!$A$2:$K$105,9,FALSE))</f>
        <v/>
      </c>
      <c r="H542" s="8">
        <f>IF($B542="","",VLOOKUP($B542,Jogos!$A$2:$K$105,11,FALSE))</f>
        <v/>
      </c>
      <c r="I542" s="5">
        <f>IF(OR($A542="", $B542="", $E542="", $F542="", $G542="", $H542=""), "",IF(AND($E542=$G542, $F542=$H542), 3, IF(SIGN($E542-$F542)=SIGN($G542-$H542), 1, 0))))</f>
        <v/>
      </c>
    </row>
    <row r="543">
      <c r="A543" s="5" t="inlineStr"/>
      <c r="B543" s="5" t="inlineStr"/>
      <c r="C543" s="5">
        <f>IF($B543="","",VLOOKUP($B543,Jogos!$A$2:$K$105,8,FALSE))</f>
        <v/>
      </c>
      <c r="D543" s="5">
        <f>IF($B543="","",VLOOKUP($B543,Jogos!$A$2:$K$105,10,FALSE))</f>
        <v/>
      </c>
      <c r="E543" s="5" t="inlineStr"/>
      <c r="F543" s="5" t="inlineStr"/>
      <c r="G543" s="8">
        <f>IF($B543="","",VLOOKUP($B543,Jogos!$A$2:$K$105,9,FALSE))</f>
        <v/>
      </c>
      <c r="H543" s="8">
        <f>IF($B543="","",VLOOKUP($B543,Jogos!$A$2:$K$105,11,FALSE))</f>
        <v/>
      </c>
      <c r="I543" s="5">
        <f>IF(OR($A543="", $B543="", $E543="", $F543="", $G543="", $H543=""), "",IF(AND($E543=$G543, $F543=$H543), 3, IF(SIGN($E543-$F543)=SIGN($G543-$H543), 1, 0))))</f>
        <v/>
      </c>
    </row>
    <row r="544">
      <c r="A544" s="5" t="inlineStr"/>
      <c r="B544" s="5" t="inlineStr"/>
      <c r="C544" s="5">
        <f>IF($B544="","",VLOOKUP($B544,Jogos!$A$2:$K$105,8,FALSE))</f>
        <v/>
      </c>
      <c r="D544" s="5">
        <f>IF($B544="","",VLOOKUP($B544,Jogos!$A$2:$K$105,10,FALSE))</f>
        <v/>
      </c>
      <c r="E544" s="5" t="inlineStr"/>
      <c r="F544" s="5" t="inlineStr"/>
      <c r="G544" s="8">
        <f>IF($B544="","",VLOOKUP($B544,Jogos!$A$2:$K$105,9,FALSE))</f>
        <v/>
      </c>
      <c r="H544" s="8">
        <f>IF($B544="","",VLOOKUP($B544,Jogos!$A$2:$K$105,11,FALSE))</f>
        <v/>
      </c>
      <c r="I544" s="5">
        <f>IF(OR($A544="", $B544="", $E544="", $F544="", $G544="", $H544=""), "",IF(AND($E544=$G544, $F544=$H544), 3, IF(SIGN($E544-$F544)=SIGN($G544-$H544), 1, 0))))</f>
        <v/>
      </c>
    </row>
    <row r="545">
      <c r="A545" s="5" t="inlineStr"/>
      <c r="B545" s="5" t="inlineStr"/>
      <c r="C545" s="5">
        <f>IF($B545="","",VLOOKUP($B545,Jogos!$A$2:$K$105,8,FALSE))</f>
        <v/>
      </c>
      <c r="D545" s="5">
        <f>IF($B545="","",VLOOKUP($B545,Jogos!$A$2:$K$105,10,FALSE))</f>
        <v/>
      </c>
      <c r="E545" s="5" t="inlineStr"/>
      <c r="F545" s="5" t="inlineStr"/>
      <c r="G545" s="8">
        <f>IF($B545="","",VLOOKUP($B545,Jogos!$A$2:$K$105,9,FALSE))</f>
        <v/>
      </c>
      <c r="H545" s="8">
        <f>IF($B545="","",VLOOKUP($B545,Jogos!$A$2:$K$105,11,FALSE))</f>
        <v/>
      </c>
      <c r="I545" s="5">
        <f>IF(OR($A545="", $B545="", $E545="", $F545="", $G545="", $H545=""), "",IF(AND($E545=$G545, $F545=$H545), 3, IF(SIGN($E545-$F545)=SIGN($G545-$H545), 1, 0))))</f>
        <v/>
      </c>
    </row>
    <row r="546">
      <c r="A546" s="5" t="inlineStr"/>
      <c r="B546" s="5" t="inlineStr"/>
      <c r="C546" s="5">
        <f>IF($B546="","",VLOOKUP($B546,Jogos!$A$2:$K$105,8,FALSE))</f>
        <v/>
      </c>
      <c r="D546" s="5">
        <f>IF($B546="","",VLOOKUP($B546,Jogos!$A$2:$K$105,10,FALSE))</f>
        <v/>
      </c>
      <c r="E546" s="5" t="inlineStr"/>
      <c r="F546" s="5" t="inlineStr"/>
      <c r="G546" s="8">
        <f>IF($B546="","",VLOOKUP($B546,Jogos!$A$2:$K$105,9,FALSE))</f>
        <v/>
      </c>
      <c r="H546" s="8">
        <f>IF($B546="","",VLOOKUP($B546,Jogos!$A$2:$K$105,11,FALSE))</f>
        <v/>
      </c>
      <c r="I546" s="5">
        <f>IF(OR($A546="", $B546="", $E546="", $F546="", $G546="", $H546=""), "",IF(AND($E546=$G546, $F546=$H546), 3, IF(SIGN($E546-$F546)=SIGN($G546-$H546), 1, 0))))</f>
        <v/>
      </c>
    </row>
    <row r="547">
      <c r="A547" s="5" t="inlineStr"/>
      <c r="B547" s="5" t="inlineStr"/>
      <c r="C547" s="5">
        <f>IF($B547="","",VLOOKUP($B547,Jogos!$A$2:$K$105,8,FALSE))</f>
        <v/>
      </c>
      <c r="D547" s="5">
        <f>IF($B547="","",VLOOKUP($B547,Jogos!$A$2:$K$105,10,FALSE))</f>
        <v/>
      </c>
      <c r="E547" s="5" t="inlineStr"/>
      <c r="F547" s="5" t="inlineStr"/>
      <c r="G547" s="8">
        <f>IF($B547="","",VLOOKUP($B547,Jogos!$A$2:$K$105,9,FALSE))</f>
        <v/>
      </c>
      <c r="H547" s="8">
        <f>IF($B547="","",VLOOKUP($B547,Jogos!$A$2:$K$105,11,FALSE))</f>
        <v/>
      </c>
      <c r="I547" s="5">
        <f>IF(OR($A547="", $B547="", $E547="", $F547="", $G547="", $H547=""), "",IF(AND($E547=$G547, $F547=$H547), 3, IF(SIGN($E547-$F547)=SIGN($G547-$H547), 1, 0))))</f>
        <v/>
      </c>
    </row>
    <row r="548">
      <c r="A548" s="5" t="inlineStr"/>
      <c r="B548" s="5" t="inlineStr"/>
      <c r="C548" s="5">
        <f>IF($B548="","",VLOOKUP($B548,Jogos!$A$2:$K$105,8,FALSE))</f>
        <v/>
      </c>
      <c r="D548" s="5">
        <f>IF($B548="","",VLOOKUP($B548,Jogos!$A$2:$K$105,10,FALSE))</f>
        <v/>
      </c>
      <c r="E548" s="5" t="inlineStr"/>
      <c r="F548" s="5" t="inlineStr"/>
      <c r="G548" s="8">
        <f>IF($B548="","",VLOOKUP($B548,Jogos!$A$2:$K$105,9,FALSE))</f>
        <v/>
      </c>
      <c r="H548" s="8">
        <f>IF($B548="","",VLOOKUP($B548,Jogos!$A$2:$K$105,11,FALSE))</f>
        <v/>
      </c>
      <c r="I548" s="5">
        <f>IF(OR($A548="", $B548="", $E548="", $F548="", $G548="", $H548=""), "",IF(AND($E548=$G548, $F548=$H548), 3, IF(SIGN($E548-$F548)=SIGN($G548-$H548), 1, 0))))</f>
        <v/>
      </c>
    </row>
    <row r="549">
      <c r="A549" s="5" t="inlineStr"/>
      <c r="B549" s="5" t="inlineStr"/>
      <c r="C549" s="5">
        <f>IF($B549="","",VLOOKUP($B549,Jogos!$A$2:$K$105,8,FALSE))</f>
        <v/>
      </c>
      <c r="D549" s="5">
        <f>IF($B549="","",VLOOKUP($B549,Jogos!$A$2:$K$105,10,FALSE))</f>
        <v/>
      </c>
      <c r="E549" s="5" t="inlineStr"/>
      <c r="F549" s="5" t="inlineStr"/>
      <c r="G549" s="8">
        <f>IF($B549="","",VLOOKUP($B549,Jogos!$A$2:$K$105,9,FALSE))</f>
        <v/>
      </c>
      <c r="H549" s="8">
        <f>IF($B549="","",VLOOKUP($B549,Jogos!$A$2:$K$105,11,FALSE))</f>
        <v/>
      </c>
      <c r="I549" s="5">
        <f>IF(OR($A549="", $B549="", $E549="", $F549="", $G549="", $H549=""), "",IF(AND($E549=$G549, $F549=$H549), 3, IF(SIGN($E549-$F549)=SIGN($G549-$H549), 1, 0))))</f>
        <v/>
      </c>
    </row>
    <row r="550">
      <c r="A550" s="5" t="inlineStr"/>
      <c r="B550" s="5" t="inlineStr"/>
      <c r="C550" s="5">
        <f>IF($B550="","",VLOOKUP($B550,Jogos!$A$2:$K$105,8,FALSE))</f>
        <v/>
      </c>
      <c r="D550" s="5">
        <f>IF($B550="","",VLOOKUP($B550,Jogos!$A$2:$K$105,10,FALSE))</f>
        <v/>
      </c>
      <c r="E550" s="5" t="inlineStr"/>
      <c r="F550" s="5" t="inlineStr"/>
      <c r="G550" s="8">
        <f>IF($B550="","",VLOOKUP($B550,Jogos!$A$2:$K$105,9,FALSE))</f>
        <v/>
      </c>
      <c r="H550" s="8">
        <f>IF($B550="","",VLOOKUP($B550,Jogos!$A$2:$K$105,11,FALSE))</f>
        <v/>
      </c>
      <c r="I550" s="5">
        <f>IF(OR($A550="", $B550="", $E550="", $F550="", $G550="", $H550=""), "",IF(AND($E550=$G550, $F550=$H550), 3, IF(SIGN($E550-$F550)=SIGN($G550-$H550), 1, 0))))</f>
        <v/>
      </c>
    </row>
    <row r="551">
      <c r="A551" s="5" t="inlineStr"/>
      <c r="B551" s="5" t="inlineStr"/>
      <c r="C551" s="5">
        <f>IF($B551="","",VLOOKUP($B551,Jogos!$A$2:$K$105,8,FALSE))</f>
        <v/>
      </c>
      <c r="D551" s="5">
        <f>IF($B551="","",VLOOKUP($B551,Jogos!$A$2:$K$105,10,FALSE))</f>
        <v/>
      </c>
      <c r="E551" s="5" t="inlineStr"/>
      <c r="F551" s="5" t="inlineStr"/>
      <c r="G551" s="8">
        <f>IF($B551="","",VLOOKUP($B551,Jogos!$A$2:$K$105,9,FALSE))</f>
        <v/>
      </c>
      <c r="H551" s="8">
        <f>IF($B551="","",VLOOKUP($B551,Jogos!$A$2:$K$105,11,FALSE))</f>
        <v/>
      </c>
      <c r="I551" s="5">
        <f>IF(OR($A551="", $B551="", $E551="", $F551="", $G551="", $H551=""), "",IF(AND($E551=$G551, $F551=$H551), 3, IF(SIGN($E551-$F551)=SIGN($G551-$H551), 1, 0))))</f>
        <v/>
      </c>
    </row>
    <row r="552">
      <c r="A552" s="5" t="inlineStr"/>
      <c r="B552" s="5" t="inlineStr"/>
      <c r="C552" s="5">
        <f>IF($B552="","",VLOOKUP($B552,Jogos!$A$2:$K$105,8,FALSE))</f>
        <v/>
      </c>
      <c r="D552" s="5">
        <f>IF($B552="","",VLOOKUP($B552,Jogos!$A$2:$K$105,10,FALSE))</f>
        <v/>
      </c>
      <c r="E552" s="5" t="inlineStr"/>
      <c r="F552" s="5" t="inlineStr"/>
      <c r="G552" s="8">
        <f>IF($B552="","",VLOOKUP($B552,Jogos!$A$2:$K$105,9,FALSE))</f>
        <v/>
      </c>
      <c r="H552" s="8">
        <f>IF($B552="","",VLOOKUP($B552,Jogos!$A$2:$K$105,11,FALSE))</f>
        <v/>
      </c>
      <c r="I552" s="5">
        <f>IF(OR($A552="", $B552="", $E552="", $F552="", $G552="", $H552=""), "",IF(AND($E552=$G552, $F552=$H552), 3, IF(SIGN($E552-$F552)=SIGN($G552-$H552), 1, 0))))</f>
        <v/>
      </c>
    </row>
    <row r="553">
      <c r="A553" s="5" t="inlineStr"/>
      <c r="B553" s="5" t="inlineStr"/>
      <c r="C553" s="5">
        <f>IF($B553="","",VLOOKUP($B553,Jogos!$A$2:$K$105,8,FALSE))</f>
        <v/>
      </c>
      <c r="D553" s="5">
        <f>IF($B553="","",VLOOKUP($B553,Jogos!$A$2:$K$105,10,FALSE))</f>
        <v/>
      </c>
      <c r="E553" s="5" t="inlineStr"/>
      <c r="F553" s="5" t="inlineStr"/>
      <c r="G553" s="8">
        <f>IF($B553="","",VLOOKUP($B553,Jogos!$A$2:$K$105,9,FALSE))</f>
        <v/>
      </c>
      <c r="H553" s="8">
        <f>IF($B553="","",VLOOKUP($B553,Jogos!$A$2:$K$105,11,FALSE))</f>
        <v/>
      </c>
      <c r="I553" s="5">
        <f>IF(OR($A553="", $B553="", $E553="", $F553="", $G553="", $H553=""), "",IF(AND($E553=$G553, $F553=$H553), 3, IF(SIGN($E553-$F553)=SIGN($G553-$H553), 1, 0))))</f>
        <v/>
      </c>
    </row>
    <row r="554">
      <c r="A554" s="5" t="inlineStr"/>
      <c r="B554" s="5" t="inlineStr"/>
      <c r="C554" s="5">
        <f>IF($B554="","",VLOOKUP($B554,Jogos!$A$2:$K$105,8,FALSE))</f>
        <v/>
      </c>
      <c r="D554" s="5">
        <f>IF($B554="","",VLOOKUP($B554,Jogos!$A$2:$K$105,10,FALSE))</f>
        <v/>
      </c>
      <c r="E554" s="5" t="inlineStr"/>
      <c r="F554" s="5" t="inlineStr"/>
      <c r="G554" s="8">
        <f>IF($B554="","",VLOOKUP($B554,Jogos!$A$2:$K$105,9,FALSE))</f>
        <v/>
      </c>
      <c r="H554" s="8">
        <f>IF($B554="","",VLOOKUP($B554,Jogos!$A$2:$K$105,11,FALSE))</f>
        <v/>
      </c>
      <c r="I554" s="5">
        <f>IF(OR($A554="", $B554="", $E554="", $F554="", $G554="", $H554=""), "",IF(AND($E554=$G554, $F554=$H554), 3, IF(SIGN($E554-$F554)=SIGN($G554-$H554), 1, 0))))</f>
        <v/>
      </c>
    </row>
    <row r="555">
      <c r="A555" s="5" t="inlineStr"/>
      <c r="B555" s="5" t="inlineStr"/>
      <c r="C555" s="5">
        <f>IF($B555="","",VLOOKUP($B555,Jogos!$A$2:$K$105,8,FALSE))</f>
        <v/>
      </c>
      <c r="D555" s="5">
        <f>IF($B555="","",VLOOKUP($B555,Jogos!$A$2:$K$105,10,FALSE))</f>
        <v/>
      </c>
      <c r="E555" s="5" t="inlineStr"/>
      <c r="F555" s="5" t="inlineStr"/>
      <c r="G555" s="8">
        <f>IF($B555="","",VLOOKUP($B555,Jogos!$A$2:$K$105,9,FALSE))</f>
        <v/>
      </c>
      <c r="H555" s="8">
        <f>IF($B555="","",VLOOKUP($B555,Jogos!$A$2:$K$105,11,FALSE))</f>
        <v/>
      </c>
      <c r="I555" s="5">
        <f>IF(OR($A555="", $B555="", $E555="", $F555="", $G555="", $H555=""), "",IF(AND($E555=$G555, $F555=$H555), 3, IF(SIGN($E555-$F555)=SIGN($G555-$H555), 1, 0))))</f>
        <v/>
      </c>
    </row>
    <row r="556">
      <c r="A556" s="5" t="inlineStr"/>
      <c r="B556" s="5" t="inlineStr"/>
      <c r="C556" s="5">
        <f>IF($B556="","",VLOOKUP($B556,Jogos!$A$2:$K$105,8,FALSE))</f>
        <v/>
      </c>
      <c r="D556" s="5">
        <f>IF($B556="","",VLOOKUP($B556,Jogos!$A$2:$K$105,10,FALSE))</f>
        <v/>
      </c>
      <c r="E556" s="5" t="inlineStr"/>
      <c r="F556" s="5" t="inlineStr"/>
      <c r="G556" s="8">
        <f>IF($B556="","",VLOOKUP($B556,Jogos!$A$2:$K$105,9,FALSE))</f>
        <v/>
      </c>
      <c r="H556" s="8">
        <f>IF($B556="","",VLOOKUP($B556,Jogos!$A$2:$K$105,11,FALSE))</f>
        <v/>
      </c>
      <c r="I556" s="5">
        <f>IF(OR($A556="", $B556="", $E556="", $F556="", $G556="", $H556=""), "",IF(AND($E556=$G556, $F556=$H556), 3, IF(SIGN($E556-$F556)=SIGN($G556-$H556), 1, 0))))</f>
        <v/>
      </c>
    </row>
    <row r="557">
      <c r="A557" s="5" t="inlineStr"/>
      <c r="B557" s="5" t="inlineStr"/>
      <c r="C557" s="5">
        <f>IF($B557="","",VLOOKUP($B557,Jogos!$A$2:$K$105,8,FALSE))</f>
        <v/>
      </c>
      <c r="D557" s="5">
        <f>IF($B557="","",VLOOKUP($B557,Jogos!$A$2:$K$105,10,FALSE))</f>
        <v/>
      </c>
      <c r="E557" s="5" t="inlineStr"/>
      <c r="F557" s="5" t="inlineStr"/>
      <c r="G557" s="8">
        <f>IF($B557="","",VLOOKUP($B557,Jogos!$A$2:$K$105,9,FALSE))</f>
        <v/>
      </c>
      <c r="H557" s="8">
        <f>IF($B557="","",VLOOKUP($B557,Jogos!$A$2:$K$105,11,FALSE))</f>
        <v/>
      </c>
      <c r="I557" s="5">
        <f>IF(OR($A557="", $B557="", $E557="", $F557="", $G557="", $H557=""), "",IF(AND($E557=$G557, $F557=$H557), 3, IF(SIGN($E557-$F557)=SIGN($G557-$H557), 1, 0))))</f>
        <v/>
      </c>
    </row>
    <row r="558">
      <c r="A558" s="5" t="inlineStr"/>
      <c r="B558" s="5" t="inlineStr"/>
      <c r="C558" s="5">
        <f>IF($B558="","",VLOOKUP($B558,Jogos!$A$2:$K$105,8,FALSE))</f>
        <v/>
      </c>
      <c r="D558" s="5">
        <f>IF($B558="","",VLOOKUP($B558,Jogos!$A$2:$K$105,10,FALSE))</f>
        <v/>
      </c>
      <c r="E558" s="5" t="inlineStr"/>
      <c r="F558" s="5" t="inlineStr"/>
      <c r="G558" s="8">
        <f>IF($B558="","",VLOOKUP($B558,Jogos!$A$2:$K$105,9,FALSE))</f>
        <v/>
      </c>
      <c r="H558" s="8">
        <f>IF($B558="","",VLOOKUP($B558,Jogos!$A$2:$K$105,11,FALSE))</f>
        <v/>
      </c>
      <c r="I558" s="5">
        <f>IF(OR($A558="", $B558="", $E558="", $F558="", $G558="", $H558=""), "",IF(AND($E558=$G558, $F558=$H558), 3, IF(SIGN($E558-$F558)=SIGN($G558-$H558), 1, 0))))</f>
        <v/>
      </c>
    </row>
    <row r="559">
      <c r="A559" s="5" t="inlineStr"/>
      <c r="B559" s="5" t="inlineStr"/>
      <c r="C559" s="5">
        <f>IF($B559="","",VLOOKUP($B559,Jogos!$A$2:$K$105,8,FALSE))</f>
        <v/>
      </c>
      <c r="D559" s="5">
        <f>IF($B559="","",VLOOKUP($B559,Jogos!$A$2:$K$105,10,FALSE))</f>
        <v/>
      </c>
      <c r="E559" s="5" t="inlineStr"/>
      <c r="F559" s="5" t="inlineStr"/>
      <c r="G559" s="8">
        <f>IF($B559="","",VLOOKUP($B559,Jogos!$A$2:$K$105,9,FALSE))</f>
        <v/>
      </c>
      <c r="H559" s="8">
        <f>IF($B559="","",VLOOKUP($B559,Jogos!$A$2:$K$105,11,FALSE))</f>
        <v/>
      </c>
      <c r="I559" s="5">
        <f>IF(OR($A559="", $B559="", $E559="", $F559="", $G559="", $H559=""), "",IF(AND($E559=$G559, $F559=$H559), 3, IF(SIGN($E559-$F559)=SIGN($G559-$H559), 1, 0))))</f>
        <v/>
      </c>
    </row>
    <row r="560">
      <c r="A560" s="5" t="inlineStr"/>
      <c r="B560" s="5" t="inlineStr"/>
      <c r="C560" s="5">
        <f>IF($B560="","",VLOOKUP($B560,Jogos!$A$2:$K$105,8,FALSE))</f>
        <v/>
      </c>
      <c r="D560" s="5">
        <f>IF($B560="","",VLOOKUP($B560,Jogos!$A$2:$K$105,10,FALSE))</f>
        <v/>
      </c>
      <c r="E560" s="5" t="inlineStr"/>
      <c r="F560" s="5" t="inlineStr"/>
      <c r="G560" s="8">
        <f>IF($B560="","",VLOOKUP($B560,Jogos!$A$2:$K$105,9,FALSE))</f>
        <v/>
      </c>
      <c r="H560" s="8">
        <f>IF($B560="","",VLOOKUP($B560,Jogos!$A$2:$K$105,11,FALSE))</f>
        <v/>
      </c>
      <c r="I560" s="5">
        <f>IF(OR($A560="", $B560="", $E560="", $F560="", $G560="", $H560=""), "",IF(AND($E560=$G560, $F560=$H560), 3, IF(SIGN($E560-$F560)=SIGN($G560-$H560), 1, 0))))</f>
        <v/>
      </c>
    </row>
    <row r="561">
      <c r="A561" s="5" t="inlineStr"/>
      <c r="B561" s="5" t="inlineStr"/>
      <c r="C561" s="5">
        <f>IF($B561="","",VLOOKUP($B561,Jogos!$A$2:$K$105,8,FALSE))</f>
        <v/>
      </c>
      <c r="D561" s="5">
        <f>IF($B561="","",VLOOKUP($B561,Jogos!$A$2:$K$105,10,FALSE))</f>
        <v/>
      </c>
      <c r="E561" s="5" t="inlineStr"/>
      <c r="F561" s="5" t="inlineStr"/>
      <c r="G561" s="8">
        <f>IF($B561="","",VLOOKUP($B561,Jogos!$A$2:$K$105,9,FALSE))</f>
        <v/>
      </c>
      <c r="H561" s="8">
        <f>IF($B561="","",VLOOKUP($B561,Jogos!$A$2:$K$105,11,FALSE))</f>
        <v/>
      </c>
      <c r="I561" s="5">
        <f>IF(OR($A561="", $B561="", $E561="", $F561="", $G561="", $H561=""), "",IF(AND($E561=$G561, $F561=$H561), 3, IF(SIGN($E561-$F561)=SIGN($G561-$H561), 1, 0))))</f>
        <v/>
      </c>
    </row>
    <row r="562">
      <c r="A562" s="5" t="inlineStr"/>
      <c r="B562" s="5" t="inlineStr"/>
      <c r="C562" s="5">
        <f>IF($B562="","",VLOOKUP($B562,Jogos!$A$2:$K$105,8,FALSE))</f>
        <v/>
      </c>
      <c r="D562" s="5">
        <f>IF($B562="","",VLOOKUP($B562,Jogos!$A$2:$K$105,10,FALSE))</f>
        <v/>
      </c>
      <c r="E562" s="5" t="inlineStr"/>
      <c r="F562" s="5" t="inlineStr"/>
      <c r="G562" s="8">
        <f>IF($B562="","",VLOOKUP($B562,Jogos!$A$2:$K$105,9,FALSE))</f>
        <v/>
      </c>
      <c r="H562" s="8">
        <f>IF($B562="","",VLOOKUP($B562,Jogos!$A$2:$K$105,11,FALSE))</f>
        <v/>
      </c>
      <c r="I562" s="5">
        <f>IF(OR($A562="", $B562="", $E562="", $F562="", $G562="", $H562=""), "",IF(AND($E562=$G562, $F562=$H562), 3, IF(SIGN($E562-$F562)=SIGN($G562-$H562), 1, 0))))</f>
        <v/>
      </c>
    </row>
    <row r="563">
      <c r="A563" s="5" t="inlineStr"/>
      <c r="B563" s="5" t="inlineStr"/>
      <c r="C563" s="5">
        <f>IF($B563="","",VLOOKUP($B563,Jogos!$A$2:$K$105,8,FALSE))</f>
        <v/>
      </c>
      <c r="D563" s="5">
        <f>IF($B563="","",VLOOKUP($B563,Jogos!$A$2:$K$105,10,FALSE))</f>
        <v/>
      </c>
      <c r="E563" s="5" t="inlineStr"/>
      <c r="F563" s="5" t="inlineStr"/>
      <c r="G563" s="8">
        <f>IF($B563="","",VLOOKUP($B563,Jogos!$A$2:$K$105,9,FALSE))</f>
        <v/>
      </c>
      <c r="H563" s="8">
        <f>IF($B563="","",VLOOKUP($B563,Jogos!$A$2:$K$105,11,FALSE))</f>
        <v/>
      </c>
      <c r="I563" s="5">
        <f>IF(OR($A563="", $B563="", $E563="", $F563="", $G563="", $H563=""), "",IF(AND($E563=$G563, $F563=$H563), 3, IF(SIGN($E563-$F563)=SIGN($G563-$H563), 1, 0))))</f>
        <v/>
      </c>
    </row>
    <row r="564">
      <c r="A564" s="5" t="inlineStr"/>
      <c r="B564" s="5" t="inlineStr"/>
      <c r="C564" s="5">
        <f>IF($B564="","",VLOOKUP($B564,Jogos!$A$2:$K$105,8,FALSE))</f>
        <v/>
      </c>
      <c r="D564" s="5">
        <f>IF($B564="","",VLOOKUP($B564,Jogos!$A$2:$K$105,10,FALSE))</f>
        <v/>
      </c>
      <c r="E564" s="5" t="inlineStr"/>
      <c r="F564" s="5" t="inlineStr"/>
      <c r="G564" s="8">
        <f>IF($B564="","",VLOOKUP($B564,Jogos!$A$2:$K$105,9,FALSE))</f>
        <v/>
      </c>
      <c r="H564" s="8">
        <f>IF($B564="","",VLOOKUP($B564,Jogos!$A$2:$K$105,11,FALSE))</f>
        <v/>
      </c>
      <c r="I564" s="5">
        <f>IF(OR($A564="", $B564="", $E564="", $F564="", $G564="", $H564=""), "",IF(AND($E564=$G564, $F564=$H564), 3, IF(SIGN($E564-$F564)=SIGN($G564-$H564), 1, 0))))</f>
        <v/>
      </c>
    </row>
    <row r="565">
      <c r="A565" s="5" t="inlineStr"/>
      <c r="B565" s="5" t="inlineStr"/>
      <c r="C565" s="5">
        <f>IF($B565="","",VLOOKUP($B565,Jogos!$A$2:$K$105,8,FALSE))</f>
        <v/>
      </c>
      <c r="D565" s="5">
        <f>IF($B565="","",VLOOKUP($B565,Jogos!$A$2:$K$105,10,FALSE))</f>
        <v/>
      </c>
      <c r="E565" s="5" t="inlineStr"/>
      <c r="F565" s="5" t="inlineStr"/>
      <c r="G565" s="8">
        <f>IF($B565="","",VLOOKUP($B565,Jogos!$A$2:$K$105,9,FALSE))</f>
        <v/>
      </c>
      <c r="H565" s="8">
        <f>IF($B565="","",VLOOKUP($B565,Jogos!$A$2:$K$105,11,FALSE))</f>
        <v/>
      </c>
      <c r="I565" s="5">
        <f>IF(OR($A565="", $B565="", $E565="", $F565="", $G565="", $H565=""), "",IF(AND($E565=$G565, $F565=$H565), 3, IF(SIGN($E565-$F565)=SIGN($G565-$H565), 1, 0))))</f>
        <v/>
      </c>
    </row>
    <row r="566">
      <c r="A566" s="5" t="inlineStr"/>
      <c r="B566" s="5" t="inlineStr"/>
      <c r="C566" s="5">
        <f>IF($B566="","",VLOOKUP($B566,Jogos!$A$2:$K$105,8,FALSE))</f>
        <v/>
      </c>
      <c r="D566" s="5">
        <f>IF($B566="","",VLOOKUP($B566,Jogos!$A$2:$K$105,10,FALSE))</f>
        <v/>
      </c>
      <c r="E566" s="5" t="inlineStr"/>
      <c r="F566" s="5" t="inlineStr"/>
      <c r="G566" s="8">
        <f>IF($B566="","",VLOOKUP($B566,Jogos!$A$2:$K$105,9,FALSE))</f>
        <v/>
      </c>
      <c r="H566" s="8">
        <f>IF($B566="","",VLOOKUP($B566,Jogos!$A$2:$K$105,11,FALSE))</f>
        <v/>
      </c>
      <c r="I566" s="5">
        <f>IF(OR($A566="", $B566="", $E566="", $F566="", $G566="", $H566=""), "",IF(AND($E566=$G566, $F566=$H566), 3, IF(SIGN($E566-$F566)=SIGN($G566-$H566), 1, 0))))</f>
        <v/>
      </c>
    </row>
    <row r="567">
      <c r="A567" s="5" t="inlineStr"/>
      <c r="B567" s="5" t="inlineStr"/>
      <c r="C567" s="5">
        <f>IF($B567="","",VLOOKUP($B567,Jogos!$A$2:$K$105,8,FALSE))</f>
        <v/>
      </c>
      <c r="D567" s="5">
        <f>IF($B567="","",VLOOKUP($B567,Jogos!$A$2:$K$105,10,FALSE))</f>
        <v/>
      </c>
      <c r="E567" s="5" t="inlineStr"/>
      <c r="F567" s="5" t="inlineStr"/>
      <c r="G567" s="8">
        <f>IF($B567="","",VLOOKUP($B567,Jogos!$A$2:$K$105,9,FALSE))</f>
        <v/>
      </c>
      <c r="H567" s="8">
        <f>IF($B567="","",VLOOKUP($B567,Jogos!$A$2:$K$105,11,FALSE))</f>
        <v/>
      </c>
      <c r="I567" s="5">
        <f>IF(OR($A567="", $B567="", $E567="", $F567="", $G567="", $H567=""), "",IF(AND($E567=$G567, $F567=$H567), 3, IF(SIGN($E567-$F567)=SIGN($G567-$H567), 1, 0))))</f>
        <v/>
      </c>
    </row>
    <row r="568">
      <c r="A568" s="5" t="inlineStr"/>
      <c r="B568" s="5" t="inlineStr"/>
      <c r="C568" s="5">
        <f>IF($B568="","",VLOOKUP($B568,Jogos!$A$2:$K$105,8,FALSE))</f>
        <v/>
      </c>
      <c r="D568" s="5">
        <f>IF($B568="","",VLOOKUP($B568,Jogos!$A$2:$K$105,10,FALSE))</f>
        <v/>
      </c>
      <c r="E568" s="5" t="inlineStr"/>
      <c r="F568" s="5" t="inlineStr"/>
      <c r="G568" s="8">
        <f>IF($B568="","",VLOOKUP($B568,Jogos!$A$2:$K$105,9,FALSE))</f>
        <v/>
      </c>
      <c r="H568" s="8">
        <f>IF($B568="","",VLOOKUP($B568,Jogos!$A$2:$K$105,11,FALSE))</f>
        <v/>
      </c>
      <c r="I568" s="5">
        <f>IF(OR($A568="", $B568="", $E568="", $F568="", $G568="", $H568=""), "",IF(AND($E568=$G568, $F568=$H568), 3, IF(SIGN($E568-$F568)=SIGN($G568-$H568), 1, 0))))</f>
        <v/>
      </c>
    </row>
    <row r="569">
      <c r="A569" s="5" t="inlineStr"/>
      <c r="B569" s="5" t="inlineStr"/>
      <c r="C569" s="5">
        <f>IF($B569="","",VLOOKUP($B569,Jogos!$A$2:$K$105,8,FALSE))</f>
        <v/>
      </c>
      <c r="D569" s="5">
        <f>IF($B569="","",VLOOKUP($B569,Jogos!$A$2:$K$105,10,FALSE))</f>
        <v/>
      </c>
      <c r="E569" s="5" t="inlineStr"/>
      <c r="F569" s="5" t="inlineStr"/>
      <c r="G569" s="8">
        <f>IF($B569="","",VLOOKUP($B569,Jogos!$A$2:$K$105,9,FALSE))</f>
        <v/>
      </c>
      <c r="H569" s="8">
        <f>IF($B569="","",VLOOKUP($B569,Jogos!$A$2:$K$105,11,FALSE))</f>
        <v/>
      </c>
      <c r="I569" s="5">
        <f>IF(OR($A569="", $B569="", $E569="", $F569="", $G569="", $H569=""), "",IF(AND($E569=$G569, $F569=$H569), 3, IF(SIGN($E569-$F569)=SIGN($G569-$H569), 1, 0))))</f>
        <v/>
      </c>
    </row>
    <row r="570">
      <c r="A570" s="5" t="inlineStr"/>
      <c r="B570" s="5" t="inlineStr"/>
      <c r="C570" s="5">
        <f>IF($B570="","",VLOOKUP($B570,Jogos!$A$2:$K$105,8,FALSE))</f>
        <v/>
      </c>
      <c r="D570" s="5">
        <f>IF($B570="","",VLOOKUP($B570,Jogos!$A$2:$K$105,10,FALSE))</f>
        <v/>
      </c>
      <c r="E570" s="5" t="inlineStr"/>
      <c r="F570" s="5" t="inlineStr"/>
      <c r="G570" s="8">
        <f>IF($B570="","",VLOOKUP($B570,Jogos!$A$2:$K$105,9,FALSE))</f>
        <v/>
      </c>
      <c r="H570" s="8">
        <f>IF($B570="","",VLOOKUP($B570,Jogos!$A$2:$K$105,11,FALSE))</f>
        <v/>
      </c>
      <c r="I570" s="5">
        <f>IF(OR($A570="", $B570="", $E570="", $F570="", $G570="", $H570=""), "",IF(AND($E570=$G570, $F570=$H570), 3, IF(SIGN($E570-$F570)=SIGN($G570-$H570), 1, 0))))</f>
        <v/>
      </c>
    </row>
    <row r="571">
      <c r="A571" s="5" t="inlineStr"/>
      <c r="B571" s="5" t="inlineStr"/>
      <c r="C571" s="5">
        <f>IF($B571="","",VLOOKUP($B571,Jogos!$A$2:$K$105,8,FALSE))</f>
        <v/>
      </c>
      <c r="D571" s="5">
        <f>IF($B571="","",VLOOKUP($B571,Jogos!$A$2:$K$105,10,FALSE))</f>
        <v/>
      </c>
      <c r="E571" s="5" t="inlineStr"/>
      <c r="F571" s="5" t="inlineStr"/>
      <c r="G571" s="8">
        <f>IF($B571="","",VLOOKUP($B571,Jogos!$A$2:$K$105,9,FALSE))</f>
        <v/>
      </c>
      <c r="H571" s="8">
        <f>IF($B571="","",VLOOKUP($B571,Jogos!$A$2:$K$105,11,FALSE))</f>
        <v/>
      </c>
      <c r="I571" s="5">
        <f>IF(OR($A571="", $B571="", $E571="", $F571="", $G571="", $H571=""), "",IF(AND($E571=$G571, $F571=$H571), 3, IF(SIGN($E571-$F571)=SIGN($G571-$H571), 1, 0))))</f>
        <v/>
      </c>
    </row>
    <row r="572">
      <c r="A572" s="5" t="inlineStr"/>
      <c r="B572" s="5" t="inlineStr"/>
      <c r="C572" s="5">
        <f>IF($B572="","",VLOOKUP($B572,Jogos!$A$2:$K$105,8,FALSE))</f>
        <v/>
      </c>
      <c r="D572" s="5">
        <f>IF($B572="","",VLOOKUP($B572,Jogos!$A$2:$K$105,10,FALSE))</f>
        <v/>
      </c>
      <c r="E572" s="5" t="inlineStr"/>
      <c r="F572" s="5" t="inlineStr"/>
      <c r="G572" s="8">
        <f>IF($B572="","",VLOOKUP($B572,Jogos!$A$2:$K$105,9,FALSE))</f>
        <v/>
      </c>
      <c r="H572" s="8">
        <f>IF($B572="","",VLOOKUP($B572,Jogos!$A$2:$K$105,11,FALSE))</f>
        <v/>
      </c>
      <c r="I572" s="5">
        <f>IF(OR($A572="", $B572="", $E572="", $F572="", $G572="", $H572=""), "",IF(AND($E572=$G572, $F572=$H572), 3, IF(SIGN($E572-$F572)=SIGN($G572-$H572), 1, 0))))</f>
        <v/>
      </c>
    </row>
    <row r="573">
      <c r="A573" s="5" t="inlineStr"/>
      <c r="B573" s="5" t="inlineStr"/>
      <c r="C573" s="5">
        <f>IF($B573="","",VLOOKUP($B573,Jogos!$A$2:$K$105,8,FALSE))</f>
        <v/>
      </c>
      <c r="D573" s="5">
        <f>IF($B573="","",VLOOKUP($B573,Jogos!$A$2:$K$105,10,FALSE))</f>
        <v/>
      </c>
      <c r="E573" s="5" t="inlineStr"/>
      <c r="F573" s="5" t="inlineStr"/>
      <c r="G573" s="8">
        <f>IF($B573="","",VLOOKUP($B573,Jogos!$A$2:$K$105,9,FALSE))</f>
        <v/>
      </c>
      <c r="H573" s="8">
        <f>IF($B573="","",VLOOKUP($B573,Jogos!$A$2:$K$105,11,FALSE))</f>
        <v/>
      </c>
      <c r="I573" s="5">
        <f>IF(OR($A573="", $B573="", $E573="", $F573="", $G573="", $H573=""), "",IF(AND($E573=$G573, $F573=$H573), 3, IF(SIGN($E573-$F573)=SIGN($G573-$H573), 1, 0))))</f>
        <v/>
      </c>
    </row>
    <row r="574">
      <c r="A574" s="5" t="inlineStr"/>
      <c r="B574" s="5" t="inlineStr"/>
      <c r="C574" s="5">
        <f>IF($B574="","",VLOOKUP($B574,Jogos!$A$2:$K$105,8,FALSE))</f>
        <v/>
      </c>
      <c r="D574" s="5">
        <f>IF($B574="","",VLOOKUP($B574,Jogos!$A$2:$K$105,10,FALSE))</f>
        <v/>
      </c>
      <c r="E574" s="5" t="inlineStr"/>
      <c r="F574" s="5" t="inlineStr"/>
      <c r="G574" s="8">
        <f>IF($B574="","",VLOOKUP($B574,Jogos!$A$2:$K$105,9,FALSE))</f>
        <v/>
      </c>
      <c r="H574" s="8">
        <f>IF($B574="","",VLOOKUP($B574,Jogos!$A$2:$K$105,11,FALSE))</f>
        <v/>
      </c>
      <c r="I574" s="5">
        <f>IF(OR($A574="", $B574="", $E574="", $F574="", $G574="", $H574=""), "",IF(AND($E574=$G574, $F574=$H574), 3, IF(SIGN($E574-$F574)=SIGN($G574-$H574), 1, 0))))</f>
        <v/>
      </c>
    </row>
    <row r="575">
      <c r="A575" s="5" t="inlineStr"/>
      <c r="B575" s="5" t="inlineStr"/>
      <c r="C575" s="5">
        <f>IF($B575="","",VLOOKUP($B575,Jogos!$A$2:$K$105,8,FALSE))</f>
        <v/>
      </c>
      <c r="D575" s="5">
        <f>IF($B575="","",VLOOKUP($B575,Jogos!$A$2:$K$105,10,FALSE))</f>
        <v/>
      </c>
      <c r="E575" s="5" t="inlineStr"/>
      <c r="F575" s="5" t="inlineStr"/>
      <c r="G575" s="8">
        <f>IF($B575="","",VLOOKUP($B575,Jogos!$A$2:$K$105,9,FALSE))</f>
        <v/>
      </c>
      <c r="H575" s="8">
        <f>IF($B575="","",VLOOKUP($B575,Jogos!$A$2:$K$105,11,FALSE))</f>
        <v/>
      </c>
      <c r="I575" s="5">
        <f>IF(OR($A575="", $B575="", $E575="", $F575="", $G575="", $H575=""), "",IF(AND($E575=$G575, $F575=$H575), 3, IF(SIGN($E575-$F575)=SIGN($G575-$H575), 1, 0))))</f>
        <v/>
      </c>
    </row>
    <row r="576">
      <c r="A576" s="5" t="inlineStr"/>
      <c r="B576" s="5" t="inlineStr"/>
      <c r="C576" s="5">
        <f>IF($B576="","",VLOOKUP($B576,Jogos!$A$2:$K$105,8,FALSE))</f>
        <v/>
      </c>
      <c r="D576" s="5">
        <f>IF($B576="","",VLOOKUP($B576,Jogos!$A$2:$K$105,10,FALSE))</f>
        <v/>
      </c>
      <c r="E576" s="5" t="inlineStr"/>
      <c r="F576" s="5" t="inlineStr"/>
      <c r="G576" s="8">
        <f>IF($B576="","",VLOOKUP($B576,Jogos!$A$2:$K$105,9,FALSE))</f>
        <v/>
      </c>
      <c r="H576" s="8">
        <f>IF($B576="","",VLOOKUP($B576,Jogos!$A$2:$K$105,11,FALSE))</f>
        <v/>
      </c>
      <c r="I576" s="5">
        <f>IF(OR($A576="", $B576="", $E576="", $F576="", $G576="", $H576=""), "",IF(AND($E576=$G576, $F576=$H576), 3, IF(SIGN($E576-$F576)=SIGN($G576-$H576), 1, 0))))</f>
        <v/>
      </c>
    </row>
    <row r="577">
      <c r="A577" s="5" t="inlineStr"/>
      <c r="B577" s="5" t="inlineStr"/>
      <c r="C577" s="5">
        <f>IF($B577="","",VLOOKUP($B577,Jogos!$A$2:$K$105,8,FALSE))</f>
        <v/>
      </c>
      <c r="D577" s="5">
        <f>IF($B577="","",VLOOKUP($B577,Jogos!$A$2:$K$105,10,FALSE))</f>
        <v/>
      </c>
      <c r="E577" s="5" t="inlineStr"/>
      <c r="F577" s="5" t="inlineStr"/>
      <c r="G577" s="8">
        <f>IF($B577="","",VLOOKUP($B577,Jogos!$A$2:$K$105,9,FALSE))</f>
        <v/>
      </c>
      <c r="H577" s="8">
        <f>IF($B577="","",VLOOKUP($B577,Jogos!$A$2:$K$105,11,FALSE))</f>
        <v/>
      </c>
      <c r="I577" s="5">
        <f>IF(OR($A577="", $B577="", $E577="", $F577="", $G577="", $H577=""), "",IF(AND($E577=$G577, $F577=$H577), 3, IF(SIGN($E577-$F577)=SIGN($G577-$H577), 1, 0))))</f>
        <v/>
      </c>
    </row>
    <row r="578">
      <c r="A578" s="5" t="inlineStr"/>
      <c r="B578" s="5" t="inlineStr"/>
      <c r="C578" s="5">
        <f>IF($B578="","",VLOOKUP($B578,Jogos!$A$2:$K$105,8,FALSE))</f>
        <v/>
      </c>
      <c r="D578" s="5">
        <f>IF($B578="","",VLOOKUP($B578,Jogos!$A$2:$K$105,10,FALSE))</f>
        <v/>
      </c>
      <c r="E578" s="5" t="inlineStr"/>
      <c r="F578" s="5" t="inlineStr"/>
      <c r="G578" s="8">
        <f>IF($B578="","",VLOOKUP($B578,Jogos!$A$2:$K$105,9,FALSE))</f>
        <v/>
      </c>
      <c r="H578" s="8">
        <f>IF($B578="","",VLOOKUP($B578,Jogos!$A$2:$K$105,11,FALSE))</f>
        <v/>
      </c>
      <c r="I578" s="5">
        <f>IF(OR($A578="", $B578="", $E578="", $F578="", $G578="", $H578=""), "",IF(AND($E578=$G578, $F578=$H578), 3, IF(SIGN($E578-$F578)=SIGN($G578-$H578), 1, 0))))</f>
        <v/>
      </c>
    </row>
    <row r="579">
      <c r="A579" s="5" t="inlineStr"/>
      <c r="B579" s="5" t="inlineStr"/>
      <c r="C579" s="5">
        <f>IF($B579="","",VLOOKUP($B579,Jogos!$A$2:$K$105,8,FALSE))</f>
        <v/>
      </c>
      <c r="D579" s="5">
        <f>IF($B579="","",VLOOKUP($B579,Jogos!$A$2:$K$105,10,FALSE))</f>
        <v/>
      </c>
      <c r="E579" s="5" t="inlineStr"/>
      <c r="F579" s="5" t="inlineStr"/>
      <c r="G579" s="8">
        <f>IF($B579="","",VLOOKUP($B579,Jogos!$A$2:$K$105,9,FALSE))</f>
        <v/>
      </c>
      <c r="H579" s="8">
        <f>IF($B579="","",VLOOKUP($B579,Jogos!$A$2:$K$105,11,FALSE))</f>
        <v/>
      </c>
      <c r="I579" s="5">
        <f>IF(OR($A579="", $B579="", $E579="", $F579="", $G579="", $H579=""), "",IF(AND($E579=$G579, $F579=$H579), 3, IF(SIGN($E579-$F579)=SIGN($G579-$H579), 1, 0))))</f>
        <v/>
      </c>
    </row>
    <row r="580">
      <c r="A580" s="5" t="inlineStr"/>
      <c r="B580" s="5" t="inlineStr"/>
      <c r="C580" s="5">
        <f>IF($B580="","",VLOOKUP($B580,Jogos!$A$2:$K$105,8,FALSE))</f>
        <v/>
      </c>
      <c r="D580" s="5">
        <f>IF($B580="","",VLOOKUP($B580,Jogos!$A$2:$K$105,10,FALSE))</f>
        <v/>
      </c>
      <c r="E580" s="5" t="inlineStr"/>
      <c r="F580" s="5" t="inlineStr"/>
      <c r="G580" s="8">
        <f>IF($B580="","",VLOOKUP($B580,Jogos!$A$2:$K$105,9,FALSE))</f>
        <v/>
      </c>
      <c r="H580" s="8">
        <f>IF($B580="","",VLOOKUP($B580,Jogos!$A$2:$K$105,11,FALSE))</f>
        <v/>
      </c>
      <c r="I580" s="5">
        <f>IF(OR($A580="", $B580="", $E580="", $F580="", $G580="", $H580=""), "",IF(AND($E580=$G580, $F580=$H580), 3, IF(SIGN($E580-$F580)=SIGN($G580-$H580), 1, 0))))</f>
        <v/>
      </c>
    </row>
    <row r="581">
      <c r="A581" s="5" t="inlineStr"/>
      <c r="B581" s="5" t="inlineStr"/>
      <c r="C581" s="5">
        <f>IF($B581="","",VLOOKUP($B581,Jogos!$A$2:$K$105,8,FALSE))</f>
        <v/>
      </c>
      <c r="D581" s="5">
        <f>IF($B581="","",VLOOKUP($B581,Jogos!$A$2:$K$105,10,FALSE))</f>
        <v/>
      </c>
      <c r="E581" s="5" t="inlineStr"/>
      <c r="F581" s="5" t="inlineStr"/>
      <c r="G581" s="8">
        <f>IF($B581="","",VLOOKUP($B581,Jogos!$A$2:$K$105,9,FALSE))</f>
        <v/>
      </c>
      <c r="H581" s="8">
        <f>IF($B581="","",VLOOKUP($B581,Jogos!$A$2:$K$105,11,FALSE))</f>
        <v/>
      </c>
      <c r="I581" s="5">
        <f>IF(OR($A581="", $B581="", $E581="", $F581="", $G581="", $H581=""), "",IF(AND($E581=$G581, $F581=$H581), 3, IF(SIGN($E581-$F581)=SIGN($G581-$H581), 1, 0))))</f>
        <v/>
      </c>
    </row>
    <row r="582">
      <c r="A582" s="5" t="inlineStr"/>
      <c r="B582" s="5" t="inlineStr"/>
      <c r="C582" s="5">
        <f>IF($B582="","",VLOOKUP($B582,Jogos!$A$2:$K$105,8,FALSE))</f>
        <v/>
      </c>
      <c r="D582" s="5">
        <f>IF($B582="","",VLOOKUP($B582,Jogos!$A$2:$K$105,10,FALSE))</f>
        <v/>
      </c>
      <c r="E582" s="5" t="inlineStr"/>
      <c r="F582" s="5" t="inlineStr"/>
      <c r="G582" s="8">
        <f>IF($B582="","",VLOOKUP($B582,Jogos!$A$2:$K$105,9,FALSE))</f>
        <v/>
      </c>
      <c r="H582" s="8">
        <f>IF($B582="","",VLOOKUP($B582,Jogos!$A$2:$K$105,11,FALSE))</f>
        <v/>
      </c>
      <c r="I582" s="5">
        <f>IF(OR($A582="", $B582="", $E582="", $F582="", $G582="", $H582=""), "",IF(AND($E582=$G582, $F582=$H582), 3, IF(SIGN($E582-$F582)=SIGN($G582-$H582), 1, 0))))</f>
        <v/>
      </c>
    </row>
    <row r="583">
      <c r="A583" s="5" t="inlineStr"/>
      <c r="B583" s="5" t="inlineStr"/>
      <c r="C583" s="5">
        <f>IF($B583="","",VLOOKUP($B583,Jogos!$A$2:$K$105,8,FALSE))</f>
        <v/>
      </c>
      <c r="D583" s="5">
        <f>IF($B583="","",VLOOKUP($B583,Jogos!$A$2:$K$105,10,FALSE))</f>
        <v/>
      </c>
      <c r="E583" s="5" t="inlineStr"/>
      <c r="F583" s="5" t="inlineStr"/>
      <c r="G583" s="8">
        <f>IF($B583="","",VLOOKUP($B583,Jogos!$A$2:$K$105,9,FALSE))</f>
        <v/>
      </c>
      <c r="H583" s="8">
        <f>IF($B583="","",VLOOKUP($B583,Jogos!$A$2:$K$105,11,FALSE))</f>
        <v/>
      </c>
      <c r="I583" s="5">
        <f>IF(OR($A583="", $B583="", $E583="", $F583="", $G583="", $H583=""), "",IF(AND($E583=$G583, $F583=$H583), 3, IF(SIGN($E583-$F583)=SIGN($G583-$H583), 1, 0))))</f>
        <v/>
      </c>
    </row>
    <row r="584">
      <c r="A584" s="5" t="inlineStr"/>
      <c r="B584" s="5" t="inlineStr"/>
      <c r="C584" s="5">
        <f>IF($B584="","",VLOOKUP($B584,Jogos!$A$2:$K$105,8,FALSE))</f>
        <v/>
      </c>
      <c r="D584" s="5">
        <f>IF($B584="","",VLOOKUP($B584,Jogos!$A$2:$K$105,10,FALSE))</f>
        <v/>
      </c>
      <c r="E584" s="5" t="inlineStr"/>
      <c r="F584" s="5" t="inlineStr"/>
      <c r="G584" s="8">
        <f>IF($B584="","",VLOOKUP($B584,Jogos!$A$2:$K$105,9,FALSE))</f>
        <v/>
      </c>
      <c r="H584" s="8">
        <f>IF($B584="","",VLOOKUP($B584,Jogos!$A$2:$K$105,11,FALSE))</f>
        <v/>
      </c>
      <c r="I584" s="5">
        <f>IF(OR($A584="", $B584="", $E584="", $F584="", $G584="", $H584=""), "",IF(AND($E584=$G584, $F584=$H584), 3, IF(SIGN($E584-$F584)=SIGN($G584-$H584), 1, 0))))</f>
        <v/>
      </c>
    </row>
    <row r="585">
      <c r="A585" s="5" t="inlineStr"/>
      <c r="B585" s="5" t="inlineStr"/>
      <c r="C585" s="5">
        <f>IF($B585="","",VLOOKUP($B585,Jogos!$A$2:$K$105,8,FALSE))</f>
        <v/>
      </c>
      <c r="D585" s="5">
        <f>IF($B585="","",VLOOKUP($B585,Jogos!$A$2:$K$105,10,FALSE))</f>
        <v/>
      </c>
      <c r="E585" s="5" t="inlineStr"/>
      <c r="F585" s="5" t="inlineStr"/>
      <c r="G585" s="8">
        <f>IF($B585="","",VLOOKUP($B585,Jogos!$A$2:$K$105,9,FALSE))</f>
        <v/>
      </c>
      <c r="H585" s="8">
        <f>IF($B585="","",VLOOKUP($B585,Jogos!$A$2:$K$105,11,FALSE))</f>
        <v/>
      </c>
      <c r="I585" s="5">
        <f>IF(OR($A585="", $B585="", $E585="", $F585="", $G585="", $H585=""), "",IF(AND($E585=$G585, $F585=$H585), 3, IF(SIGN($E585-$F585)=SIGN($G585-$H585), 1, 0))))</f>
        <v/>
      </c>
    </row>
    <row r="586">
      <c r="A586" s="5" t="inlineStr"/>
      <c r="B586" s="5" t="inlineStr"/>
      <c r="C586" s="5">
        <f>IF($B586="","",VLOOKUP($B586,Jogos!$A$2:$K$105,8,FALSE))</f>
        <v/>
      </c>
      <c r="D586" s="5">
        <f>IF($B586="","",VLOOKUP($B586,Jogos!$A$2:$K$105,10,FALSE))</f>
        <v/>
      </c>
      <c r="E586" s="5" t="inlineStr"/>
      <c r="F586" s="5" t="inlineStr"/>
      <c r="G586" s="8">
        <f>IF($B586="","",VLOOKUP($B586,Jogos!$A$2:$K$105,9,FALSE))</f>
        <v/>
      </c>
      <c r="H586" s="8">
        <f>IF($B586="","",VLOOKUP($B586,Jogos!$A$2:$K$105,11,FALSE))</f>
        <v/>
      </c>
      <c r="I586" s="5">
        <f>IF(OR($A586="", $B586="", $E586="", $F586="", $G586="", $H586=""), "",IF(AND($E586=$G586, $F586=$H586), 3, IF(SIGN($E586-$F586)=SIGN($G586-$H586), 1, 0))))</f>
        <v/>
      </c>
    </row>
    <row r="587">
      <c r="A587" s="5" t="inlineStr"/>
      <c r="B587" s="5" t="inlineStr"/>
      <c r="C587" s="5">
        <f>IF($B587="","",VLOOKUP($B587,Jogos!$A$2:$K$105,8,FALSE))</f>
        <v/>
      </c>
      <c r="D587" s="5">
        <f>IF($B587="","",VLOOKUP($B587,Jogos!$A$2:$K$105,10,FALSE))</f>
        <v/>
      </c>
      <c r="E587" s="5" t="inlineStr"/>
      <c r="F587" s="5" t="inlineStr"/>
      <c r="G587" s="8">
        <f>IF($B587="","",VLOOKUP($B587,Jogos!$A$2:$K$105,9,FALSE))</f>
        <v/>
      </c>
      <c r="H587" s="8">
        <f>IF($B587="","",VLOOKUP($B587,Jogos!$A$2:$K$105,11,FALSE))</f>
        <v/>
      </c>
      <c r="I587" s="5">
        <f>IF(OR($A587="", $B587="", $E587="", $F587="", $G587="", $H587=""), "",IF(AND($E587=$G587, $F587=$H587), 3, IF(SIGN($E587-$F587)=SIGN($G587-$H587), 1, 0))))</f>
        <v/>
      </c>
    </row>
    <row r="588">
      <c r="A588" s="5" t="inlineStr"/>
      <c r="B588" s="5" t="inlineStr"/>
      <c r="C588" s="5">
        <f>IF($B588="","",VLOOKUP($B588,Jogos!$A$2:$K$105,8,FALSE))</f>
        <v/>
      </c>
      <c r="D588" s="5">
        <f>IF($B588="","",VLOOKUP($B588,Jogos!$A$2:$K$105,10,FALSE))</f>
        <v/>
      </c>
      <c r="E588" s="5" t="inlineStr"/>
      <c r="F588" s="5" t="inlineStr"/>
      <c r="G588" s="8">
        <f>IF($B588="","",VLOOKUP($B588,Jogos!$A$2:$K$105,9,FALSE))</f>
        <v/>
      </c>
      <c r="H588" s="8">
        <f>IF($B588="","",VLOOKUP($B588,Jogos!$A$2:$K$105,11,FALSE))</f>
        <v/>
      </c>
      <c r="I588" s="5">
        <f>IF(OR($A588="", $B588="", $E588="", $F588="", $G588="", $H588=""), "",IF(AND($E588=$G588, $F588=$H588), 3, IF(SIGN($E588-$F588)=SIGN($G588-$H588), 1, 0))))</f>
        <v/>
      </c>
    </row>
    <row r="589">
      <c r="A589" s="5" t="inlineStr"/>
      <c r="B589" s="5" t="inlineStr"/>
      <c r="C589" s="5">
        <f>IF($B589="","",VLOOKUP($B589,Jogos!$A$2:$K$105,8,FALSE))</f>
        <v/>
      </c>
      <c r="D589" s="5">
        <f>IF($B589="","",VLOOKUP($B589,Jogos!$A$2:$K$105,10,FALSE))</f>
        <v/>
      </c>
      <c r="E589" s="5" t="inlineStr"/>
      <c r="F589" s="5" t="inlineStr"/>
      <c r="G589" s="8">
        <f>IF($B589="","",VLOOKUP($B589,Jogos!$A$2:$K$105,9,FALSE))</f>
        <v/>
      </c>
      <c r="H589" s="8">
        <f>IF($B589="","",VLOOKUP($B589,Jogos!$A$2:$K$105,11,FALSE))</f>
        <v/>
      </c>
      <c r="I589" s="5">
        <f>IF(OR($A589="", $B589="", $E589="", $F589="", $G589="", $H589=""), "",IF(AND($E589=$G589, $F589=$H589), 3, IF(SIGN($E589-$F589)=SIGN($G589-$H589), 1, 0))))</f>
        <v/>
      </c>
    </row>
    <row r="590">
      <c r="A590" s="5" t="inlineStr"/>
      <c r="B590" s="5" t="inlineStr"/>
      <c r="C590" s="5">
        <f>IF($B590="","",VLOOKUP($B590,Jogos!$A$2:$K$105,8,FALSE))</f>
        <v/>
      </c>
      <c r="D590" s="5">
        <f>IF($B590="","",VLOOKUP($B590,Jogos!$A$2:$K$105,10,FALSE))</f>
        <v/>
      </c>
      <c r="E590" s="5" t="inlineStr"/>
      <c r="F590" s="5" t="inlineStr"/>
      <c r="G590" s="8">
        <f>IF($B590="","",VLOOKUP($B590,Jogos!$A$2:$K$105,9,FALSE))</f>
        <v/>
      </c>
      <c r="H590" s="8">
        <f>IF($B590="","",VLOOKUP($B590,Jogos!$A$2:$K$105,11,FALSE))</f>
        <v/>
      </c>
      <c r="I590" s="5">
        <f>IF(OR($A590="", $B590="", $E590="", $F590="", $G590="", $H590=""), "",IF(AND($E590=$G590, $F590=$H590), 3, IF(SIGN($E590-$F590)=SIGN($G590-$H590), 1, 0))))</f>
        <v/>
      </c>
    </row>
    <row r="591">
      <c r="A591" s="5" t="inlineStr"/>
      <c r="B591" s="5" t="inlineStr"/>
      <c r="C591" s="5">
        <f>IF($B591="","",VLOOKUP($B591,Jogos!$A$2:$K$105,8,FALSE))</f>
        <v/>
      </c>
      <c r="D591" s="5">
        <f>IF($B591="","",VLOOKUP($B591,Jogos!$A$2:$K$105,10,FALSE))</f>
        <v/>
      </c>
      <c r="E591" s="5" t="inlineStr"/>
      <c r="F591" s="5" t="inlineStr"/>
      <c r="G591" s="8">
        <f>IF($B591="","",VLOOKUP($B591,Jogos!$A$2:$K$105,9,FALSE))</f>
        <v/>
      </c>
      <c r="H591" s="8">
        <f>IF($B591="","",VLOOKUP($B591,Jogos!$A$2:$K$105,11,FALSE))</f>
        <v/>
      </c>
      <c r="I591" s="5">
        <f>IF(OR($A591="", $B591="", $E591="", $F591="", $G591="", $H591=""), "",IF(AND($E591=$G591, $F591=$H591), 3, IF(SIGN($E591-$F591)=SIGN($G591-$H591), 1, 0))))</f>
        <v/>
      </c>
    </row>
    <row r="592">
      <c r="A592" s="5" t="inlineStr"/>
      <c r="B592" s="5" t="inlineStr"/>
      <c r="C592" s="5">
        <f>IF($B592="","",VLOOKUP($B592,Jogos!$A$2:$K$105,8,FALSE))</f>
        <v/>
      </c>
      <c r="D592" s="5">
        <f>IF($B592="","",VLOOKUP($B592,Jogos!$A$2:$K$105,10,FALSE))</f>
        <v/>
      </c>
      <c r="E592" s="5" t="inlineStr"/>
      <c r="F592" s="5" t="inlineStr"/>
      <c r="G592" s="8">
        <f>IF($B592="","",VLOOKUP($B592,Jogos!$A$2:$K$105,9,FALSE))</f>
        <v/>
      </c>
      <c r="H592" s="8">
        <f>IF($B592="","",VLOOKUP($B592,Jogos!$A$2:$K$105,11,FALSE))</f>
        <v/>
      </c>
      <c r="I592" s="5">
        <f>IF(OR($A592="", $B592="", $E592="", $F592="", $G592="", $H592=""), "",IF(AND($E592=$G592, $F592=$H592), 3, IF(SIGN($E592-$F592)=SIGN($G592-$H592), 1, 0))))</f>
        <v/>
      </c>
    </row>
    <row r="593">
      <c r="A593" s="5" t="inlineStr"/>
      <c r="B593" s="5" t="inlineStr"/>
      <c r="C593" s="5">
        <f>IF($B593="","",VLOOKUP($B593,Jogos!$A$2:$K$105,8,FALSE))</f>
        <v/>
      </c>
      <c r="D593" s="5">
        <f>IF($B593="","",VLOOKUP($B593,Jogos!$A$2:$K$105,10,FALSE))</f>
        <v/>
      </c>
      <c r="E593" s="5" t="inlineStr"/>
      <c r="F593" s="5" t="inlineStr"/>
      <c r="G593" s="8">
        <f>IF($B593="","",VLOOKUP($B593,Jogos!$A$2:$K$105,9,FALSE))</f>
        <v/>
      </c>
      <c r="H593" s="8">
        <f>IF($B593="","",VLOOKUP($B593,Jogos!$A$2:$K$105,11,FALSE))</f>
        <v/>
      </c>
      <c r="I593" s="5">
        <f>IF(OR($A593="", $B593="", $E593="", $F593="", $G593="", $H593=""), "",IF(AND($E593=$G593, $F593=$H593), 3, IF(SIGN($E593-$F593)=SIGN($G593-$H593), 1, 0))))</f>
        <v/>
      </c>
    </row>
    <row r="594">
      <c r="A594" s="5" t="inlineStr"/>
      <c r="B594" s="5" t="inlineStr"/>
      <c r="C594" s="5">
        <f>IF($B594="","",VLOOKUP($B594,Jogos!$A$2:$K$105,8,FALSE))</f>
        <v/>
      </c>
      <c r="D594" s="5">
        <f>IF($B594="","",VLOOKUP($B594,Jogos!$A$2:$K$105,10,FALSE))</f>
        <v/>
      </c>
      <c r="E594" s="5" t="inlineStr"/>
      <c r="F594" s="5" t="inlineStr"/>
      <c r="G594" s="8">
        <f>IF($B594="","",VLOOKUP($B594,Jogos!$A$2:$K$105,9,FALSE))</f>
        <v/>
      </c>
      <c r="H594" s="8">
        <f>IF($B594="","",VLOOKUP($B594,Jogos!$A$2:$K$105,11,FALSE))</f>
        <v/>
      </c>
      <c r="I594" s="5">
        <f>IF(OR($A594="", $B594="", $E594="", $F594="", $G594="", $H594=""), "",IF(AND($E594=$G594, $F594=$H594), 3, IF(SIGN($E594-$F594)=SIGN($G594-$H594), 1, 0))))</f>
        <v/>
      </c>
    </row>
    <row r="595">
      <c r="A595" s="5" t="inlineStr"/>
      <c r="B595" s="5" t="inlineStr"/>
      <c r="C595" s="5">
        <f>IF($B595="","",VLOOKUP($B595,Jogos!$A$2:$K$105,8,FALSE))</f>
        <v/>
      </c>
      <c r="D595" s="5">
        <f>IF($B595="","",VLOOKUP($B595,Jogos!$A$2:$K$105,10,FALSE))</f>
        <v/>
      </c>
      <c r="E595" s="5" t="inlineStr"/>
      <c r="F595" s="5" t="inlineStr"/>
      <c r="G595" s="8">
        <f>IF($B595="","",VLOOKUP($B595,Jogos!$A$2:$K$105,9,FALSE))</f>
        <v/>
      </c>
      <c r="H595" s="8">
        <f>IF($B595="","",VLOOKUP($B595,Jogos!$A$2:$K$105,11,FALSE))</f>
        <v/>
      </c>
      <c r="I595" s="5">
        <f>IF(OR($A595="", $B595="", $E595="", $F595="", $G595="", $H595=""), "",IF(AND($E595=$G595, $F595=$H595), 3, IF(SIGN($E595-$F595)=SIGN($G595-$H595), 1, 0))))</f>
        <v/>
      </c>
    </row>
    <row r="596">
      <c r="A596" s="5" t="inlineStr"/>
      <c r="B596" s="5" t="inlineStr"/>
      <c r="C596" s="5">
        <f>IF($B596="","",VLOOKUP($B596,Jogos!$A$2:$K$105,8,FALSE))</f>
        <v/>
      </c>
      <c r="D596" s="5">
        <f>IF($B596="","",VLOOKUP($B596,Jogos!$A$2:$K$105,10,FALSE))</f>
        <v/>
      </c>
      <c r="E596" s="5" t="inlineStr"/>
      <c r="F596" s="5" t="inlineStr"/>
      <c r="G596" s="8">
        <f>IF($B596="","",VLOOKUP($B596,Jogos!$A$2:$K$105,9,FALSE))</f>
        <v/>
      </c>
      <c r="H596" s="8">
        <f>IF($B596="","",VLOOKUP($B596,Jogos!$A$2:$K$105,11,FALSE))</f>
        <v/>
      </c>
      <c r="I596" s="5">
        <f>IF(OR($A596="", $B596="", $E596="", $F596="", $G596="", $H596=""), "",IF(AND($E596=$G596, $F596=$H596), 3, IF(SIGN($E596-$F596)=SIGN($G596-$H596), 1, 0))))</f>
        <v/>
      </c>
    </row>
    <row r="597">
      <c r="A597" s="5" t="inlineStr"/>
      <c r="B597" s="5" t="inlineStr"/>
      <c r="C597" s="5">
        <f>IF($B597="","",VLOOKUP($B597,Jogos!$A$2:$K$105,8,FALSE))</f>
        <v/>
      </c>
      <c r="D597" s="5">
        <f>IF($B597="","",VLOOKUP($B597,Jogos!$A$2:$K$105,10,FALSE))</f>
        <v/>
      </c>
      <c r="E597" s="5" t="inlineStr"/>
      <c r="F597" s="5" t="inlineStr"/>
      <c r="G597" s="8">
        <f>IF($B597="","",VLOOKUP($B597,Jogos!$A$2:$K$105,9,FALSE))</f>
        <v/>
      </c>
      <c r="H597" s="8">
        <f>IF($B597="","",VLOOKUP($B597,Jogos!$A$2:$K$105,11,FALSE))</f>
        <v/>
      </c>
      <c r="I597" s="5">
        <f>IF(OR($A597="", $B597="", $E597="", $F597="", $G597="", $H597=""), "",IF(AND($E597=$G597, $F597=$H597), 3, IF(SIGN($E597-$F597)=SIGN($G597-$H597), 1, 0))))</f>
        <v/>
      </c>
    </row>
    <row r="598">
      <c r="A598" s="5" t="inlineStr"/>
      <c r="B598" s="5" t="inlineStr"/>
      <c r="C598" s="5">
        <f>IF($B598="","",VLOOKUP($B598,Jogos!$A$2:$K$105,8,FALSE))</f>
        <v/>
      </c>
      <c r="D598" s="5">
        <f>IF($B598="","",VLOOKUP($B598,Jogos!$A$2:$K$105,10,FALSE))</f>
        <v/>
      </c>
      <c r="E598" s="5" t="inlineStr"/>
      <c r="F598" s="5" t="inlineStr"/>
      <c r="G598" s="8">
        <f>IF($B598="","",VLOOKUP($B598,Jogos!$A$2:$K$105,9,FALSE))</f>
        <v/>
      </c>
      <c r="H598" s="8">
        <f>IF($B598="","",VLOOKUP($B598,Jogos!$A$2:$K$105,11,FALSE))</f>
        <v/>
      </c>
      <c r="I598" s="5">
        <f>IF(OR($A598="", $B598="", $E598="", $F598="", $G598="", $H598=""), "",IF(AND($E598=$G598, $F598=$H598), 3, IF(SIGN($E598-$F598)=SIGN($G598-$H598), 1, 0))))</f>
        <v/>
      </c>
    </row>
    <row r="599">
      <c r="A599" s="5" t="inlineStr"/>
      <c r="B599" s="5" t="inlineStr"/>
      <c r="C599" s="5">
        <f>IF($B599="","",VLOOKUP($B599,Jogos!$A$2:$K$105,8,FALSE))</f>
        <v/>
      </c>
      <c r="D599" s="5">
        <f>IF($B599="","",VLOOKUP($B599,Jogos!$A$2:$K$105,10,FALSE))</f>
        <v/>
      </c>
      <c r="E599" s="5" t="inlineStr"/>
      <c r="F599" s="5" t="inlineStr"/>
      <c r="G599" s="8">
        <f>IF($B599="","",VLOOKUP($B599,Jogos!$A$2:$K$105,9,FALSE))</f>
        <v/>
      </c>
      <c r="H599" s="8">
        <f>IF($B599="","",VLOOKUP($B599,Jogos!$A$2:$K$105,11,FALSE))</f>
        <v/>
      </c>
      <c r="I599" s="5">
        <f>IF(OR($A599="", $B599="", $E599="", $F599="", $G599="", $H599=""), "",IF(AND($E599=$G599, $F599=$H599), 3, IF(SIGN($E599-$F599)=SIGN($G599-$H599), 1, 0))))</f>
        <v/>
      </c>
    </row>
    <row r="600">
      <c r="A600" s="5" t="inlineStr"/>
      <c r="B600" s="5" t="inlineStr"/>
      <c r="C600" s="5">
        <f>IF($B600="","",VLOOKUP($B600,Jogos!$A$2:$K$105,8,FALSE))</f>
        <v/>
      </c>
      <c r="D600" s="5">
        <f>IF($B600="","",VLOOKUP($B600,Jogos!$A$2:$K$105,10,FALSE))</f>
        <v/>
      </c>
      <c r="E600" s="5" t="inlineStr"/>
      <c r="F600" s="5" t="inlineStr"/>
      <c r="G600" s="8">
        <f>IF($B600="","",VLOOKUP($B600,Jogos!$A$2:$K$105,9,FALSE))</f>
        <v/>
      </c>
      <c r="H600" s="8">
        <f>IF($B600="","",VLOOKUP($B600,Jogos!$A$2:$K$105,11,FALSE))</f>
        <v/>
      </c>
      <c r="I600" s="5">
        <f>IF(OR($A600="", $B600="", $E600="", $F600="", $G600="", $H600=""), "",IF(AND($E600=$G600, $F600=$H600), 3, IF(SIGN($E600-$F600)=SIGN($G600-$H600), 1, 0))))</f>
        <v/>
      </c>
    </row>
    <row r="601">
      <c r="A601" s="5" t="inlineStr"/>
      <c r="B601" s="5" t="inlineStr"/>
      <c r="C601" s="5">
        <f>IF($B601="","",VLOOKUP($B601,Jogos!$A$2:$K$105,8,FALSE))</f>
        <v/>
      </c>
      <c r="D601" s="5">
        <f>IF($B601="","",VLOOKUP($B601,Jogos!$A$2:$K$105,10,FALSE))</f>
        <v/>
      </c>
      <c r="E601" s="5" t="inlineStr"/>
      <c r="F601" s="5" t="inlineStr"/>
      <c r="G601" s="8">
        <f>IF($B601="","",VLOOKUP($B601,Jogos!$A$2:$K$105,9,FALSE))</f>
        <v/>
      </c>
      <c r="H601" s="8">
        <f>IF($B601="","",VLOOKUP($B601,Jogos!$A$2:$K$105,11,FALSE))</f>
        <v/>
      </c>
      <c r="I601" s="5">
        <f>IF(OR($A601="", $B601="", $E601="", $F601="", $G601="", $H601=""), "",IF(AND($E601=$G601, $F601=$H601), 3, IF(SIGN($E601-$F601)=SIGN($G601-$H601), 1, 0))))</f>
        <v/>
      </c>
    </row>
    <row r="602">
      <c r="A602" s="5" t="inlineStr"/>
      <c r="B602" s="5" t="inlineStr"/>
      <c r="C602" s="5">
        <f>IF($B602="","",VLOOKUP($B602,Jogos!$A$2:$K$105,8,FALSE))</f>
        <v/>
      </c>
      <c r="D602" s="5">
        <f>IF($B602="","",VLOOKUP($B602,Jogos!$A$2:$K$105,10,FALSE))</f>
        <v/>
      </c>
      <c r="E602" s="5" t="inlineStr"/>
      <c r="F602" s="5" t="inlineStr"/>
      <c r="G602" s="8">
        <f>IF($B602="","",VLOOKUP($B602,Jogos!$A$2:$K$105,9,FALSE))</f>
        <v/>
      </c>
      <c r="H602" s="8">
        <f>IF($B602="","",VLOOKUP($B602,Jogos!$A$2:$K$105,11,FALSE))</f>
        <v/>
      </c>
      <c r="I602" s="5">
        <f>IF(OR($A602="", $B602="", $E602="", $F602="", $G602="", $H602=""), "",IF(AND($E602=$G602, $F602=$H602), 3, IF(SIGN($E602-$F602)=SIGN($G602-$H602), 1, 0))))</f>
        <v/>
      </c>
    </row>
    <row r="603">
      <c r="A603" s="5" t="inlineStr"/>
      <c r="B603" s="5" t="inlineStr"/>
      <c r="C603" s="5">
        <f>IF($B603="","",VLOOKUP($B603,Jogos!$A$2:$K$105,8,FALSE))</f>
        <v/>
      </c>
      <c r="D603" s="5">
        <f>IF($B603="","",VLOOKUP($B603,Jogos!$A$2:$K$105,10,FALSE))</f>
        <v/>
      </c>
      <c r="E603" s="5" t="inlineStr"/>
      <c r="F603" s="5" t="inlineStr"/>
      <c r="G603" s="8">
        <f>IF($B603="","",VLOOKUP($B603,Jogos!$A$2:$K$105,9,FALSE))</f>
        <v/>
      </c>
      <c r="H603" s="8">
        <f>IF($B603="","",VLOOKUP($B603,Jogos!$A$2:$K$105,11,FALSE))</f>
        <v/>
      </c>
      <c r="I603" s="5">
        <f>IF(OR($A603="", $B603="", $E603="", $F603="", $G603="", $H603=""), "",IF(AND($E603=$G603, $F603=$H603), 3, IF(SIGN($E603-$F603)=SIGN($G603-$H603), 1, 0))))</f>
        <v/>
      </c>
    </row>
    <row r="604">
      <c r="A604" s="5" t="inlineStr"/>
      <c r="B604" s="5" t="inlineStr"/>
      <c r="C604" s="5">
        <f>IF($B604="","",VLOOKUP($B604,Jogos!$A$2:$K$105,8,FALSE))</f>
        <v/>
      </c>
      <c r="D604" s="5">
        <f>IF($B604="","",VLOOKUP($B604,Jogos!$A$2:$K$105,10,FALSE))</f>
        <v/>
      </c>
      <c r="E604" s="5" t="inlineStr"/>
      <c r="F604" s="5" t="inlineStr"/>
      <c r="G604" s="8">
        <f>IF($B604="","",VLOOKUP($B604,Jogos!$A$2:$K$105,9,FALSE))</f>
        <v/>
      </c>
      <c r="H604" s="8">
        <f>IF($B604="","",VLOOKUP($B604,Jogos!$A$2:$K$105,11,FALSE))</f>
        <v/>
      </c>
      <c r="I604" s="5">
        <f>IF(OR($A604="", $B604="", $E604="", $F604="", $G604="", $H604=""), "",IF(AND($E604=$G604, $F604=$H604), 3, IF(SIGN($E604-$F604)=SIGN($G604-$H604), 1, 0))))</f>
        <v/>
      </c>
    </row>
    <row r="605">
      <c r="A605" s="5" t="inlineStr"/>
      <c r="B605" s="5" t="inlineStr"/>
      <c r="C605" s="5">
        <f>IF($B605="","",VLOOKUP($B605,Jogos!$A$2:$K$105,8,FALSE))</f>
        <v/>
      </c>
      <c r="D605" s="5">
        <f>IF($B605="","",VLOOKUP($B605,Jogos!$A$2:$K$105,10,FALSE))</f>
        <v/>
      </c>
      <c r="E605" s="5" t="inlineStr"/>
      <c r="F605" s="5" t="inlineStr"/>
      <c r="G605" s="8">
        <f>IF($B605="","",VLOOKUP($B605,Jogos!$A$2:$K$105,9,FALSE))</f>
        <v/>
      </c>
      <c r="H605" s="8">
        <f>IF($B605="","",VLOOKUP($B605,Jogos!$A$2:$K$105,11,FALSE))</f>
        <v/>
      </c>
      <c r="I605" s="5">
        <f>IF(OR($A605="", $B605="", $E605="", $F605="", $G605="", $H605=""), "",IF(AND($E605=$G605, $F605=$H605), 3, IF(SIGN($E605-$F605)=SIGN($G605-$H605), 1, 0))))</f>
        <v/>
      </c>
    </row>
    <row r="606">
      <c r="A606" s="5" t="inlineStr"/>
      <c r="B606" s="5" t="inlineStr"/>
      <c r="C606" s="5">
        <f>IF($B606="","",VLOOKUP($B606,Jogos!$A$2:$K$105,8,FALSE))</f>
        <v/>
      </c>
      <c r="D606" s="5">
        <f>IF($B606="","",VLOOKUP($B606,Jogos!$A$2:$K$105,10,FALSE))</f>
        <v/>
      </c>
      <c r="E606" s="5" t="inlineStr"/>
      <c r="F606" s="5" t="inlineStr"/>
      <c r="G606" s="8">
        <f>IF($B606="","",VLOOKUP($B606,Jogos!$A$2:$K$105,9,FALSE))</f>
        <v/>
      </c>
      <c r="H606" s="8">
        <f>IF($B606="","",VLOOKUP($B606,Jogos!$A$2:$K$105,11,FALSE))</f>
        <v/>
      </c>
      <c r="I606" s="5">
        <f>IF(OR($A606="", $B606="", $E606="", $F606="", $G606="", $H606=""), "",IF(AND($E606=$G606, $F606=$H606), 3, IF(SIGN($E606-$F606)=SIGN($G606-$H606), 1, 0))))</f>
        <v/>
      </c>
    </row>
    <row r="607">
      <c r="A607" s="5" t="inlineStr"/>
      <c r="B607" s="5" t="inlineStr"/>
      <c r="C607" s="5">
        <f>IF($B607="","",VLOOKUP($B607,Jogos!$A$2:$K$105,8,FALSE))</f>
        <v/>
      </c>
      <c r="D607" s="5">
        <f>IF($B607="","",VLOOKUP($B607,Jogos!$A$2:$K$105,10,FALSE))</f>
        <v/>
      </c>
      <c r="E607" s="5" t="inlineStr"/>
      <c r="F607" s="5" t="inlineStr"/>
      <c r="G607" s="8">
        <f>IF($B607="","",VLOOKUP($B607,Jogos!$A$2:$K$105,9,FALSE))</f>
        <v/>
      </c>
      <c r="H607" s="8">
        <f>IF($B607="","",VLOOKUP($B607,Jogos!$A$2:$K$105,11,FALSE))</f>
        <v/>
      </c>
      <c r="I607" s="5">
        <f>IF(OR($A607="", $B607="", $E607="", $F607="", $G607="", $H607=""), "",IF(AND($E607=$G607, $F607=$H607), 3, IF(SIGN($E607-$F607)=SIGN($G607-$H607), 1, 0))))</f>
        <v/>
      </c>
    </row>
    <row r="608">
      <c r="A608" s="5" t="inlineStr"/>
      <c r="B608" s="5" t="inlineStr"/>
      <c r="C608" s="5">
        <f>IF($B608="","",VLOOKUP($B608,Jogos!$A$2:$K$105,8,FALSE))</f>
        <v/>
      </c>
      <c r="D608" s="5">
        <f>IF($B608="","",VLOOKUP($B608,Jogos!$A$2:$K$105,10,FALSE))</f>
        <v/>
      </c>
      <c r="E608" s="5" t="inlineStr"/>
      <c r="F608" s="5" t="inlineStr"/>
      <c r="G608" s="8">
        <f>IF($B608="","",VLOOKUP($B608,Jogos!$A$2:$K$105,9,FALSE))</f>
        <v/>
      </c>
      <c r="H608" s="8">
        <f>IF($B608="","",VLOOKUP($B608,Jogos!$A$2:$K$105,11,FALSE))</f>
        <v/>
      </c>
      <c r="I608" s="5">
        <f>IF(OR($A608="", $B608="", $E608="", $F608="", $G608="", $H608=""), "",IF(AND($E608=$G608, $F608=$H608), 3, IF(SIGN($E608-$F608)=SIGN($G608-$H608), 1, 0))))</f>
        <v/>
      </c>
    </row>
    <row r="609">
      <c r="A609" s="5" t="inlineStr"/>
      <c r="B609" s="5" t="inlineStr"/>
      <c r="C609" s="5">
        <f>IF($B609="","",VLOOKUP($B609,Jogos!$A$2:$K$105,8,FALSE))</f>
        <v/>
      </c>
      <c r="D609" s="5">
        <f>IF($B609="","",VLOOKUP($B609,Jogos!$A$2:$K$105,10,FALSE))</f>
        <v/>
      </c>
      <c r="E609" s="5" t="inlineStr"/>
      <c r="F609" s="5" t="inlineStr"/>
      <c r="G609" s="8">
        <f>IF($B609="","",VLOOKUP($B609,Jogos!$A$2:$K$105,9,FALSE))</f>
        <v/>
      </c>
      <c r="H609" s="8">
        <f>IF($B609="","",VLOOKUP($B609,Jogos!$A$2:$K$105,11,FALSE))</f>
        <v/>
      </c>
      <c r="I609" s="5">
        <f>IF(OR($A609="", $B609="", $E609="", $F609="", $G609="", $H609=""), "",IF(AND($E609=$G609, $F609=$H609), 3, IF(SIGN($E609-$F609)=SIGN($G609-$H609), 1, 0))))</f>
        <v/>
      </c>
    </row>
    <row r="610">
      <c r="A610" s="5" t="inlineStr"/>
      <c r="B610" s="5" t="inlineStr"/>
      <c r="C610" s="5">
        <f>IF($B610="","",VLOOKUP($B610,Jogos!$A$2:$K$105,8,FALSE))</f>
        <v/>
      </c>
      <c r="D610" s="5">
        <f>IF($B610="","",VLOOKUP($B610,Jogos!$A$2:$K$105,10,FALSE))</f>
        <v/>
      </c>
      <c r="E610" s="5" t="inlineStr"/>
      <c r="F610" s="5" t="inlineStr"/>
      <c r="G610" s="8">
        <f>IF($B610="","",VLOOKUP($B610,Jogos!$A$2:$K$105,9,FALSE))</f>
        <v/>
      </c>
      <c r="H610" s="8">
        <f>IF($B610="","",VLOOKUP($B610,Jogos!$A$2:$K$105,11,FALSE))</f>
        <v/>
      </c>
      <c r="I610" s="5">
        <f>IF(OR($A610="", $B610="", $E610="", $F610="", $G610="", $H610=""), "",IF(AND($E610=$G610, $F610=$H610), 3, IF(SIGN($E610-$F610)=SIGN($G610-$H610), 1, 0))))</f>
        <v/>
      </c>
    </row>
    <row r="611">
      <c r="A611" s="5" t="inlineStr"/>
      <c r="B611" s="5" t="inlineStr"/>
      <c r="C611" s="5">
        <f>IF($B611="","",VLOOKUP($B611,Jogos!$A$2:$K$105,8,FALSE))</f>
        <v/>
      </c>
      <c r="D611" s="5">
        <f>IF($B611="","",VLOOKUP($B611,Jogos!$A$2:$K$105,10,FALSE))</f>
        <v/>
      </c>
      <c r="E611" s="5" t="inlineStr"/>
      <c r="F611" s="5" t="inlineStr"/>
      <c r="G611" s="8">
        <f>IF($B611="","",VLOOKUP($B611,Jogos!$A$2:$K$105,9,FALSE))</f>
        <v/>
      </c>
      <c r="H611" s="8">
        <f>IF($B611="","",VLOOKUP($B611,Jogos!$A$2:$K$105,11,FALSE))</f>
        <v/>
      </c>
      <c r="I611" s="5">
        <f>IF(OR($A611="", $B611="", $E611="", $F611="", $G611="", $H611=""), "",IF(AND($E611=$G611, $F611=$H611), 3, IF(SIGN($E611-$F611)=SIGN($G611-$H611), 1, 0))))</f>
        <v/>
      </c>
    </row>
    <row r="612">
      <c r="A612" s="5" t="inlineStr"/>
      <c r="B612" s="5" t="inlineStr"/>
      <c r="C612" s="5">
        <f>IF($B612="","",VLOOKUP($B612,Jogos!$A$2:$K$105,8,FALSE))</f>
        <v/>
      </c>
      <c r="D612" s="5">
        <f>IF($B612="","",VLOOKUP($B612,Jogos!$A$2:$K$105,10,FALSE))</f>
        <v/>
      </c>
      <c r="E612" s="5" t="inlineStr"/>
      <c r="F612" s="5" t="inlineStr"/>
      <c r="G612" s="8">
        <f>IF($B612="","",VLOOKUP($B612,Jogos!$A$2:$K$105,9,FALSE))</f>
        <v/>
      </c>
      <c r="H612" s="8">
        <f>IF($B612="","",VLOOKUP($B612,Jogos!$A$2:$K$105,11,FALSE))</f>
        <v/>
      </c>
      <c r="I612" s="5">
        <f>IF(OR($A612="", $B612="", $E612="", $F612="", $G612="", $H612=""), "",IF(AND($E612=$G612, $F612=$H612), 3, IF(SIGN($E612-$F612)=SIGN($G612-$H612), 1, 0))))</f>
        <v/>
      </c>
    </row>
    <row r="613">
      <c r="A613" s="5" t="inlineStr"/>
      <c r="B613" s="5" t="inlineStr"/>
      <c r="C613" s="5">
        <f>IF($B613="","",VLOOKUP($B613,Jogos!$A$2:$K$105,8,FALSE))</f>
        <v/>
      </c>
      <c r="D613" s="5">
        <f>IF($B613="","",VLOOKUP($B613,Jogos!$A$2:$K$105,10,FALSE))</f>
        <v/>
      </c>
      <c r="E613" s="5" t="inlineStr"/>
      <c r="F613" s="5" t="inlineStr"/>
      <c r="G613" s="8">
        <f>IF($B613="","",VLOOKUP($B613,Jogos!$A$2:$K$105,9,FALSE))</f>
        <v/>
      </c>
      <c r="H613" s="8">
        <f>IF($B613="","",VLOOKUP($B613,Jogos!$A$2:$K$105,11,FALSE))</f>
        <v/>
      </c>
      <c r="I613" s="5">
        <f>IF(OR($A613="", $B613="", $E613="", $F613="", $G613="", $H613=""), "",IF(AND($E613=$G613, $F613=$H613), 3, IF(SIGN($E613-$F613)=SIGN($G613-$H613), 1, 0))))</f>
        <v/>
      </c>
    </row>
    <row r="614">
      <c r="A614" s="5" t="inlineStr"/>
      <c r="B614" s="5" t="inlineStr"/>
      <c r="C614" s="5">
        <f>IF($B614="","",VLOOKUP($B614,Jogos!$A$2:$K$105,8,FALSE))</f>
        <v/>
      </c>
      <c r="D614" s="5">
        <f>IF($B614="","",VLOOKUP($B614,Jogos!$A$2:$K$105,10,FALSE))</f>
        <v/>
      </c>
      <c r="E614" s="5" t="inlineStr"/>
      <c r="F614" s="5" t="inlineStr"/>
      <c r="G614" s="8">
        <f>IF($B614="","",VLOOKUP($B614,Jogos!$A$2:$K$105,9,FALSE))</f>
        <v/>
      </c>
      <c r="H614" s="8">
        <f>IF($B614="","",VLOOKUP($B614,Jogos!$A$2:$K$105,11,FALSE))</f>
        <v/>
      </c>
      <c r="I614" s="5">
        <f>IF(OR($A614="", $B614="", $E614="", $F614="", $G614="", $H614=""), "",IF(AND($E614=$G614, $F614=$H614), 3, IF(SIGN($E614-$F614)=SIGN($G614-$H614), 1, 0))))</f>
        <v/>
      </c>
    </row>
    <row r="615">
      <c r="A615" s="5" t="inlineStr"/>
      <c r="B615" s="5" t="inlineStr"/>
      <c r="C615" s="5">
        <f>IF($B615="","",VLOOKUP($B615,Jogos!$A$2:$K$105,8,FALSE))</f>
        <v/>
      </c>
      <c r="D615" s="5">
        <f>IF($B615="","",VLOOKUP($B615,Jogos!$A$2:$K$105,10,FALSE))</f>
        <v/>
      </c>
      <c r="E615" s="5" t="inlineStr"/>
      <c r="F615" s="5" t="inlineStr"/>
      <c r="G615" s="8">
        <f>IF($B615="","",VLOOKUP($B615,Jogos!$A$2:$K$105,9,FALSE))</f>
        <v/>
      </c>
      <c r="H615" s="8">
        <f>IF($B615="","",VLOOKUP($B615,Jogos!$A$2:$K$105,11,FALSE))</f>
        <v/>
      </c>
      <c r="I615" s="5">
        <f>IF(OR($A615="", $B615="", $E615="", $F615="", $G615="", $H615=""), "",IF(AND($E615=$G615, $F615=$H615), 3, IF(SIGN($E615-$F615)=SIGN($G615-$H615), 1, 0))))</f>
        <v/>
      </c>
    </row>
    <row r="616">
      <c r="A616" s="5" t="inlineStr"/>
      <c r="B616" s="5" t="inlineStr"/>
      <c r="C616" s="5">
        <f>IF($B616="","",VLOOKUP($B616,Jogos!$A$2:$K$105,8,FALSE))</f>
        <v/>
      </c>
      <c r="D616" s="5">
        <f>IF($B616="","",VLOOKUP($B616,Jogos!$A$2:$K$105,10,FALSE))</f>
        <v/>
      </c>
      <c r="E616" s="5" t="inlineStr"/>
      <c r="F616" s="5" t="inlineStr"/>
      <c r="G616" s="8">
        <f>IF($B616="","",VLOOKUP($B616,Jogos!$A$2:$K$105,9,FALSE))</f>
        <v/>
      </c>
      <c r="H616" s="8">
        <f>IF($B616="","",VLOOKUP($B616,Jogos!$A$2:$K$105,11,FALSE))</f>
        <v/>
      </c>
      <c r="I616" s="5">
        <f>IF(OR($A616="", $B616="", $E616="", $F616="", $G616="", $H616=""), "",IF(AND($E616=$G616, $F616=$H616), 3, IF(SIGN($E616-$F616)=SIGN($G616-$H616), 1, 0))))</f>
        <v/>
      </c>
    </row>
    <row r="617">
      <c r="A617" s="5" t="inlineStr"/>
      <c r="B617" s="5" t="inlineStr"/>
      <c r="C617" s="5">
        <f>IF($B617="","",VLOOKUP($B617,Jogos!$A$2:$K$105,8,FALSE))</f>
        <v/>
      </c>
      <c r="D617" s="5">
        <f>IF($B617="","",VLOOKUP($B617,Jogos!$A$2:$K$105,10,FALSE))</f>
        <v/>
      </c>
      <c r="E617" s="5" t="inlineStr"/>
      <c r="F617" s="5" t="inlineStr"/>
      <c r="G617" s="8">
        <f>IF($B617="","",VLOOKUP($B617,Jogos!$A$2:$K$105,9,FALSE))</f>
        <v/>
      </c>
      <c r="H617" s="8">
        <f>IF($B617="","",VLOOKUP($B617,Jogos!$A$2:$K$105,11,FALSE))</f>
        <v/>
      </c>
      <c r="I617" s="5">
        <f>IF(OR($A617="", $B617="", $E617="", $F617="", $G617="", $H617=""), "",IF(AND($E617=$G617, $F617=$H617), 3, IF(SIGN($E617-$F617)=SIGN($G617-$H617), 1, 0))))</f>
        <v/>
      </c>
    </row>
    <row r="618">
      <c r="A618" s="5" t="inlineStr"/>
      <c r="B618" s="5" t="inlineStr"/>
      <c r="C618" s="5">
        <f>IF($B618="","",VLOOKUP($B618,Jogos!$A$2:$K$105,8,FALSE))</f>
        <v/>
      </c>
      <c r="D618" s="5">
        <f>IF($B618="","",VLOOKUP($B618,Jogos!$A$2:$K$105,10,FALSE))</f>
        <v/>
      </c>
      <c r="E618" s="5" t="inlineStr"/>
      <c r="F618" s="5" t="inlineStr"/>
      <c r="G618" s="8">
        <f>IF($B618="","",VLOOKUP($B618,Jogos!$A$2:$K$105,9,FALSE))</f>
        <v/>
      </c>
      <c r="H618" s="8">
        <f>IF($B618="","",VLOOKUP($B618,Jogos!$A$2:$K$105,11,FALSE))</f>
        <v/>
      </c>
      <c r="I618" s="5">
        <f>IF(OR($A618="", $B618="", $E618="", $F618="", $G618="", $H618=""), "",IF(AND($E618=$G618, $F618=$H618), 3, IF(SIGN($E618-$F618)=SIGN($G618-$H618), 1, 0))))</f>
        <v/>
      </c>
    </row>
    <row r="619">
      <c r="A619" s="5" t="inlineStr"/>
      <c r="B619" s="5" t="inlineStr"/>
      <c r="C619" s="5">
        <f>IF($B619="","",VLOOKUP($B619,Jogos!$A$2:$K$105,8,FALSE))</f>
        <v/>
      </c>
      <c r="D619" s="5">
        <f>IF($B619="","",VLOOKUP($B619,Jogos!$A$2:$K$105,10,FALSE))</f>
        <v/>
      </c>
      <c r="E619" s="5" t="inlineStr"/>
      <c r="F619" s="5" t="inlineStr"/>
      <c r="G619" s="8">
        <f>IF($B619="","",VLOOKUP($B619,Jogos!$A$2:$K$105,9,FALSE))</f>
        <v/>
      </c>
      <c r="H619" s="8">
        <f>IF($B619="","",VLOOKUP($B619,Jogos!$A$2:$K$105,11,FALSE))</f>
        <v/>
      </c>
      <c r="I619" s="5">
        <f>IF(OR($A619="", $B619="", $E619="", $F619="", $G619="", $H619=""), "",IF(AND($E619=$G619, $F619=$H619), 3, IF(SIGN($E619-$F619)=SIGN($G619-$H619), 1, 0))))</f>
        <v/>
      </c>
    </row>
    <row r="620">
      <c r="A620" s="5" t="inlineStr"/>
      <c r="B620" s="5" t="inlineStr"/>
      <c r="C620" s="5">
        <f>IF($B620="","",VLOOKUP($B620,Jogos!$A$2:$K$105,8,FALSE))</f>
        <v/>
      </c>
      <c r="D620" s="5">
        <f>IF($B620="","",VLOOKUP($B620,Jogos!$A$2:$K$105,10,FALSE))</f>
        <v/>
      </c>
      <c r="E620" s="5" t="inlineStr"/>
      <c r="F620" s="5" t="inlineStr"/>
      <c r="G620" s="8">
        <f>IF($B620="","",VLOOKUP($B620,Jogos!$A$2:$K$105,9,FALSE))</f>
        <v/>
      </c>
      <c r="H620" s="8">
        <f>IF($B620="","",VLOOKUP($B620,Jogos!$A$2:$K$105,11,FALSE))</f>
        <v/>
      </c>
      <c r="I620" s="5">
        <f>IF(OR($A620="", $B620="", $E620="", $F620="", $G620="", $H620=""), "",IF(AND($E620=$G620, $F620=$H620), 3, IF(SIGN($E620-$F620)=SIGN($G620-$H620), 1, 0))))</f>
        <v/>
      </c>
    </row>
    <row r="621">
      <c r="A621" s="5" t="inlineStr"/>
      <c r="B621" s="5" t="inlineStr"/>
      <c r="C621" s="5">
        <f>IF($B621="","",VLOOKUP($B621,Jogos!$A$2:$K$105,8,FALSE))</f>
        <v/>
      </c>
      <c r="D621" s="5">
        <f>IF($B621="","",VLOOKUP($B621,Jogos!$A$2:$K$105,10,FALSE))</f>
        <v/>
      </c>
      <c r="E621" s="5" t="inlineStr"/>
      <c r="F621" s="5" t="inlineStr"/>
      <c r="G621" s="8">
        <f>IF($B621="","",VLOOKUP($B621,Jogos!$A$2:$K$105,9,FALSE))</f>
        <v/>
      </c>
      <c r="H621" s="8">
        <f>IF($B621="","",VLOOKUP($B621,Jogos!$A$2:$K$105,11,FALSE))</f>
        <v/>
      </c>
      <c r="I621" s="5">
        <f>IF(OR($A621="", $B621="", $E621="", $F621="", $G621="", $H621=""), "",IF(AND($E621=$G621, $F621=$H621), 3, IF(SIGN($E621-$F621)=SIGN($G621-$H621), 1, 0))))</f>
        <v/>
      </c>
    </row>
    <row r="622">
      <c r="A622" s="5" t="inlineStr"/>
      <c r="B622" s="5" t="inlineStr"/>
      <c r="C622" s="5">
        <f>IF($B622="","",VLOOKUP($B622,Jogos!$A$2:$K$105,8,FALSE))</f>
        <v/>
      </c>
      <c r="D622" s="5">
        <f>IF($B622="","",VLOOKUP($B622,Jogos!$A$2:$K$105,10,FALSE))</f>
        <v/>
      </c>
      <c r="E622" s="5" t="inlineStr"/>
      <c r="F622" s="5" t="inlineStr"/>
      <c r="G622" s="8">
        <f>IF($B622="","",VLOOKUP($B622,Jogos!$A$2:$K$105,9,FALSE))</f>
        <v/>
      </c>
      <c r="H622" s="8">
        <f>IF($B622="","",VLOOKUP($B622,Jogos!$A$2:$K$105,11,FALSE))</f>
        <v/>
      </c>
      <c r="I622" s="5">
        <f>IF(OR($A622="", $B622="", $E622="", $F622="", $G622="", $H622=""), "",IF(AND($E622=$G622, $F622=$H622), 3, IF(SIGN($E622-$F622)=SIGN($G622-$H622), 1, 0))))</f>
        <v/>
      </c>
    </row>
    <row r="623">
      <c r="A623" s="5" t="inlineStr"/>
      <c r="B623" s="5" t="inlineStr"/>
      <c r="C623" s="5">
        <f>IF($B623="","",VLOOKUP($B623,Jogos!$A$2:$K$105,8,FALSE))</f>
        <v/>
      </c>
      <c r="D623" s="5">
        <f>IF($B623="","",VLOOKUP($B623,Jogos!$A$2:$K$105,10,FALSE))</f>
        <v/>
      </c>
      <c r="E623" s="5" t="inlineStr"/>
      <c r="F623" s="5" t="inlineStr"/>
      <c r="G623" s="8">
        <f>IF($B623="","",VLOOKUP($B623,Jogos!$A$2:$K$105,9,FALSE))</f>
        <v/>
      </c>
      <c r="H623" s="8">
        <f>IF($B623="","",VLOOKUP($B623,Jogos!$A$2:$K$105,11,FALSE))</f>
        <v/>
      </c>
      <c r="I623" s="5">
        <f>IF(OR($A623="", $B623="", $E623="", $F623="", $G623="", $H623=""), "",IF(AND($E623=$G623, $F623=$H623), 3, IF(SIGN($E623-$F623)=SIGN($G623-$H623), 1, 0))))</f>
        <v/>
      </c>
    </row>
    <row r="624">
      <c r="A624" s="5" t="inlineStr"/>
      <c r="B624" s="5" t="inlineStr"/>
      <c r="C624" s="5">
        <f>IF($B624="","",VLOOKUP($B624,Jogos!$A$2:$K$105,8,FALSE))</f>
        <v/>
      </c>
      <c r="D624" s="5">
        <f>IF($B624="","",VLOOKUP($B624,Jogos!$A$2:$K$105,10,FALSE))</f>
        <v/>
      </c>
      <c r="E624" s="5" t="inlineStr"/>
      <c r="F624" s="5" t="inlineStr"/>
      <c r="G624" s="8">
        <f>IF($B624="","",VLOOKUP($B624,Jogos!$A$2:$K$105,9,FALSE))</f>
        <v/>
      </c>
      <c r="H624" s="8">
        <f>IF($B624="","",VLOOKUP($B624,Jogos!$A$2:$K$105,11,FALSE))</f>
        <v/>
      </c>
      <c r="I624" s="5">
        <f>IF(OR($A624="", $B624="", $E624="", $F624="", $G624="", $H624=""), "",IF(AND($E624=$G624, $F624=$H624), 3, IF(SIGN($E624-$F624)=SIGN($G624-$H624), 1, 0))))</f>
        <v/>
      </c>
    </row>
    <row r="625">
      <c r="A625" s="5" t="inlineStr"/>
      <c r="B625" s="5" t="inlineStr"/>
      <c r="C625" s="5">
        <f>IF($B625="","",VLOOKUP($B625,Jogos!$A$2:$K$105,8,FALSE))</f>
        <v/>
      </c>
      <c r="D625" s="5">
        <f>IF($B625="","",VLOOKUP($B625,Jogos!$A$2:$K$105,10,FALSE))</f>
        <v/>
      </c>
      <c r="E625" s="5" t="inlineStr"/>
      <c r="F625" s="5" t="inlineStr"/>
      <c r="G625" s="8">
        <f>IF($B625="","",VLOOKUP($B625,Jogos!$A$2:$K$105,9,FALSE))</f>
        <v/>
      </c>
      <c r="H625" s="8">
        <f>IF($B625="","",VLOOKUP($B625,Jogos!$A$2:$K$105,11,FALSE))</f>
        <v/>
      </c>
      <c r="I625" s="5">
        <f>IF(OR($A625="", $B625="", $E625="", $F625="", $G625="", $H625=""), "",IF(AND($E625=$G625, $F625=$H625), 3, IF(SIGN($E625-$F625)=SIGN($G625-$H625), 1, 0))))</f>
        <v/>
      </c>
    </row>
    <row r="626">
      <c r="A626" s="5" t="inlineStr"/>
      <c r="B626" s="5" t="inlineStr"/>
      <c r="C626" s="5">
        <f>IF($B626="","",VLOOKUP($B626,Jogos!$A$2:$K$105,8,FALSE))</f>
        <v/>
      </c>
      <c r="D626" s="5">
        <f>IF($B626="","",VLOOKUP($B626,Jogos!$A$2:$K$105,10,FALSE))</f>
        <v/>
      </c>
      <c r="E626" s="5" t="inlineStr"/>
      <c r="F626" s="5" t="inlineStr"/>
      <c r="G626" s="8">
        <f>IF($B626="","",VLOOKUP($B626,Jogos!$A$2:$K$105,9,FALSE))</f>
        <v/>
      </c>
      <c r="H626" s="8">
        <f>IF($B626="","",VLOOKUP($B626,Jogos!$A$2:$K$105,11,FALSE))</f>
        <v/>
      </c>
      <c r="I626" s="5">
        <f>IF(OR($A626="", $B626="", $E626="", $F626="", $G626="", $H626=""), "",IF(AND($E626=$G626, $F626=$H626), 3, IF(SIGN($E626-$F626)=SIGN($G626-$H626), 1, 0))))</f>
        <v/>
      </c>
    </row>
    <row r="627">
      <c r="A627" s="5" t="inlineStr"/>
      <c r="B627" s="5" t="inlineStr"/>
      <c r="C627" s="5">
        <f>IF($B627="","",VLOOKUP($B627,Jogos!$A$2:$K$105,8,FALSE))</f>
        <v/>
      </c>
      <c r="D627" s="5">
        <f>IF($B627="","",VLOOKUP($B627,Jogos!$A$2:$K$105,10,FALSE))</f>
        <v/>
      </c>
      <c r="E627" s="5" t="inlineStr"/>
      <c r="F627" s="5" t="inlineStr"/>
      <c r="G627" s="8">
        <f>IF($B627="","",VLOOKUP($B627,Jogos!$A$2:$K$105,9,FALSE))</f>
        <v/>
      </c>
      <c r="H627" s="8">
        <f>IF($B627="","",VLOOKUP($B627,Jogos!$A$2:$K$105,11,FALSE))</f>
        <v/>
      </c>
      <c r="I627" s="5">
        <f>IF(OR($A627="", $B627="", $E627="", $F627="", $G627="", $H627=""), "",IF(AND($E627=$G627, $F627=$H627), 3, IF(SIGN($E627-$F627)=SIGN($G627-$H627), 1, 0))))</f>
        <v/>
      </c>
    </row>
    <row r="628">
      <c r="A628" s="5" t="inlineStr"/>
      <c r="B628" s="5" t="inlineStr"/>
      <c r="C628" s="5">
        <f>IF($B628="","",VLOOKUP($B628,Jogos!$A$2:$K$105,8,FALSE))</f>
        <v/>
      </c>
      <c r="D628" s="5">
        <f>IF($B628="","",VLOOKUP($B628,Jogos!$A$2:$K$105,10,FALSE))</f>
        <v/>
      </c>
      <c r="E628" s="5" t="inlineStr"/>
      <c r="F628" s="5" t="inlineStr"/>
      <c r="G628" s="8">
        <f>IF($B628="","",VLOOKUP($B628,Jogos!$A$2:$K$105,9,FALSE))</f>
        <v/>
      </c>
      <c r="H628" s="8">
        <f>IF($B628="","",VLOOKUP($B628,Jogos!$A$2:$K$105,11,FALSE))</f>
        <v/>
      </c>
      <c r="I628" s="5">
        <f>IF(OR($A628="", $B628="", $E628="", $F628="", $G628="", $H628=""), "",IF(AND($E628=$G628, $F628=$H628), 3, IF(SIGN($E628-$F628)=SIGN($G628-$H628), 1, 0))))</f>
        <v/>
      </c>
    </row>
    <row r="629">
      <c r="A629" s="5" t="inlineStr"/>
      <c r="B629" s="5" t="inlineStr"/>
      <c r="C629" s="5">
        <f>IF($B629="","",VLOOKUP($B629,Jogos!$A$2:$K$105,8,FALSE))</f>
        <v/>
      </c>
      <c r="D629" s="5">
        <f>IF($B629="","",VLOOKUP($B629,Jogos!$A$2:$K$105,10,FALSE))</f>
        <v/>
      </c>
      <c r="E629" s="5" t="inlineStr"/>
      <c r="F629" s="5" t="inlineStr"/>
      <c r="G629" s="8">
        <f>IF($B629="","",VLOOKUP($B629,Jogos!$A$2:$K$105,9,FALSE))</f>
        <v/>
      </c>
      <c r="H629" s="8">
        <f>IF($B629="","",VLOOKUP($B629,Jogos!$A$2:$K$105,11,FALSE))</f>
        <v/>
      </c>
      <c r="I629" s="5">
        <f>IF(OR($A629="", $B629="", $E629="", $F629="", $G629="", $H629=""), "",IF(AND($E629=$G629, $F629=$H629), 3, IF(SIGN($E629-$F629)=SIGN($G629-$H629), 1, 0))))</f>
        <v/>
      </c>
    </row>
    <row r="630">
      <c r="A630" s="5" t="inlineStr"/>
      <c r="B630" s="5" t="inlineStr"/>
      <c r="C630" s="5">
        <f>IF($B630="","",VLOOKUP($B630,Jogos!$A$2:$K$105,8,FALSE))</f>
        <v/>
      </c>
      <c r="D630" s="5">
        <f>IF($B630="","",VLOOKUP($B630,Jogos!$A$2:$K$105,10,FALSE))</f>
        <v/>
      </c>
      <c r="E630" s="5" t="inlineStr"/>
      <c r="F630" s="5" t="inlineStr"/>
      <c r="G630" s="8">
        <f>IF($B630="","",VLOOKUP($B630,Jogos!$A$2:$K$105,9,FALSE))</f>
        <v/>
      </c>
      <c r="H630" s="8">
        <f>IF($B630="","",VLOOKUP($B630,Jogos!$A$2:$K$105,11,FALSE))</f>
        <v/>
      </c>
      <c r="I630" s="5">
        <f>IF(OR($A630="", $B630="", $E630="", $F630="", $G630="", $H630=""), "",IF(AND($E630=$G630, $F630=$H630), 3, IF(SIGN($E630-$F630)=SIGN($G630-$H630), 1, 0))))</f>
        <v/>
      </c>
    </row>
    <row r="631">
      <c r="A631" s="5" t="inlineStr"/>
      <c r="B631" s="5" t="inlineStr"/>
      <c r="C631" s="5">
        <f>IF($B631="","",VLOOKUP($B631,Jogos!$A$2:$K$105,8,FALSE))</f>
        <v/>
      </c>
      <c r="D631" s="5">
        <f>IF($B631="","",VLOOKUP($B631,Jogos!$A$2:$K$105,10,FALSE))</f>
        <v/>
      </c>
      <c r="E631" s="5" t="inlineStr"/>
      <c r="F631" s="5" t="inlineStr"/>
      <c r="G631" s="8">
        <f>IF($B631="","",VLOOKUP($B631,Jogos!$A$2:$K$105,9,FALSE))</f>
        <v/>
      </c>
      <c r="H631" s="8">
        <f>IF($B631="","",VLOOKUP($B631,Jogos!$A$2:$K$105,11,FALSE))</f>
        <v/>
      </c>
      <c r="I631" s="5">
        <f>IF(OR($A631="", $B631="", $E631="", $F631="", $G631="", $H631=""), "",IF(AND($E631=$G631, $F631=$H631), 3, IF(SIGN($E631-$F631)=SIGN($G631-$H631), 1, 0))))</f>
        <v/>
      </c>
    </row>
    <row r="632">
      <c r="A632" s="5" t="inlineStr"/>
      <c r="B632" s="5" t="inlineStr"/>
      <c r="C632" s="5">
        <f>IF($B632="","",VLOOKUP($B632,Jogos!$A$2:$K$105,8,FALSE))</f>
        <v/>
      </c>
      <c r="D632" s="5">
        <f>IF($B632="","",VLOOKUP($B632,Jogos!$A$2:$K$105,10,FALSE))</f>
        <v/>
      </c>
      <c r="E632" s="5" t="inlineStr"/>
      <c r="F632" s="5" t="inlineStr"/>
      <c r="G632" s="8">
        <f>IF($B632="","",VLOOKUP($B632,Jogos!$A$2:$K$105,9,FALSE))</f>
        <v/>
      </c>
      <c r="H632" s="8">
        <f>IF($B632="","",VLOOKUP($B632,Jogos!$A$2:$K$105,11,FALSE))</f>
        <v/>
      </c>
      <c r="I632" s="5">
        <f>IF(OR($A632="", $B632="", $E632="", $F632="", $G632="", $H632=""), "",IF(AND($E632=$G632, $F632=$H632), 3, IF(SIGN($E632-$F632)=SIGN($G632-$H632), 1, 0))))</f>
        <v/>
      </c>
    </row>
    <row r="633">
      <c r="A633" s="5" t="inlineStr"/>
      <c r="B633" s="5" t="inlineStr"/>
      <c r="C633" s="5">
        <f>IF($B633="","",VLOOKUP($B633,Jogos!$A$2:$K$105,8,FALSE))</f>
        <v/>
      </c>
      <c r="D633" s="5">
        <f>IF($B633="","",VLOOKUP($B633,Jogos!$A$2:$K$105,10,FALSE))</f>
        <v/>
      </c>
      <c r="E633" s="5" t="inlineStr"/>
      <c r="F633" s="5" t="inlineStr"/>
      <c r="G633" s="8">
        <f>IF($B633="","",VLOOKUP($B633,Jogos!$A$2:$K$105,9,FALSE))</f>
        <v/>
      </c>
      <c r="H633" s="8">
        <f>IF($B633="","",VLOOKUP($B633,Jogos!$A$2:$K$105,11,FALSE))</f>
        <v/>
      </c>
      <c r="I633" s="5">
        <f>IF(OR($A633="", $B633="", $E633="", $F633="", $G633="", $H633=""), "",IF(AND($E633=$G633, $F633=$H633), 3, IF(SIGN($E633-$F633)=SIGN($G633-$H633), 1, 0))))</f>
        <v/>
      </c>
    </row>
    <row r="634">
      <c r="A634" s="5" t="inlineStr"/>
      <c r="B634" s="5" t="inlineStr"/>
      <c r="C634" s="5">
        <f>IF($B634="","",VLOOKUP($B634,Jogos!$A$2:$K$105,8,FALSE))</f>
        <v/>
      </c>
      <c r="D634" s="5">
        <f>IF($B634="","",VLOOKUP($B634,Jogos!$A$2:$K$105,10,FALSE))</f>
        <v/>
      </c>
      <c r="E634" s="5" t="inlineStr"/>
      <c r="F634" s="5" t="inlineStr"/>
      <c r="G634" s="8">
        <f>IF($B634="","",VLOOKUP($B634,Jogos!$A$2:$K$105,9,FALSE))</f>
        <v/>
      </c>
      <c r="H634" s="8">
        <f>IF($B634="","",VLOOKUP($B634,Jogos!$A$2:$K$105,11,FALSE))</f>
        <v/>
      </c>
      <c r="I634" s="5">
        <f>IF(OR($A634="", $B634="", $E634="", $F634="", $G634="", $H634=""), "",IF(AND($E634=$G634, $F634=$H634), 3, IF(SIGN($E634-$F634)=SIGN($G634-$H634), 1, 0))))</f>
        <v/>
      </c>
    </row>
    <row r="635">
      <c r="A635" s="5" t="inlineStr"/>
      <c r="B635" s="5" t="inlineStr"/>
      <c r="C635" s="5">
        <f>IF($B635="","",VLOOKUP($B635,Jogos!$A$2:$K$105,8,FALSE))</f>
        <v/>
      </c>
      <c r="D635" s="5">
        <f>IF($B635="","",VLOOKUP($B635,Jogos!$A$2:$K$105,10,FALSE))</f>
        <v/>
      </c>
      <c r="E635" s="5" t="inlineStr"/>
      <c r="F635" s="5" t="inlineStr"/>
      <c r="G635" s="8">
        <f>IF($B635="","",VLOOKUP($B635,Jogos!$A$2:$K$105,9,FALSE))</f>
        <v/>
      </c>
      <c r="H635" s="8">
        <f>IF($B635="","",VLOOKUP($B635,Jogos!$A$2:$K$105,11,FALSE))</f>
        <v/>
      </c>
      <c r="I635" s="5">
        <f>IF(OR($A635="", $B635="", $E635="", $F635="", $G635="", $H635=""), "",IF(AND($E635=$G635, $F635=$H635), 3, IF(SIGN($E635-$F635)=SIGN($G635-$H635), 1, 0))))</f>
        <v/>
      </c>
    </row>
    <row r="636">
      <c r="A636" s="5" t="inlineStr"/>
      <c r="B636" s="5" t="inlineStr"/>
      <c r="C636" s="5">
        <f>IF($B636="","",VLOOKUP($B636,Jogos!$A$2:$K$105,8,FALSE))</f>
        <v/>
      </c>
      <c r="D636" s="5">
        <f>IF($B636="","",VLOOKUP($B636,Jogos!$A$2:$K$105,10,FALSE))</f>
        <v/>
      </c>
      <c r="E636" s="5" t="inlineStr"/>
      <c r="F636" s="5" t="inlineStr"/>
      <c r="G636" s="8">
        <f>IF($B636="","",VLOOKUP($B636,Jogos!$A$2:$K$105,9,FALSE))</f>
        <v/>
      </c>
      <c r="H636" s="8">
        <f>IF($B636="","",VLOOKUP($B636,Jogos!$A$2:$K$105,11,FALSE))</f>
        <v/>
      </c>
      <c r="I636" s="5">
        <f>IF(OR($A636="", $B636="", $E636="", $F636="", $G636="", $H636=""), "",IF(AND($E636=$G636, $F636=$H636), 3, IF(SIGN($E636-$F636)=SIGN($G636-$H636), 1, 0))))</f>
        <v/>
      </c>
    </row>
    <row r="637">
      <c r="A637" s="5" t="inlineStr"/>
      <c r="B637" s="5" t="inlineStr"/>
      <c r="C637" s="5">
        <f>IF($B637="","",VLOOKUP($B637,Jogos!$A$2:$K$105,8,FALSE))</f>
        <v/>
      </c>
      <c r="D637" s="5">
        <f>IF($B637="","",VLOOKUP($B637,Jogos!$A$2:$K$105,10,FALSE))</f>
        <v/>
      </c>
      <c r="E637" s="5" t="inlineStr"/>
      <c r="F637" s="5" t="inlineStr"/>
      <c r="G637" s="8">
        <f>IF($B637="","",VLOOKUP($B637,Jogos!$A$2:$K$105,9,FALSE))</f>
        <v/>
      </c>
      <c r="H637" s="8">
        <f>IF($B637="","",VLOOKUP($B637,Jogos!$A$2:$K$105,11,FALSE))</f>
        <v/>
      </c>
      <c r="I637" s="5">
        <f>IF(OR($A637="", $B637="", $E637="", $F637="", $G637="", $H637=""), "",IF(AND($E637=$G637, $F637=$H637), 3, IF(SIGN($E637-$F637)=SIGN($G637-$H637), 1, 0))))</f>
        <v/>
      </c>
    </row>
    <row r="638">
      <c r="A638" s="5" t="inlineStr"/>
      <c r="B638" s="5" t="inlineStr"/>
      <c r="C638" s="5">
        <f>IF($B638="","",VLOOKUP($B638,Jogos!$A$2:$K$105,8,FALSE))</f>
        <v/>
      </c>
      <c r="D638" s="5">
        <f>IF($B638="","",VLOOKUP($B638,Jogos!$A$2:$K$105,10,FALSE))</f>
        <v/>
      </c>
      <c r="E638" s="5" t="inlineStr"/>
      <c r="F638" s="5" t="inlineStr"/>
      <c r="G638" s="8">
        <f>IF($B638="","",VLOOKUP($B638,Jogos!$A$2:$K$105,9,FALSE))</f>
        <v/>
      </c>
      <c r="H638" s="8">
        <f>IF($B638="","",VLOOKUP($B638,Jogos!$A$2:$K$105,11,FALSE))</f>
        <v/>
      </c>
      <c r="I638" s="5">
        <f>IF(OR($A638="", $B638="", $E638="", $F638="", $G638="", $H638=""), "",IF(AND($E638=$G638, $F638=$H638), 3, IF(SIGN($E638-$F638)=SIGN($G638-$H638), 1, 0))))</f>
        <v/>
      </c>
    </row>
    <row r="639">
      <c r="A639" s="5" t="inlineStr"/>
      <c r="B639" s="5" t="inlineStr"/>
      <c r="C639" s="5">
        <f>IF($B639="","",VLOOKUP($B639,Jogos!$A$2:$K$105,8,FALSE))</f>
        <v/>
      </c>
      <c r="D639" s="5">
        <f>IF($B639="","",VLOOKUP($B639,Jogos!$A$2:$K$105,10,FALSE))</f>
        <v/>
      </c>
      <c r="E639" s="5" t="inlineStr"/>
      <c r="F639" s="5" t="inlineStr"/>
      <c r="G639" s="8">
        <f>IF($B639="","",VLOOKUP($B639,Jogos!$A$2:$K$105,9,FALSE))</f>
        <v/>
      </c>
      <c r="H639" s="8">
        <f>IF($B639="","",VLOOKUP($B639,Jogos!$A$2:$K$105,11,FALSE))</f>
        <v/>
      </c>
      <c r="I639" s="5">
        <f>IF(OR($A639="", $B639="", $E639="", $F639="", $G639="", $H639=""), "",IF(AND($E639=$G639, $F639=$H639), 3, IF(SIGN($E639-$F639)=SIGN($G639-$H639), 1, 0))))</f>
        <v/>
      </c>
    </row>
    <row r="640">
      <c r="A640" s="5" t="inlineStr"/>
      <c r="B640" s="5" t="inlineStr"/>
      <c r="C640" s="5">
        <f>IF($B640="","",VLOOKUP($B640,Jogos!$A$2:$K$105,8,FALSE))</f>
        <v/>
      </c>
      <c r="D640" s="5">
        <f>IF($B640="","",VLOOKUP($B640,Jogos!$A$2:$K$105,10,FALSE))</f>
        <v/>
      </c>
      <c r="E640" s="5" t="inlineStr"/>
      <c r="F640" s="5" t="inlineStr"/>
      <c r="G640" s="8">
        <f>IF($B640="","",VLOOKUP($B640,Jogos!$A$2:$K$105,9,FALSE))</f>
        <v/>
      </c>
      <c r="H640" s="8">
        <f>IF($B640="","",VLOOKUP($B640,Jogos!$A$2:$K$105,11,FALSE))</f>
        <v/>
      </c>
      <c r="I640" s="5">
        <f>IF(OR($A640="", $B640="", $E640="", $F640="", $G640="", $H640=""), "",IF(AND($E640=$G640, $F640=$H640), 3, IF(SIGN($E640-$F640)=SIGN($G640-$H640), 1, 0))))</f>
        <v/>
      </c>
    </row>
    <row r="641">
      <c r="A641" s="5" t="inlineStr"/>
      <c r="B641" s="5" t="inlineStr"/>
      <c r="C641" s="5">
        <f>IF($B641="","",VLOOKUP($B641,Jogos!$A$2:$K$105,8,FALSE))</f>
        <v/>
      </c>
      <c r="D641" s="5">
        <f>IF($B641="","",VLOOKUP($B641,Jogos!$A$2:$K$105,10,FALSE))</f>
        <v/>
      </c>
      <c r="E641" s="5" t="inlineStr"/>
      <c r="F641" s="5" t="inlineStr"/>
      <c r="G641" s="8">
        <f>IF($B641="","",VLOOKUP($B641,Jogos!$A$2:$K$105,9,FALSE))</f>
        <v/>
      </c>
      <c r="H641" s="8">
        <f>IF($B641="","",VLOOKUP($B641,Jogos!$A$2:$K$105,11,FALSE))</f>
        <v/>
      </c>
      <c r="I641" s="5">
        <f>IF(OR($A641="", $B641="", $E641="", $F641="", $G641="", $H641=""), "",IF(AND($E641=$G641, $F641=$H641), 3, IF(SIGN($E641-$F641)=SIGN($G641-$H641), 1, 0))))</f>
        <v/>
      </c>
    </row>
    <row r="642">
      <c r="A642" s="5" t="inlineStr"/>
      <c r="B642" s="5" t="inlineStr"/>
      <c r="C642" s="5">
        <f>IF($B642="","",VLOOKUP($B642,Jogos!$A$2:$K$105,8,FALSE))</f>
        <v/>
      </c>
      <c r="D642" s="5">
        <f>IF($B642="","",VLOOKUP($B642,Jogos!$A$2:$K$105,10,FALSE))</f>
        <v/>
      </c>
      <c r="E642" s="5" t="inlineStr"/>
      <c r="F642" s="5" t="inlineStr"/>
      <c r="G642" s="8">
        <f>IF($B642="","",VLOOKUP($B642,Jogos!$A$2:$K$105,9,FALSE))</f>
        <v/>
      </c>
      <c r="H642" s="8">
        <f>IF($B642="","",VLOOKUP($B642,Jogos!$A$2:$K$105,11,FALSE))</f>
        <v/>
      </c>
      <c r="I642" s="5">
        <f>IF(OR($A642="", $B642="", $E642="", $F642="", $G642="", $H642=""), "",IF(AND($E642=$G642, $F642=$H642), 3, IF(SIGN($E642-$F642)=SIGN($G642-$H642), 1, 0))))</f>
        <v/>
      </c>
    </row>
    <row r="643">
      <c r="A643" s="5" t="inlineStr"/>
      <c r="B643" s="5" t="inlineStr"/>
      <c r="C643" s="5">
        <f>IF($B643="","",VLOOKUP($B643,Jogos!$A$2:$K$105,8,FALSE))</f>
        <v/>
      </c>
      <c r="D643" s="5">
        <f>IF($B643="","",VLOOKUP($B643,Jogos!$A$2:$K$105,10,FALSE))</f>
        <v/>
      </c>
      <c r="E643" s="5" t="inlineStr"/>
      <c r="F643" s="5" t="inlineStr"/>
      <c r="G643" s="8">
        <f>IF($B643="","",VLOOKUP($B643,Jogos!$A$2:$K$105,9,FALSE))</f>
        <v/>
      </c>
      <c r="H643" s="8">
        <f>IF($B643="","",VLOOKUP($B643,Jogos!$A$2:$K$105,11,FALSE))</f>
        <v/>
      </c>
      <c r="I643" s="5">
        <f>IF(OR($A643="", $B643="", $E643="", $F643="", $G643="", $H643=""), "",IF(AND($E643=$G643, $F643=$H643), 3, IF(SIGN($E643-$F643)=SIGN($G643-$H643), 1, 0))))</f>
        <v/>
      </c>
    </row>
    <row r="644">
      <c r="A644" s="5" t="inlineStr"/>
      <c r="B644" s="5" t="inlineStr"/>
      <c r="C644" s="5">
        <f>IF($B644="","",VLOOKUP($B644,Jogos!$A$2:$K$105,8,FALSE))</f>
        <v/>
      </c>
      <c r="D644" s="5">
        <f>IF($B644="","",VLOOKUP($B644,Jogos!$A$2:$K$105,10,FALSE))</f>
        <v/>
      </c>
      <c r="E644" s="5" t="inlineStr"/>
      <c r="F644" s="5" t="inlineStr"/>
      <c r="G644" s="8">
        <f>IF($B644="","",VLOOKUP($B644,Jogos!$A$2:$K$105,9,FALSE))</f>
        <v/>
      </c>
      <c r="H644" s="8">
        <f>IF($B644="","",VLOOKUP($B644,Jogos!$A$2:$K$105,11,FALSE))</f>
        <v/>
      </c>
      <c r="I644" s="5">
        <f>IF(OR($A644="", $B644="", $E644="", $F644="", $G644="", $H644=""), "",IF(AND($E644=$G644, $F644=$H644), 3, IF(SIGN($E644-$F644)=SIGN($G644-$H644), 1, 0))))</f>
        <v/>
      </c>
    </row>
    <row r="645">
      <c r="A645" s="5" t="inlineStr"/>
      <c r="B645" s="5" t="inlineStr"/>
      <c r="C645" s="5">
        <f>IF($B645="","",VLOOKUP($B645,Jogos!$A$2:$K$105,8,FALSE))</f>
        <v/>
      </c>
      <c r="D645" s="5">
        <f>IF($B645="","",VLOOKUP($B645,Jogos!$A$2:$K$105,10,FALSE))</f>
        <v/>
      </c>
      <c r="E645" s="5" t="inlineStr"/>
      <c r="F645" s="5" t="inlineStr"/>
      <c r="G645" s="8">
        <f>IF($B645="","",VLOOKUP($B645,Jogos!$A$2:$K$105,9,FALSE))</f>
        <v/>
      </c>
      <c r="H645" s="8">
        <f>IF($B645="","",VLOOKUP($B645,Jogos!$A$2:$K$105,11,FALSE))</f>
        <v/>
      </c>
      <c r="I645" s="5">
        <f>IF(OR($A645="", $B645="", $E645="", $F645="", $G645="", $H645=""), "",IF(AND($E645=$G645, $F645=$H645), 3, IF(SIGN($E645-$F645)=SIGN($G645-$H645), 1, 0))))</f>
        <v/>
      </c>
    </row>
    <row r="646">
      <c r="A646" s="5" t="inlineStr"/>
      <c r="B646" s="5" t="inlineStr"/>
      <c r="C646" s="5">
        <f>IF($B646="","",VLOOKUP($B646,Jogos!$A$2:$K$105,8,FALSE))</f>
        <v/>
      </c>
      <c r="D646" s="5">
        <f>IF($B646="","",VLOOKUP($B646,Jogos!$A$2:$K$105,10,FALSE))</f>
        <v/>
      </c>
      <c r="E646" s="5" t="inlineStr"/>
      <c r="F646" s="5" t="inlineStr"/>
      <c r="G646" s="8">
        <f>IF($B646="","",VLOOKUP($B646,Jogos!$A$2:$K$105,9,FALSE))</f>
        <v/>
      </c>
      <c r="H646" s="8">
        <f>IF($B646="","",VLOOKUP($B646,Jogos!$A$2:$K$105,11,FALSE))</f>
        <v/>
      </c>
      <c r="I646" s="5">
        <f>IF(OR($A646="", $B646="", $E646="", $F646="", $G646="", $H646=""), "",IF(AND($E646=$G646, $F646=$H646), 3, IF(SIGN($E646-$F646)=SIGN($G646-$H646), 1, 0))))</f>
        <v/>
      </c>
    </row>
    <row r="647">
      <c r="A647" s="5" t="inlineStr"/>
      <c r="B647" s="5" t="inlineStr"/>
      <c r="C647" s="5">
        <f>IF($B647="","",VLOOKUP($B647,Jogos!$A$2:$K$105,8,FALSE))</f>
        <v/>
      </c>
      <c r="D647" s="5">
        <f>IF($B647="","",VLOOKUP($B647,Jogos!$A$2:$K$105,10,FALSE))</f>
        <v/>
      </c>
      <c r="E647" s="5" t="inlineStr"/>
      <c r="F647" s="5" t="inlineStr"/>
      <c r="G647" s="8">
        <f>IF($B647="","",VLOOKUP($B647,Jogos!$A$2:$K$105,9,FALSE))</f>
        <v/>
      </c>
      <c r="H647" s="8">
        <f>IF($B647="","",VLOOKUP($B647,Jogos!$A$2:$K$105,11,FALSE))</f>
        <v/>
      </c>
      <c r="I647" s="5">
        <f>IF(OR($A647="", $B647="", $E647="", $F647="", $G647="", $H647=""), "",IF(AND($E647=$G647, $F647=$H647), 3, IF(SIGN($E647-$F647)=SIGN($G647-$H647), 1, 0))))</f>
        <v/>
      </c>
    </row>
    <row r="648">
      <c r="A648" s="5" t="inlineStr"/>
      <c r="B648" s="5" t="inlineStr"/>
      <c r="C648" s="5">
        <f>IF($B648="","",VLOOKUP($B648,Jogos!$A$2:$K$105,8,FALSE))</f>
        <v/>
      </c>
      <c r="D648" s="5">
        <f>IF($B648="","",VLOOKUP($B648,Jogos!$A$2:$K$105,10,FALSE))</f>
        <v/>
      </c>
      <c r="E648" s="5" t="inlineStr"/>
      <c r="F648" s="5" t="inlineStr"/>
      <c r="G648" s="8">
        <f>IF($B648="","",VLOOKUP($B648,Jogos!$A$2:$K$105,9,FALSE))</f>
        <v/>
      </c>
      <c r="H648" s="8">
        <f>IF($B648="","",VLOOKUP($B648,Jogos!$A$2:$K$105,11,FALSE))</f>
        <v/>
      </c>
      <c r="I648" s="5">
        <f>IF(OR($A648="", $B648="", $E648="", $F648="", $G648="", $H648=""), "",IF(AND($E648=$G648, $F648=$H648), 3, IF(SIGN($E648-$F648)=SIGN($G648-$H648), 1, 0))))</f>
        <v/>
      </c>
    </row>
    <row r="649">
      <c r="A649" s="5" t="inlineStr"/>
      <c r="B649" s="5" t="inlineStr"/>
      <c r="C649" s="5">
        <f>IF($B649="","",VLOOKUP($B649,Jogos!$A$2:$K$105,8,FALSE))</f>
        <v/>
      </c>
      <c r="D649" s="5">
        <f>IF($B649="","",VLOOKUP($B649,Jogos!$A$2:$K$105,10,FALSE))</f>
        <v/>
      </c>
      <c r="E649" s="5" t="inlineStr"/>
      <c r="F649" s="5" t="inlineStr"/>
      <c r="G649" s="8">
        <f>IF($B649="","",VLOOKUP($B649,Jogos!$A$2:$K$105,9,FALSE))</f>
        <v/>
      </c>
      <c r="H649" s="8">
        <f>IF($B649="","",VLOOKUP($B649,Jogos!$A$2:$K$105,11,FALSE))</f>
        <v/>
      </c>
      <c r="I649" s="5">
        <f>IF(OR($A649="", $B649="", $E649="", $F649="", $G649="", $H649=""), "",IF(AND($E649=$G649, $F649=$H649), 3, IF(SIGN($E649-$F649)=SIGN($G649-$H649), 1, 0))))</f>
        <v/>
      </c>
    </row>
    <row r="650">
      <c r="A650" s="5" t="inlineStr"/>
      <c r="B650" s="5" t="inlineStr"/>
      <c r="C650" s="5">
        <f>IF($B650="","",VLOOKUP($B650,Jogos!$A$2:$K$105,8,FALSE))</f>
        <v/>
      </c>
      <c r="D650" s="5">
        <f>IF($B650="","",VLOOKUP($B650,Jogos!$A$2:$K$105,10,FALSE))</f>
        <v/>
      </c>
      <c r="E650" s="5" t="inlineStr"/>
      <c r="F650" s="5" t="inlineStr"/>
      <c r="G650" s="8">
        <f>IF($B650="","",VLOOKUP($B650,Jogos!$A$2:$K$105,9,FALSE))</f>
        <v/>
      </c>
      <c r="H650" s="8">
        <f>IF($B650="","",VLOOKUP($B650,Jogos!$A$2:$K$105,11,FALSE))</f>
        <v/>
      </c>
      <c r="I650" s="5">
        <f>IF(OR($A650="", $B650="", $E650="", $F650="", $G650="", $H650=""), "",IF(AND($E650=$G650, $F650=$H650), 3, IF(SIGN($E650-$F650)=SIGN($G650-$H650), 1, 0))))</f>
        <v/>
      </c>
    </row>
    <row r="651">
      <c r="A651" s="5" t="inlineStr"/>
      <c r="B651" s="5" t="inlineStr"/>
      <c r="C651" s="5">
        <f>IF($B651="","",VLOOKUP($B651,Jogos!$A$2:$K$105,8,FALSE))</f>
        <v/>
      </c>
      <c r="D651" s="5">
        <f>IF($B651="","",VLOOKUP($B651,Jogos!$A$2:$K$105,10,FALSE))</f>
        <v/>
      </c>
      <c r="E651" s="5" t="inlineStr"/>
      <c r="F651" s="5" t="inlineStr"/>
      <c r="G651" s="8">
        <f>IF($B651="","",VLOOKUP($B651,Jogos!$A$2:$K$105,9,FALSE))</f>
        <v/>
      </c>
      <c r="H651" s="8">
        <f>IF($B651="","",VLOOKUP($B651,Jogos!$A$2:$K$105,11,FALSE))</f>
        <v/>
      </c>
      <c r="I651" s="5">
        <f>IF(OR($A651="", $B651="", $E651="", $F651="", $G651="", $H651=""), "",IF(AND($E651=$G651, $F651=$H651), 3, IF(SIGN($E651-$F651)=SIGN($G651-$H651), 1, 0))))</f>
        <v/>
      </c>
    </row>
    <row r="652">
      <c r="A652" s="5" t="inlineStr"/>
      <c r="B652" s="5" t="inlineStr"/>
      <c r="C652" s="5">
        <f>IF($B652="","",VLOOKUP($B652,Jogos!$A$2:$K$105,8,FALSE))</f>
        <v/>
      </c>
      <c r="D652" s="5">
        <f>IF($B652="","",VLOOKUP($B652,Jogos!$A$2:$K$105,10,FALSE))</f>
        <v/>
      </c>
      <c r="E652" s="5" t="inlineStr"/>
      <c r="F652" s="5" t="inlineStr"/>
      <c r="G652" s="8">
        <f>IF($B652="","",VLOOKUP($B652,Jogos!$A$2:$K$105,9,FALSE))</f>
        <v/>
      </c>
      <c r="H652" s="8">
        <f>IF($B652="","",VLOOKUP($B652,Jogos!$A$2:$K$105,11,FALSE))</f>
        <v/>
      </c>
      <c r="I652" s="5">
        <f>IF(OR($A652="", $B652="", $E652="", $F652="", $G652="", $H652=""), "",IF(AND($E652=$G652, $F652=$H652), 3, IF(SIGN($E652-$F652)=SIGN($G652-$H652), 1, 0))))</f>
        <v/>
      </c>
    </row>
    <row r="653">
      <c r="A653" s="5" t="inlineStr"/>
      <c r="B653" s="5" t="inlineStr"/>
      <c r="C653" s="5">
        <f>IF($B653="","",VLOOKUP($B653,Jogos!$A$2:$K$105,8,FALSE))</f>
        <v/>
      </c>
      <c r="D653" s="5">
        <f>IF($B653="","",VLOOKUP($B653,Jogos!$A$2:$K$105,10,FALSE))</f>
        <v/>
      </c>
      <c r="E653" s="5" t="inlineStr"/>
      <c r="F653" s="5" t="inlineStr"/>
      <c r="G653" s="8">
        <f>IF($B653="","",VLOOKUP($B653,Jogos!$A$2:$K$105,9,FALSE))</f>
        <v/>
      </c>
      <c r="H653" s="8">
        <f>IF($B653="","",VLOOKUP($B653,Jogos!$A$2:$K$105,11,FALSE))</f>
        <v/>
      </c>
      <c r="I653" s="5">
        <f>IF(OR($A653="", $B653="", $E653="", $F653="", $G653="", $H653=""), "",IF(AND($E653=$G653, $F653=$H653), 3, IF(SIGN($E653-$F653)=SIGN($G653-$H653), 1, 0))))</f>
        <v/>
      </c>
    </row>
    <row r="654">
      <c r="A654" s="5" t="inlineStr"/>
      <c r="B654" s="5" t="inlineStr"/>
      <c r="C654" s="5">
        <f>IF($B654="","",VLOOKUP($B654,Jogos!$A$2:$K$105,8,FALSE))</f>
        <v/>
      </c>
      <c r="D654" s="5">
        <f>IF($B654="","",VLOOKUP($B654,Jogos!$A$2:$K$105,10,FALSE))</f>
        <v/>
      </c>
      <c r="E654" s="5" t="inlineStr"/>
      <c r="F654" s="5" t="inlineStr"/>
      <c r="G654" s="8">
        <f>IF($B654="","",VLOOKUP($B654,Jogos!$A$2:$K$105,9,FALSE))</f>
        <v/>
      </c>
      <c r="H654" s="8">
        <f>IF($B654="","",VLOOKUP($B654,Jogos!$A$2:$K$105,11,FALSE))</f>
        <v/>
      </c>
      <c r="I654" s="5">
        <f>IF(OR($A654="", $B654="", $E654="", $F654="", $G654="", $H654=""), "",IF(AND($E654=$G654, $F654=$H654), 3, IF(SIGN($E654-$F654)=SIGN($G654-$H654), 1, 0))))</f>
        <v/>
      </c>
    </row>
    <row r="655">
      <c r="A655" s="5" t="inlineStr"/>
      <c r="B655" s="5" t="inlineStr"/>
      <c r="C655" s="5">
        <f>IF($B655="","",VLOOKUP($B655,Jogos!$A$2:$K$105,8,FALSE))</f>
        <v/>
      </c>
      <c r="D655" s="5">
        <f>IF($B655="","",VLOOKUP($B655,Jogos!$A$2:$K$105,10,FALSE))</f>
        <v/>
      </c>
      <c r="E655" s="5" t="inlineStr"/>
      <c r="F655" s="5" t="inlineStr"/>
      <c r="G655" s="8">
        <f>IF($B655="","",VLOOKUP($B655,Jogos!$A$2:$K$105,9,FALSE))</f>
        <v/>
      </c>
      <c r="H655" s="8">
        <f>IF($B655="","",VLOOKUP($B655,Jogos!$A$2:$K$105,11,FALSE))</f>
        <v/>
      </c>
      <c r="I655" s="5">
        <f>IF(OR($A655="", $B655="", $E655="", $F655="", $G655="", $H655=""), "",IF(AND($E655=$G655, $F655=$H655), 3, IF(SIGN($E655-$F655)=SIGN($G655-$H655), 1, 0))))</f>
        <v/>
      </c>
    </row>
    <row r="656">
      <c r="A656" s="5" t="inlineStr"/>
      <c r="B656" s="5" t="inlineStr"/>
      <c r="C656" s="5">
        <f>IF($B656="","",VLOOKUP($B656,Jogos!$A$2:$K$105,8,FALSE))</f>
        <v/>
      </c>
      <c r="D656" s="5">
        <f>IF($B656="","",VLOOKUP($B656,Jogos!$A$2:$K$105,10,FALSE))</f>
        <v/>
      </c>
      <c r="E656" s="5" t="inlineStr"/>
      <c r="F656" s="5" t="inlineStr"/>
      <c r="G656" s="8">
        <f>IF($B656="","",VLOOKUP($B656,Jogos!$A$2:$K$105,9,FALSE))</f>
        <v/>
      </c>
      <c r="H656" s="8">
        <f>IF($B656="","",VLOOKUP($B656,Jogos!$A$2:$K$105,11,FALSE))</f>
        <v/>
      </c>
      <c r="I656" s="5">
        <f>IF(OR($A656="", $B656="", $E656="", $F656="", $G656="", $H656=""), "",IF(AND($E656=$G656, $F656=$H656), 3, IF(SIGN($E656-$F656)=SIGN($G656-$H656), 1, 0))))</f>
        <v/>
      </c>
    </row>
    <row r="657">
      <c r="A657" s="5" t="inlineStr"/>
      <c r="B657" s="5" t="inlineStr"/>
      <c r="C657" s="5">
        <f>IF($B657="","",VLOOKUP($B657,Jogos!$A$2:$K$105,8,FALSE))</f>
        <v/>
      </c>
      <c r="D657" s="5">
        <f>IF($B657="","",VLOOKUP($B657,Jogos!$A$2:$K$105,10,FALSE))</f>
        <v/>
      </c>
      <c r="E657" s="5" t="inlineStr"/>
      <c r="F657" s="5" t="inlineStr"/>
      <c r="G657" s="8">
        <f>IF($B657="","",VLOOKUP($B657,Jogos!$A$2:$K$105,9,FALSE))</f>
        <v/>
      </c>
      <c r="H657" s="8">
        <f>IF($B657="","",VLOOKUP($B657,Jogos!$A$2:$K$105,11,FALSE))</f>
        <v/>
      </c>
      <c r="I657" s="5">
        <f>IF(OR($A657="", $B657="", $E657="", $F657="", $G657="", $H657=""), "",IF(AND($E657=$G657, $F657=$H657), 3, IF(SIGN($E657-$F657)=SIGN($G657-$H657), 1, 0))))</f>
        <v/>
      </c>
    </row>
    <row r="658">
      <c r="A658" s="5" t="inlineStr"/>
      <c r="B658" s="5" t="inlineStr"/>
      <c r="C658" s="5">
        <f>IF($B658="","",VLOOKUP($B658,Jogos!$A$2:$K$105,8,FALSE))</f>
        <v/>
      </c>
      <c r="D658" s="5">
        <f>IF($B658="","",VLOOKUP($B658,Jogos!$A$2:$K$105,10,FALSE))</f>
        <v/>
      </c>
      <c r="E658" s="5" t="inlineStr"/>
      <c r="F658" s="5" t="inlineStr"/>
      <c r="G658" s="8">
        <f>IF($B658="","",VLOOKUP($B658,Jogos!$A$2:$K$105,9,FALSE))</f>
        <v/>
      </c>
      <c r="H658" s="8">
        <f>IF($B658="","",VLOOKUP($B658,Jogos!$A$2:$K$105,11,FALSE))</f>
        <v/>
      </c>
      <c r="I658" s="5">
        <f>IF(OR($A658="", $B658="", $E658="", $F658="", $G658="", $H658=""), "",IF(AND($E658=$G658, $F658=$H658), 3, IF(SIGN($E658-$F658)=SIGN($G658-$H658), 1, 0))))</f>
        <v/>
      </c>
    </row>
    <row r="659">
      <c r="A659" s="5" t="inlineStr"/>
      <c r="B659" s="5" t="inlineStr"/>
      <c r="C659" s="5">
        <f>IF($B659="","",VLOOKUP($B659,Jogos!$A$2:$K$105,8,FALSE))</f>
        <v/>
      </c>
      <c r="D659" s="5">
        <f>IF($B659="","",VLOOKUP($B659,Jogos!$A$2:$K$105,10,FALSE))</f>
        <v/>
      </c>
      <c r="E659" s="5" t="inlineStr"/>
      <c r="F659" s="5" t="inlineStr"/>
      <c r="G659" s="8">
        <f>IF($B659="","",VLOOKUP($B659,Jogos!$A$2:$K$105,9,FALSE))</f>
        <v/>
      </c>
      <c r="H659" s="8">
        <f>IF($B659="","",VLOOKUP($B659,Jogos!$A$2:$K$105,11,FALSE))</f>
        <v/>
      </c>
      <c r="I659" s="5">
        <f>IF(OR($A659="", $B659="", $E659="", $F659="", $G659="", $H659=""), "",IF(AND($E659=$G659, $F659=$H659), 3, IF(SIGN($E659-$F659)=SIGN($G659-$H659), 1, 0))))</f>
        <v/>
      </c>
    </row>
    <row r="660">
      <c r="A660" s="5" t="inlineStr"/>
      <c r="B660" s="5" t="inlineStr"/>
      <c r="C660" s="5">
        <f>IF($B660="","",VLOOKUP($B660,Jogos!$A$2:$K$105,8,FALSE))</f>
        <v/>
      </c>
      <c r="D660" s="5">
        <f>IF($B660="","",VLOOKUP($B660,Jogos!$A$2:$K$105,10,FALSE))</f>
        <v/>
      </c>
      <c r="E660" s="5" t="inlineStr"/>
      <c r="F660" s="5" t="inlineStr"/>
      <c r="G660" s="8">
        <f>IF($B660="","",VLOOKUP($B660,Jogos!$A$2:$K$105,9,FALSE))</f>
        <v/>
      </c>
      <c r="H660" s="8">
        <f>IF($B660="","",VLOOKUP($B660,Jogos!$A$2:$K$105,11,FALSE))</f>
        <v/>
      </c>
      <c r="I660" s="5">
        <f>IF(OR($A660="", $B660="", $E660="", $F660="", $G660="", $H660=""), "",IF(AND($E660=$G660, $F660=$H660), 3, IF(SIGN($E660-$F660)=SIGN($G660-$H660), 1, 0))))</f>
        <v/>
      </c>
    </row>
    <row r="661">
      <c r="A661" s="5" t="inlineStr"/>
      <c r="B661" s="5" t="inlineStr"/>
      <c r="C661" s="5">
        <f>IF($B661="","",VLOOKUP($B661,Jogos!$A$2:$K$105,8,FALSE))</f>
        <v/>
      </c>
      <c r="D661" s="5">
        <f>IF($B661="","",VLOOKUP($B661,Jogos!$A$2:$K$105,10,FALSE))</f>
        <v/>
      </c>
      <c r="E661" s="5" t="inlineStr"/>
      <c r="F661" s="5" t="inlineStr"/>
      <c r="G661" s="8">
        <f>IF($B661="","",VLOOKUP($B661,Jogos!$A$2:$K$105,9,FALSE))</f>
        <v/>
      </c>
      <c r="H661" s="8">
        <f>IF($B661="","",VLOOKUP($B661,Jogos!$A$2:$K$105,11,FALSE))</f>
        <v/>
      </c>
      <c r="I661" s="5">
        <f>IF(OR($A661="", $B661="", $E661="", $F661="", $G661="", $H661=""), "",IF(AND($E661=$G661, $F661=$H661), 3, IF(SIGN($E661-$F661)=SIGN($G661-$H661), 1, 0))))</f>
        <v/>
      </c>
    </row>
    <row r="662">
      <c r="A662" s="5" t="inlineStr"/>
      <c r="B662" s="5" t="inlineStr"/>
      <c r="C662" s="5">
        <f>IF($B662="","",VLOOKUP($B662,Jogos!$A$2:$K$105,8,FALSE))</f>
        <v/>
      </c>
      <c r="D662" s="5">
        <f>IF($B662="","",VLOOKUP($B662,Jogos!$A$2:$K$105,10,FALSE))</f>
        <v/>
      </c>
      <c r="E662" s="5" t="inlineStr"/>
      <c r="F662" s="5" t="inlineStr"/>
      <c r="G662" s="8">
        <f>IF($B662="","",VLOOKUP($B662,Jogos!$A$2:$K$105,9,FALSE))</f>
        <v/>
      </c>
      <c r="H662" s="8">
        <f>IF($B662="","",VLOOKUP($B662,Jogos!$A$2:$K$105,11,FALSE))</f>
        <v/>
      </c>
      <c r="I662" s="5">
        <f>IF(OR($A662="", $B662="", $E662="", $F662="", $G662="", $H662=""), "",IF(AND($E662=$G662, $F662=$H662), 3, IF(SIGN($E662-$F662)=SIGN($G662-$H662), 1, 0))))</f>
        <v/>
      </c>
    </row>
    <row r="663">
      <c r="A663" s="5" t="inlineStr"/>
      <c r="B663" s="5" t="inlineStr"/>
      <c r="C663" s="5">
        <f>IF($B663="","",VLOOKUP($B663,Jogos!$A$2:$K$105,8,FALSE))</f>
        <v/>
      </c>
      <c r="D663" s="5">
        <f>IF($B663="","",VLOOKUP($B663,Jogos!$A$2:$K$105,10,FALSE))</f>
        <v/>
      </c>
      <c r="E663" s="5" t="inlineStr"/>
      <c r="F663" s="5" t="inlineStr"/>
      <c r="G663" s="8">
        <f>IF($B663="","",VLOOKUP($B663,Jogos!$A$2:$K$105,9,FALSE))</f>
        <v/>
      </c>
      <c r="H663" s="8">
        <f>IF($B663="","",VLOOKUP($B663,Jogos!$A$2:$K$105,11,FALSE))</f>
        <v/>
      </c>
      <c r="I663" s="5">
        <f>IF(OR($A663="", $B663="", $E663="", $F663="", $G663="", $H663=""), "",IF(AND($E663=$G663, $F663=$H663), 3, IF(SIGN($E663-$F663)=SIGN($G663-$H663), 1, 0))))</f>
        <v/>
      </c>
    </row>
    <row r="664">
      <c r="A664" s="5" t="inlineStr"/>
      <c r="B664" s="5" t="inlineStr"/>
      <c r="C664" s="5">
        <f>IF($B664="","",VLOOKUP($B664,Jogos!$A$2:$K$105,8,FALSE))</f>
        <v/>
      </c>
      <c r="D664" s="5">
        <f>IF($B664="","",VLOOKUP($B664,Jogos!$A$2:$K$105,10,FALSE))</f>
        <v/>
      </c>
      <c r="E664" s="5" t="inlineStr"/>
      <c r="F664" s="5" t="inlineStr"/>
      <c r="G664" s="8">
        <f>IF($B664="","",VLOOKUP($B664,Jogos!$A$2:$K$105,9,FALSE))</f>
        <v/>
      </c>
      <c r="H664" s="8">
        <f>IF($B664="","",VLOOKUP($B664,Jogos!$A$2:$K$105,11,FALSE))</f>
        <v/>
      </c>
      <c r="I664" s="5">
        <f>IF(OR($A664="", $B664="", $E664="", $F664="", $G664="", $H664=""), "",IF(AND($E664=$G664, $F664=$H664), 3, IF(SIGN($E664-$F664)=SIGN($G664-$H664), 1, 0))))</f>
        <v/>
      </c>
    </row>
    <row r="665">
      <c r="A665" s="5" t="inlineStr"/>
      <c r="B665" s="5" t="inlineStr"/>
      <c r="C665" s="5">
        <f>IF($B665="","",VLOOKUP($B665,Jogos!$A$2:$K$105,8,FALSE))</f>
        <v/>
      </c>
      <c r="D665" s="5">
        <f>IF($B665="","",VLOOKUP($B665,Jogos!$A$2:$K$105,10,FALSE))</f>
        <v/>
      </c>
      <c r="E665" s="5" t="inlineStr"/>
      <c r="F665" s="5" t="inlineStr"/>
      <c r="G665" s="8">
        <f>IF($B665="","",VLOOKUP($B665,Jogos!$A$2:$K$105,9,FALSE))</f>
        <v/>
      </c>
      <c r="H665" s="8">
        <f>IF($B665="","",VLOOKUP($B665,Jogos!$A$2:$K$105,11,FALSE))</f>
        <v/>
      </c>
      <c r="I665" s="5">
        <f>IF(OR($A665="", $B665="", $E665="", $F665="", $G665="", $H665=""), "",IF(AND($E665=$G665, $F665=$H665), 3, IF(SIGN($E665-$F665)=SIGN($G665-$H665), 1, 0))))</f>
        <v/>
      </c>
    </row>
    <row r="666">
      <c r="A666" s="5" t="inlineStr"/>
      <c r="B666" s="5" t="inlineStr"/>
      <c r="C666" s="5">
        <f>IF($B666="","",VLOOKUP($B666,Jogos!$A$2:$K$105,8,FALSE))</f>
        <v/>
      </c>
      <c r="D666" s="5">
        <f>IF($B666="","",VLOOKUP($B666,Jogos!$A$2:$K$105,10,FALSE))</f>
        <v/>
      </c>
      <c r="E666" s="5" t="inlineStr"/>
      <c r="F666" s="5" t="inlineStr"/>
      <c r="G666" s="8">
        <f>IF($B666="","",VLOOKUP($B666,Jogos!$A$2:$K$105,9,FALSE))</f>
        <v/>
      </c>
      <c r="H666" s="8">
        <f>IF($B666="","",VLOOKUP($B666,Jogos!$A$2:$K$105,11,FALSE))</f>
        <v/>
      </c>
      <c r="I666" s="5">
        <f>IF(OR($A666="", $B666="", $E666="", $F666="", $G666="", $H666=""), "",IF(AND($E666=$G666, $F666=$H666), 3, IF(SIGN($E666-$F666)=SIGN($G666-$H666), 1, 0))))</f>
        <v/>
      </c>
    </row>
    <row r="667">
      <c r="A667" s="5" t="inlineStr"/>
      <c r="B667" s="5" t="inlineStr"/>
      <c r="C667" s="5">
        <f>IF($B667="","",VLOOKUP($B667,Jogos!$A$2:$K$105,8,FALSE))</f>
        <v/>
      </c>
      <c r="D667" s="5">
        <f>IF($B667="","",VLOOKUP($B667,Jogos!$A$2:$K$105,10,FALSE))</f>
        <v/>
      </c>
      <c r="E667" s="5" t="inlineStr"/>
      <c r="F667" s="5" t="inlineStr"/>
      <c r="G667" s="8">
        <f>IF($B667="","",VLOOKUP($B667,Jogos!$A$2:$K$105,9,FALSE))</f>
        <v/>
      </c>
      <c r="H667" s="8">
        <f>IF($B667="","",VLOOKUP($B667,Jogos!$A$2:$K$105,11,FALSE))</f>
        <v/>
      </c>
      <c r="I667" s="5">
        <f>IF(OR($A667="", $B667="", $E667="", $F667="", $G667="", $H667=""), "",IF(AND($E667=$G667, $F667=$H667), 3, IF(SIGN($E667-$F667)=SIGN($G667-$H667), 1, 0))))</f>
        <v/>
      </c>
    </row>
    <row r="668">
      <c r="A668" s="5" t="inlineStr"/>
      <c r="B668" s="5" t="inlineStr"/>
      <c r="C668" s="5">
        <f>IF($B668="","",VLOOKUP($B668,Jogos!$A$2:$K$105,8,FALSE))</f>
        <v/>
      </c>
      <c r="D668" s="5">
        <f>IF($B668="","",VLOOKUP($B668,Jogos!$A$2:$K$105,10,FALSE))</f>
        <v/>
      </c>
      <c r="E668" s="5" t="inlineStr"/>
      <c r="F668" s="5" t="inlineStr"/>
      <c r="G668" s="8">
        <f>IF($B668="","",VLOOKUP($B668,Jogos!$A$2:$K$105,9,FALSE))</f>
        <v/>
      </c>
      <c r="H668" s="8">
        <f>IF($B668="","",VLOOKUP($B668,Jogos!$A$2:$K$105,11,FALSE))</f>
        <v/>
      </c>
      <c r="I668" s="5">
        <f>IF(OR($A668="", $B668="", $E668="", $F668="", $G668="", $H668=""), "",IF(AND($E668=$G668, $F668=$H668), 3, IF(SIGN($E668-$F668)=SIGN($G668-$H668), 1, 0))))</f>
        <v/>
      </c>
    </row>
    <row r="669">
      <c r="A669" s="5" t="inlineStr"/>
      <c r="B669" s="5" t="inlineStr"/>
      <c r="C669" s="5">
        <f>IF($B669="","",VLOOKUP($B669,Jogos!$A$2:$K$105,8,FALSE))</f>
        <v/>
      </c>
      <c r="D669" s="5">
        <f>IF($B669="","",VLOOKUP($B669,Jogos!$A$2:$K$105,10,FALSE))</f>
        <v/>
      </c>
      <c r="E669" s="5" t="inlineStr"/>
      <c r="F669" s="5" t="inlineStr"/>
      <c r="G669" s="8">
        <f>IF($B669="","",VLOOKUP($B669,Jogos!$A$2:$K$105,9,FALSE))</f>
        <v/>
      </c>
      <c r="H669" s="8">
        <f>IF($B669="","",VLOOKUP($B669,Jogos!$A$2:$K$105,11,FALSE))</f>
        <v/>
      </c>
      <c r="I669" s="5">
        <f>IF(OR($A669="", $B669="", $E669="", $F669="", $G669="", $H669=""), "",IF(AND($E669=$G669, $F669=$H669), 3, IF(SIGN($E669-$F669)=SIGN($G669-$H669), 1, 0))))</f>
        <v/>
      </c>
    </row>
    <row r="670">
      <c r="A670" s="5" t="inlineStr"/>
      <c r="B670" s="5" t="inlineStr"/>
      <c r="C670" s="5">
        <f>IF($B670="","",VLOOKUP($B670,Jogos!$A$2:$K$105,8,FALSE))</f>
        <v/>
      </c>
      <c r="D670" s="5">
        <f>IF($B670="","",VLOOKUP($B670,Jogos!$A$2:$K$105,10,FALSE))</f>
        <v/>
      </c>
      <c r="E670" s="5" t="inlineStr"/>
      <c r="F670" s="5" t="inlineStr"/>
      <c r="G670" s="8">
        <f>IF($B670="","",VLOOKUP($B670,Jogos!$A$2:$K$105,9,FALSE))</f>
        <v/>
      </c>
      <c r="H670" s="8">
        <f>IF($B670="","",VLOOKUP($B670,Jogos!$A$2:$K$105,11,FALSE))</f>
        <v/>
      </c>
      <c r="I670" s="5">
        <f>IF(OR($A670="", $B670="", $E670="", $F670="", $G670="", $H670=""), "",IF(AND($E670=$G670, $F670=$H670), 3, IF(SIGN($E670-$F670)=SIGN($G670-$H670), 1, 0))))</f>
        <v/>
      </c>
    </row>
    <row r="671">
      <c r="A671" s="5" t="inlineStr"/>
      <c r="B671" s="5" t="inlineStr"/>
      <c r="C671" s="5">
        <f>IF($B671="","",VLOOKUP($B671,Jogos!$A$2:$K$105,8,FALSE))</f>
        <v/>
      </c>
      <c r="D671" s="5">
        <f>IF($B671="","",VLOOKUP($B671,Jogos!$A$2:$K$105,10,FALSE))</f>
        <v/>
      </c>
      <c r="E671" s="5" t="inlineStr"/>
      <c r="F671" s="5" t="inlineStr"/>
      <c r="G671" s="8">
        <f>IF($B671="","",VLOOKUP($B671,Jogos!$A$2:$K$105,9,FALSE))</f>
        <v/>
      </c>
      <c r="H671" s="8">
        <f>IF($B671="","",VLOOKUP($B671,Jogos!$A$2:$K$105,11,FALSE))</f>
        <v/>
      </c>
      <c r="I671" s="5">
        <f>IF(OR($A671="", $B671="", $E671="", $F671="", $G671="", $H671=""), "",IF(AND($E671=$G671, $F671=$H671), 3, IF(SIGN($E671-$F671)=SIGN($G671-$H671), 1, 0))))</f>
        <v/>
      </c>
    </row>
    <row r="672">
      <c r="A672" s="5" t="inlineStr"/>
      <c r="B672" s="5" t="inlineStr"/>
      <c r="C672" s="5">
        <f>IF($B672="","",VLOOKUP($B672,Jogos!$A$2:$K$105,8,FALSE))</f>
        <v/>
      </c>
      <c r="D672" s="5">
        <f>IF($B672="","",VLOOKUP($B672,Jogos!$A$2:$K$105,10,FALSE))</f>
        <v/>
      </c>
      <c r="E672" s="5" t="inlineStr"/>
      <c r="F672" s="5" t="inlineStr"/>
      <c r="G672" s="8">
        <f>IF($B672="","",VLOOKUP($B672,Jogos!$A$2:$K$105,9,FALSE))</f>
        <v/>
      </c>
      <c r="H672" s="8">
        <f>IF($B672="","",VLOOKUP($B672,Jogos!$A$2:$K$105,11,FALSE))</f>
        <v/>
      </c>
      <c r="I672" s="5">
        <f>IF(OR($A672="", $B672="", $E672="", $F672="", $G672="", $H672=""), "",IF(AND($E672=$G672, $F672=$H672), 3, IF(SIGN($E672-$F672)=SIGN($G672-$H672), 1, 0))))</f>
        <v/>
      </c>
    </row>
    <row r="673">
      <c r="A673" s="5" t="inlineStr"/>
      <c r="B673" s="5" t="inlineStr"/>
      <c r="C673" s="5">
        <f>IF($B673="","",VLOOKUP($B673,Jogos!$A$2:$K$105,8,FALSE))</f>
        <v/>
      </c>
      <c r="D673" s="5">
        <f>IF($B673="","",VLOOKUP($B673,Jogos!$A$2:$K$105,10,FALSE))</f>
        <v/>
      </c>
      <c r="E673" s="5" t="inlineStr"/>
      <c r="F673" s="5" t="inlineStr"/>
      <c r="G673" s="8">
        <f>IF($B673="","",VLOOKUP($B673,Jogos!$A$2:$K$105,9,FALSE))</f>
        <v/>
      </c>
      <c r="H673" s="8">
        <f>IF($B673="","",VLOOKUP($B673,Jogos!$A$2:$K$105,11,FALSE))</f>
        <v/>
      </c>
      <c r="I673" s="5">
        <f>IF(OR($A673="", $B673="", $E673="", $F673="", $G673="", $H673=""), "",IF(AND($E673=$G673, $F673=$H673), 3, IF(SIGN($E673-$F673)=SIGN($G673-$H673), 1, 0))))</f>
        <v/>
      </c>
    </row>
    <row r="674">
      <c r="A674" s="5" t="inlineStr"/>
      <c r="B674" s="5" t="inlineStr"/>
      <c r="C674" s="5">
        <f>IF($B674="","",VLOOKUP($B674,Jogos!$A$2:$K$105,8,FALSE))</f>
        <v/>
      </c>
      <c r="D674" s="5">
        <f>IF($B674="","",VLOOKUP($B674,Jogos!$A$2:$K$105,10,FALSE))</f>
        <v/>
      </c>
      <c r="E674" s="5" t="inlineStr"/>
      <c r="F674" s="5" t="inlineStr"/>
      <c r="G674" s="8">
        <f>IF($B674="","",VLOOKUP($B674,Jogos!$A$2:$K$105,9,FALSE))</f>
        <v/>
      </c>
      <c r="H674" s="8">
        <f>IF($B674="","",VLOOKUP($B674,Jogos!$A$2:$K$105,11,FALSE))</f>
        <v/>
      </c>
      <c r="I674" s="5">
        <f>IF(OR($A674="", $B674="", $E674="", $F674="", $G674="", $H674=""), "",IF(AND($E674=$G674, $F674=$H674), 3, IF(SIGN($E674-$F674)=SIGN($G674-$H674), 1, 0))))</f>
        <v/>
      </c>
    </row>
    <row r="675">
      <c r="A675" s="5" t="inlineStr"/>
      <c r="B675" s="5" t="inlineStr"/>
      <c r="C675" s="5">
        <f>IF($B675="","",VLOOKUP($B675,Jogos!$A$2:$K$105,8,FALSE))</f>
        <v/>
      </c>
      <c r="D675" s="5">
        <f>IF($B675="","",VLOOKUP($B675,Jogos!$A$2:$K$105,10,FALSE))</f>
        <v/>
      </c>
      <c r="E675" s="5" t="inlineStr"/>
      <c r="F675" s="5" t="inlineStr"/>
      <c r="G675" s="8">
        <f>IF($B675="","",VLOOKUP($B675,Jogos!$A$2:$K$105,9,FALSE))</f>
        <v/>
      </c>
      <c r="H675" s="8">
        <f>IF($B675="","",VLOOKUP($B675,Jogos!$A$2:$K$105,11,FALSE))</f>
        <v/>
      </c>
      <c r="I675" s="5">
        <f>IF(OR($A675="", $B675="", $E675="", $F675="", $G675="", $H675=""), "",IF(AND($E675=$G675, $F675=$H675), 3, IF(SIGN($E675-$F675)=SIGN($G675-$H675), 1, 0))))</f>
        <v/>
      </c>
    </row>
    <row r="676">
      <c r="A676" s="5" t="inlineStr"/>
      <c r="B676" s="5" t="inlineStr"/>
      <c r="C676" s="5">
        <f>IF($B676="","",VLOOKUP($B676,Jogos!$A$2:$K$105,8,FALSE))</f>
        <v/>
      </c>
      <c r="D676" s="5">
        <f>IF($B676="","",VLOOKUP($B676,Jogos!$A$2:$K$105,10,FALSE))</f>
        <v/>
      </c>
      <c r="E676" s="5" t="inlineStr"/>
      <c r="F676" s="5" t="inlineStr"/>
      <c r="G676" s="8">
        <f>IF($B676="","",VLOOKUP($B676,Jogos!$A$2:$K$105,9,FALSE))</f>
        <v/>
      </c>
      <c r="H676" s="8">
        <f>IF($B676="","",VLOOKUP($B676,Jogos!$A$2:$K$105,11,FALSE))</f>
        <v/>
      </c>
      <c r="I676" s="5">
        <f>IF(OR($A676="", $B676="", $E676="", $F676="", $G676="", $H676=""), "",IF(AND($E676=$G676, $F676=$H676), 3, IF(SIGN($E676-$F676)=SIGN($G676-$H676), 1, 0))))</f>
        <v/>
      </c>
    </row>
    <row r="677">
      <c r="A677" s="5" t="inlineStr"/>
      <c r="B677" s="5" t="inlineStr"/>
      <c r="C677" s="5">
        <f>IF($B677="","",VLOOKUP($B677,Jogos!$A$2:$K$105,8,FALSE))</f>
        <v/>
      </c>
      <c r="D677" s="5">
        <f>IF($B677="","",VLOOKUP($B677,Jogos!$A$2:$K$105,10,FALSE))</f>
        <v/>
      </c>
      <c r="E677" s="5" t="inlineStr"/>
      <c r="F677" s="5" t="inlineStr"/>
      <c r="G677" s="8">
        <f>IF($B677="","",VLOOKUP($B677,Jogos!$A$2:$K$105,9,FALSE))</f>
        <v/>
      </c>
      <c r="H677" s="8">
        <f>IF($B677="","",VLOOKUP($B677,Jogos!$A$2:$K$105,11,FALSE))</f>
        <v/>
      </c>
      <c r="I677" s="5">
        <f>IF(OR($A677="", $B677="", $E677="", $F677="", $G677="", $H677=""), "",IF(AND($E677=$G677, $F677=$H677), 3, IF(SIGN($E677-$F677)=SIGN($G677-$H677), 1, 0))))</f>
        <v/>
      </c>
    </row>
    <row r="678">
      <c r="A678" s="5" t="inlineStr"/>
      <c r="B678" s="5" t="inlineStr"/>
      <c r="C678" s="5">
        <f>IF($B678="","",VLOOKUP($B678,Jogos!$A$2:$K$105,8,FALSE))</f>
        <v/>
      </c>
      <c r="D678" s="5">
        <f>IF($B678="","",VLOOKUP($B678,Jogos!$A$2:$K$105,10,FALSE))</f>
        <v/>
      </c>
      <c r="E678" s="5" t="inlineStr"/>
      <c r="F678" s="5" t="inlineStr"/>
      <c r="G678" s="8">
        <f>IF($B678="","",VLOOKUP($B678,Jogos!$A$2:$K$105,9,FALSE))</f>
        <v/>
      </c>
      <c r="H678" s="8">
        <f>IF($B678="","",VLOOKUP($B678,Jogos!$A$2:$K$105,11,FALSE))</f>
        <v/>
      </c>
      <c r="I678" s="5">
        <f>IF(OR($A678="", $B678="", $E678="", $F678="", $G678="", $H678=""), "",IF(AND($E678=$G678, $F678=$H678), 3, IF(SIGN($E678-$F678)=SIGN($G678-$H678), 1, 0))))</f>
        <v/>
      </c>
    </row>
    <row r="679">
      <c r="A679" s="5" t="inlineStr"/>
      <c r="B679" s="5" t="inlineStr"/>
      <c r="C679" s="5">
        <f>IF($B679="","",VLOOKUP($B679,Jogos!$A$2:$K$105,8,FALSE))</f>
        <v/>
      </c>
      <c r="D679" s="5">
        <f>IF($B679="","",VLOOKUP($B679,Jogos!$A$2:$K$105,10,FALSE))</f>
        <v/>
      </c>
      <c r="E679" s="5" t="inlineStr"/>
      <c r="F679" s="5" t="inlineStr"/>
      <c r="G679" s="8">
        <f>IF($B679="","",VLOOKUP($B679,Jogos!$A$2:$K$105,9,FALSE))</f>
        <v/>
      </c>
      <c r="H679" s="8">
        <f>IF($B679="","",VLOOKUP($B679,Jogos!$A$2:$K$105,11,FALSE))</f>
        <v/>
      </c>
      <c r="I679" s="5">
        <f>IF(OR($A679="", $B679="", $E679="", $F679="", $G679="", $H679=""), "",IF(AND($E679=$G679, $F679=$H679), 3, IF(SIGN($E679-$F679)=SIGN($G679-$H679), 1, 0))))</f>
        <v/>
      </c>
    </row>
    <row r="680">
      <c r="A680" s="5" t="inlineStr"/>
      <c r="B680" s="5" t="inlineStr"/>
      <c r="C680" s="5">
        <f>IF($B680="","",VLOOKUP($B680,Jogos!$A$2:$K$105,8,FALSE))</f>
        <v/>
      </c>
      <c r="D680" s="5">
        <f>IF($B680="","",VLOOKUP($B680,Jogos!$A$2:$K$105,10,FALSE))</f>
        <v/>
      </c>
      <c r="E680" s="5" t="inlineStr"/>
      <c r="F680" s="5" t="inlineStr"/>
      <c r="G680" s="8">
        <f>IF($B680="","",VLOOKUP($B680,Jogos!$A$2:$K$105,9,FALSE))</f>
        <v/>
      </c>
      <c r="H680" s="8">
        <f>IF($B680="","",VLOOKUP($B680,Jogos!$A$2:$K$105,11,FALSE))</f>
        <v/>
      </c>
      <c r="I680" s="5">
        <f>IF(OR($A680="", $B680="", $E680="", $F680="", $G680="", $H680=""), "",IF(AND($E680=$G680, $F680=$H680), 3, IF(SIGN($E680-$F680)=SIGN($G680-$H680), 1, 0))))</f>
        <v/>
      </c>
    </row>
    <row r="681">
      <c r="A681" s="5" t="inlineStr"/>
      <c r="B681" s="5" t="inlineStr"/>
      <c r="C681" s="5">
        <f>IF($B681="","",VLOOKUP($B681,Jogos!$A$2:$K$105,8,FALSE))</f>
        <v/>
      </c>
      <c r="D681" s="5">
        <f>IF($B681="","",VLOOKUP($B681,Jogos!$A$2:$K$105,10,FALSE))</f>
        <v/>
      </c>
      <c r="E681" s="5" t="inlineStr"/>
      <c r="F681" s="5" t="inlineStr"/>
      <c r="G681" s="8">
        <f>IF($B681="","",VLOOKUP($B681,Jogos!$A$2:$K$105,9,FALSE))</f>
        <v/>
      </c>
      <c r="H681" s="8">
        <f>IF($B681="","",VLOOKUP($B681,Jogos!$A$2:$K$105,11,FALSE))</f>
        <v/>
      </c>
      <c r="I681" s="5">
        <f>IF(OR($A681="", $B681="", $E681="", $F681="", $G681="", $H681=""), "",IF(AND($E681=$G681, $F681=$H681), 3, IF(SIGN($E681-$F681)=SIGN($G681-$H681), 1, 0))))</f>
        <v/>
      </c>
    </row>
    <row r="682">
      <c r="A682" s="5" t="inlineStr"/>
      <c r="B682" s="5" t="inlineStr"/>
      <c r="C682" s="5">
        <f>IF($B682="","",VLOOKUP($B682,Jogos!$A$2:$K$105,8,FALSE))</f>
        <v/>
      </c>
      <c r="D682" s="5">
        <f>IF($B682="","",VLOOKUP($B682,Jogos!$A$2:$K$105,10,FALSE))</f>
        <v/>
      </c>
      <c r="E682" s="5" t="inlineStr"/>
      <c r="F682" s="5" t="inlineStr"/>
      <c r="G682" s="8">
        <f>IF($B682="","",VLOOKUP($B682,Jogos!$A$2:$K$105,9,FALSE))</f>
        <v/>
      </c>
      <c r="H682" s="8">
        <f>IF($B682="","",VLOOKUP($B682,Jogos!$A$2:$K$105,11,FALSE))</f>
        <v/>
      </c>
      <c r="I682" s="5">
        <f>IF(OR($A682="", $B682="", $E682="", $F682="", $G682="", $H682=""), "",IF(AND($E682=$G682, $F682=$H682), 3, IF(SIGN($E682-$F682)=SIGN($G682-$H682), 1, 0))))</f>
        <v/>
      </c>
    </row>
    <row r="683">
      <c r="A683" s="5" t="inlineStr"/>
      <c r="B683" s="5" t="inlineStr"/>
      <c r="C683" s="5">
        <f>IF($B683="","",VLOOKUP($B683,Jogos!$A$2:$K$105,8,FALSE))</f>
        <v/>
      </c>
      <c r="D683" s="5">
        <f>IF($B683="","",VLOOKUP($B683,Jogos!$A$2:$K$105,10,FALSE))</f>
        <v/>
      </c>
      <c r="E683" s="5" t="inlineStr"/>
      <c r="F683" s="5" t="inlineStr"/>
      <c r="G683" s="8">
        <f>IF($B683="","",VLOOKUP($B683,Jogos!$A$2:$K$105,9,FALSE))</f>
        <v/>
      </c>
      <c r="H683" s="8">
        <f>IF($B683="","",VLOOKUP($B683,Jogos!$A$2:$K$105,11,FALSE))</f>
        <v/>
      </c>
      <c r="I683" s="5">
        <f>IF(OR($A683="", $B683="", $E683="", $F683="", $G683="", $H683=""), "",IF(AND($E683=$G683, $F683=$H683), 3, IF(SIGN($E683-$F683)=SIGN($G683-$H683), 1, 0))))</f>
        <v/>
      </c>
    </row>
    <row r="684">
      <c r="A684" s="5" t="inlineStr"/>
      <c r="B684" s="5" t="inlineStr"/>
      <c r="C684" s="5">
        <f>IF($B684="","",VLOOKUP($B684,Jogos!$A$2:$K$105,8,FALSE))</f>
        <v/>
      </c>
      <c r="D684" s="5">
        <f>IF($B684="","",VLOOKUP($B684,Jogos!$A$2:$K$105,10,FALSE))</f>
        <v/>
      </c>
      <c r="E684" s="5" t="inlineStr"/>
      <c r="F684" s="5" t="inlineStr"/>
      <c r="G684" s="8">
        <f>IF($B684="","",VLOOKUP($B684,Jogos!$A$2:$K$105,9,FALSE))</f>
        <v/>
      </c>
      <c r="H684" s="8">
        <f>IF($B684="","",VLOOKUP($B684,Jogos!$A$2:$K$105,11,FALSE))</f>
        <v/>
      </c>
      <c r="I684" s="5">
        <f>IF(OR($A684="", $B684="", $E684="", $F684="", $G684="", $H684=""), "",IF(AND($E684=$G684, $F684=$H684), 3, IF(SIGN($E684-$F684)=SIGN($G684-$H684), 1, 0))))</f>
        <v/>
      </c>
    </row>
    <row r="685">
      <c r="A685" s="5" t="inlineStr"/>
      <c r="B685" s="5" t="inlineStr"/>
      <c r="C685" s="5">
        <f>IF($B685="","",VLOOKUP($B685,Jogos!$A$2:$K$105,8,FALSE))</f>
        <v/>
      </c>
      <c r="D685" s="5">
        <f>IF($B685="","",VLOOKUP($B685,Jogos!$A$2:$K$105,10,FALSE))</f>
        <v/>
      </c>
      <c r="E685" s="5" t="inlineStr"/>
      <c r="F685" s="5" t="inlineStr"/>
      <c r="G685" s="8">
        <f>IF($B685="","",VLOOKUP($B685,Jogos!$A$2:$K$105,9,FALSE))</f>
        <v/>
      </c>
      <c r="H685" s="8">
        <f>IF($B685="","",VLOOKUP($B685,Jogos!$A$2:$K$105,11,FALSE))</f>
        <v/>
      </c>
      <c r="I685" s="5">
        <f>IF(OR($A685="", $B685="", $E685="", $F685="", $G685="", $H685=""), "",IF(AND($E685=$G685, $F685=$H685), 3, IF(SIGN($E685-$F685)=SIGN($G685-$H685), 1, 0))))</f>
        <v/>
      </c>
    </row>
    <row r="686">
      <c r="A686" s="5" t="inlineStr"/>
      <c r="B686" s="5" t="inlineStr"/>
      <c r="C686" s="5">
        <f>IF($B686="","",VLOOKUP($B686,Jogos!$A$2:$K$105,8,FALSE))</f>
        <v/>
      </c>
      <c r="D686" s="5">
        <f>IF($B686="","",VLOOKUP($B686,Jogos!$A$2:$K$105,10,FALSE))</f>
        <v/>
      </c>
      <c r="E686" s="5" t="inlineStr"/>
      <c r="F686" s="5" t="inlineStr"/>
      <c r="G686" s="8">
        <f>IF($B686="","",VLOOKUP($B686,Jogos!$A$2:$K$105,9,FALSE))</f>
        <v/>
      </c>
      <c r="H686" s="8">
        <f>IF($B686="","",VLOOKUP($B686,Jogos!$A$2:$K$105,11,FALSE))</f>
        <v/>
      </c>
      <c r="I686" s="5">
        <f>IF(OR($A686="", $B686="", $E686="", $F686="", $G686="", $H686=""), "",IF(AND($E686=$G686, $F686=$H686), 3, IF(SIGN($E686-$F686)=SIGN($G686-$H686), 1, 0))))</f>
        <v/>
      </c>
    </row>
    <row r="687">
      <c r="A687" s="5" t="inlineStr"/>
      <c r="B687" s="5" t="inlineStr"/>
      <c r="C687" s="5">
        <f>IF($B687="","",VLOOKUP($B687,Jogos!$A$2:$K$105,8,FALSE))</f>
        <v/>
      </c>
      <c r="D687" s="5">
        <f>IF($B687="","",VLOOKUP($B687,Jogos!$A$2:$K$105,10,FALSE))</f>
        <v/>
      </c>
      <c r="E687" s="5" t="inlineStr"/>
      <c r="F687" s="5" t="inlineStr"/>
      <c r="G687" s="8">
        <f>IF($B687="","",VLOOKUP($B687,Jogos!$A$2:$K$105,9,FALSE))</f>
        <v/>
      </c>
      <c r="H687" s="8">
        <f>IF($B687="","",VLOOKUP($B687,Jogos!$A$2:$K$105,11,FALSE))</f>
        <v/>
      </c>
      <c r="I687" s="5">
        <f>IF(OR($A687="", $B687="", $E687="", $F687="", $G687="", $H687=""), "",IF(AND($E687=$G687, $F687=$H687), 3, IF(SIGN($E687-$F687)=SIGN($G687-$H687), 1, 0))))</f>
        <v/>
      </c>
    </row>
    <row r="688">
      <c r="A688" s="5" t="inlineStr"/>
      <c r="B688" s="5" t="inlineStr"/>
      <c r="C688" s="5">
        <f>IF($B688="","",VLOOKUP($B688,Jogos!$A$2:$K$105,8,FALSE))</f>
        <v/>
      </c>
      <c r="D688" s="5">
        <f>IF($B688="","",VLOOKUP($B688,Jogos!$A$2:$K$105,10,FALSE))</f>
        <v/>
      </c>
      <c r="E688" s="5" t="inlineStr"/>
      <c r="F688" s="5" t="inlineStr"/>
      <c r="G688" s="8">
        <f>IF($B688="","",VLOOKUP($B688,Jogos!$A$2:$K$105,9,FALSE))</f>
        <v/>
      </c>
      <c r="H688" s="8">
        <f>IF($B688="","",VLOOKUP($B688,Jogos!$A$2:$K$105,11,FALSE))</f>
        <v/>
      </c>
      <c r="I688" s="5">
        <f>IF(OR($A688="", $B688="", $E688="", $F688="", $G688="", $H688=""), "",IF(AND($E688=$G688, $F688=$H688), 3, IF(SIGN($E688-$F688)=SIGN($G688-$H688), 1, 0))))</f>
        <v/>
      </c>
    </row>
    <row r="689">
      <c r="A689" s="5" t="inlineStr"/>
      <c r="B689" s="5" t="inlineStr"/>
      <c r="C689" s="5">
        <f>IF($B689="","",VLOOKUP($B689,Jogos!$A$2:$K$105,8,FALSE))</f>
        <v/>
      </c>
      <c r="D689" s="5">
        <f>IF($B689="","",VLOOKUP($B689,Jogos!$A$2:$K$105,10,FALSE))</f>
        <v/>
      </c>
      <c r="E689" s="5" t="inlineStr"/>
      <c r="F689" s="5" t="inlineStr"/>
      <c r="G689" s="8">
        <f>IF($B689="","",VLOOKUP($B689,Jogos!$A$2:$K$105,9,FALSE))</f>
        <v/>
      </c>
      <c r="H689" s="8">
        <f>IF($B689="","",VLOOKUP($B689,Jogos!$A$2:$K$105,11,FALSE))</f>
        <v/>
      </c>
      <c r="I689" s="5">
        <f>IF(OR($A689="", $B689="", $E689="", $F689="", $G689="", $H689=""), "",IF(AND($E689=$G689, $F689=$H689), 3, IF(SIGN($E689-$F689)=SIGN($G689-$H689), 1, 0))))</f>
        <v/>
      </c>
    </row>
    <row r="690">
      <c r="A690" s="5" t="inlineStr"/>
      <c r="B690" s="5" t="inlineStr"/>
      <c r="C690" s="5">
        <f>IF($B690="","",VLOOKUP($B690,Jogos!$A$2:$K$105,8,FALSE))</f>
        <v/>
      </c>
      <c r="D690" s="5">
        <f>IF($B690="","",VLOOKUP($B690,Jogos!$A$2:$K$105,10,FALSE))</f>
        <v/>
      </c>
      <c r="E690" s="5" t="inlineStr"/>
      <c r="F690" s="5" t="inlineStr"/>
      <c r="G690" s="8">
        <f>IF($B690="","",VLOOKUP($B690,Jogos!$A$2:$K$105,9,FALSE))</f>
        <v/>
      </c>
      <c r="H690" s="8">
        <f>IF($B690="","",VLOOKUP($B690,Jogos!$A$2:$K$105,11,FALSE))</f>
        <v/>
      </c>
      <c r="I690" s="5">
        <f>IF(OR($A690="", $B690="", $E690="", $F690="", $G690="", $H690=""), "",IF(AND($E690=$G690, $F690=$H690), 3, IF(SIGN($E690-$F690)=SIGN($G690-$H690), 1, 0))))</f>
        <v/>
      </c>
    </row>
    <row r="691">
      <c r="A691" s="5" t="inlineStr"/>
      <c r="B691" s="5" t="inlineStr"/>
      <c r="C691" s="5">
        <f>IF($B691="","",VLOOKUP($B691,Jogos!$A$2:$K$105,8,FALSE))</f>
        <v/>
      </c>
      <c r="D691" s="5">
        <f>IF($B691="","",VLOOKUP($B691,Jogos!$A$2:$K$105,10,FALSE))</f>
        <v/>
      </c>
      <c r="E691" s="5" t="inlineStr"/>
      <c r="F691" s="5" t="inlineStr"/>
      <c r="G691" s="8">
        <f>IF($B691="","",VLOOKUP($B691,Jogos!$A$2:$K$105,9,FALSE))</f>
        <v/>
      </c>
      <c r="H691" s="8">
        <f>IF($B691="","",VLOOKUP($B691,Jogos!$A$2:$K$105,11,FALSE))</f>
        <v/>
      </c>
      <c r="I691" s="5">
        <f>IF(OR($A691="", $B691="", $E691="", $F691="", $G691="", $H691=""), "",IF(AND($E691=$G691, $F691=$H691), 3, IF(SIGN($E691-$F691)=SIGN($G691-$H691), 1, 0))))</f>
        <v/>
      </c>
    </row>
    <row r="692">
      <c r="A692" s="5" t="inlineStr"/>
      <c r="B692" s="5" t="inlineStr"/>
      <c r="C692" s="5">
        <f>IF($B692="","",VLOOKUP($B692,Jogos!$A$2:$K$105,8,FALSE))</f>
        <v/>
      </c>
      <c r="D692" s="5">
        <f>IF($B692="","",VLOOKUP($B692,Jogos!$A$2:$K$105,10,FALSE))</f>
        <v/>
      </c>
      <c r="E692" s="5" t="inlineStr"/>
      <c r="F692" s="5" t="inlineStr"/>
      <c r="G692" s="8">
        <f>IF($B692="","",VLOOKUP($B692,Jogos!$A$2:$K$105,9,FALSE))</f>
        <v/>
      </c>
      <c r="H692" s="8">
        <f>IF($B692="","",VLOOKUP($B692,Jogos!$A$2:$K$105,11,FALSE))</f>
        <v/>
      </c>
      <c r="I692" s="5">
        <f>IF(OR($A692="", $B692="", $E692="", $F692="", $G692="", $H692=""), "",IF(AND($E692=$G692, $F692=$H692), 3, IF(SIGN($E692-$F692)=SIGN($G692-$H692), 1, 0))))</f>
        <v/>
      </c>
    </row>
    <row r="693">
      <c r="A693" s="5" t="inlineStr"/>
      <c r="B693" s="5" t="inlineStr"/>
      <c r="C693" s="5">
        <f>IF($B693="","",VLOOKUP($B693,Jogos!$A$2:$K$105,8,FALSE))</f>
        <v/>
      </c>
      <c r="D693" s="5">
        <f>IF($B693="","",VLOOKUP($B693,Jogos!$A$2:$K$105,10,FALSE))</f>
        <v/>
      </c>
      <c r="E693" s="5" t="inlineStr"/>
      <c r="F693" s="5" t="inlineStr"/>
      <c r="G693" s="8">
        <f>IF($B693="","",VLOOKUP($B693,Jogos!$A$2:$K$105,9,FALSE))</f>
        <v/>
      </c>
      <c r="H693" s="8">
        <f>IF($B693="","",VLOOKUP($B693,Jogos!$A$2:$K$105,11,FALSE))</f>
        <v/>
      </c>
      <c r="I693" s="5">
        <f>IF(OR($A693="", $B693="", $E693="", $F693="", $G693="", $H693=""), "",IF(AND($E693=$G693, $F693=$H693), 3, IF(SIGN($E693-$F693)=SIGN($G693-$H693), 1, 0))))</f>
        <v/>
      </c>
    </row>
    <row r="694">
      <c r="A694" s="5" t="inlineStr"/>
      <c r="B694" s="5" t="inlineStr"/>
      <c r="C694" s="5">
        <f>IF($B694="","",VLOOKUP($B694,Jogos!$A$2:$K$105,8,FALSE))</f>
        <v/>
      </c>
      <c r="D694" s="5">
        <f>IF($B694="","",VLOOKUP($B694,Jogos!$A$2:$K$105,10,FALSE))</f>
        <v/>
      </c>
      <c r="E694" s="5" t="inlineStr"/>
      <c r="F694" s="5" t="inlineStr"/>
      <c r="G694" s="8">
        <f>IF($B694="","",VLOOKUP($B694,Jogos!$A$2:$K$105,9,FALSE))</f>
        <v/>
      </c>
      <c r="H694" s="8">
        <f>IF($B694="","",VLOOKUP($B694,Jogos!$A$2:$K$105,11,FALSE))</f>
        <v/>
      </c>
      <c r="I694" s="5">
        <f>IF(OR($A694="", $B694="", $E694="", $F694="", $G694="", $H694=""), "",IF(AND($E694=$G694, $F694=$H694), 3, IF(SIGN($E694-$F694)=SIGN($G694-$H694), 1, 0))))</f>
        <v/>
      </c>
    </row>
    <row r="695">
      <c r="A695" s="5" t="inlineStr"/>
      <c r="B695" s="5" t="inlineStr"/>
      <c r="C695" s="5">
        <f>IF($B695="","",VLOOKUP($B695,Jogos!$A$2:$K$105,8,FALSE))</f>
        <v/>
      </c>
      <c r="D695" s="5">
        <f>IF($B695="","",VLOOKUP($B695,Jogos!$A$2:$K$105,10,FALSE))</f>
        <v/>
      </c>
      <c r="E695" s="5" t="inlineStr"/>
      <c r="F695" s="5" t="inlineStr"/>
      <c r="G695" s="8">
        <f>IF($B695="","",VLOOKUP($B695,Jogos!$A$2:$K$105,9,FALSE))</f>
        <v/>
      </c>
      <c r="H695" s="8">
        <f>IF($B695="","",VLOOKUP($B695,Jogos!$A$2:$K$105,11,FALSE))</f>
        <v/>
      </c>
      <c r="I695" s="5">
        <f>IF(OR($A695="", $B695="", $E695="", $F695="", $G695="", $H695=""), "",IF(AND($E695=$G695, $F695=$H695), 3, IF(SIGN($E695-$F695)=SIGN($G695-$H695), 1, 0))))</f>
        <v/>
      </c>
    </row>
    <row r="696">
      <c r="A696" s="5" t="inlineStr"/>
      <c r="B696" s="5" t="inlineStr"/>
      <c r="C696" s="5">
        <f>IF($B696="","",VLOOKUP($B696,Jogos!$A$2:$K$105,8,FALSE))</f>
        <v/>
      </c>
      <c r="D696" s="5">
        <f>IF($B696="","",VLOOKUP($B696,Jogos!$A$2:$K$105,10,FALSE))</f>
        <v/>
      </c>
      <c r="E696" s="5" t="inlineStr"/>
      <c r="F696" s="5" t="inlineStr"/>
      <c r="G696" s="8">
        <f>IF($B696="","",VLOOKUP($B696,Jogos!$A$2:$K$105,9,FALSE))</f>
        <v/>
      </c>
      <c r="H696" s="8">
        <f>IF($B696="","",VLOOKUP($B696,Jogos!$A$2:$K$105,11,FALSE))</f>
        <v/>
      </c>
      <c r="I696" s="5">
        <f>IF(OR($A696="", $B696="", $E696="", $F696="", $G696="", $H696=""), "",IF(AND($E696=$G696, $F696=$H696), 3, IF(SIGN($E696-$F696)=SIGN($G696-$H696), 1, 0))))</f>
        <v/>
      </c>
    </row>
    <row r="697">
      <c r="A697" s="5" t="inlineStr"/>
      <c r="B697" s="5" t="inlineStr"/>
      <c r="C697" s="5">
        <f>IF($B697="","",VLOOKUP($B697,Jogos!$A$2:$K$105,8,FALSE))</f>
        <v/>
      </c>
      <c r="D697" s="5">
        <f>IF($B697="","",VLOOKUP($B697,Jogos!$A$2:$K$105,10,FALSE))</f>
        <v/>
      </c>
      <c r="E697" s="5" t="inlineStr"/>
      <c r="F697" s="5" t="inlineStr"/>
      <c r="G697" s="8">
        <f>IF($B697="","",VLOOKUP($B697,Jogos!$A$2:$K$105,9,FALSE))</f>
        <v/>
      </c>
      <c r="H697" s="8">
        <f>IF($B697="","",VLOOKUP($B697,Jogos!$A$2:$K$105,11,FALSE))</f>
        <v/>
      </c>
      <c r="I697" s="5">
        <f>IF(OR($A697="", $B697="", $E697="", $F697="", $G697="", $H697=""), "",IF(AND($E697=$G697, $F697=$H697), 3, IF(SIGN($E697-$F697)=SIGN($G697-$H697), 1, 0))))</f>
        <v/>
      </c>
    </row>
    <row r="698">
      <c r="A698" s="5" t="inlineStr"/>
      <c r="B698" s="5" t="inlineStr"/>
      <c r="C698" s="5">
        <f>IF($B698="","",VLOOKUP($B698,Jogos!$A$2:$K$105,8,FALSE))</f>
        <v/>
      </c>
      <c r="D698" s="5">
        <f>IF($B698="","",VLOOKUP($B698,Jogos!$A$2:$K$105,10,FALSE))</f>
        <v/>
      </c>
      <c r="E698" s="5" t="inlineStr"/>
      <c r="F698" s="5" t="inlineStr"/>
      <c r="G698" s="8">
        <f>IF($B698="","",VLOOKUP($B698,Jogos!$A$2:$K$105,9,FALSE))</f>
        <v/>
      </c>
      <c r="H698" s="8">
        <f>IF($B698="","",VLOOKUP($B698,Jogos!$A$2:$K$105,11,FALSE))</f>
        <v/>
      </c>
      <c r="I698" s="5">
        <f>IF(OR($A698="", $B698="", $E698="", $F698="", $G698="", $H698=""), "",IF(AND($E698=$G698, $F698=$H698), 3, IF(SIGN($E698-$F698)=SIGN($G698-$H698), 1, 0))))</f>
        <v/>
      </c>
    </row>
    <row r="699">
      <c r="A699" s="5" t="inlineStr"/>
      <c r="B699" s="5" t="inlineStr"/>
      <c r="C699" s="5">
        <f>IF($B699="","",VLOOKUP($B699,Jogos!$A$2:$K$105,8,FALSE))</f>
        <v/>
      </c>
      <c r="D699" s="5">
        <f>IF($B699="","",VLOOKUP($B699,Jogos!$A$2:$K$105,10,FALSE))</f>
        <v/>
      </c>
      <c r="E699" s="5" t="inlineStr"/>
      <c r="F699" s="5" t="inlineStr"/>
      <c r="G699" s="8">
        <f>IF($B699="","",VLOOKUP($B699,Jogos!$A$2:$K$105,9,FALSE))</f>
        <v/>
      </c>
      <c r="H699" s="8">
        <f>IF($B699="","",VLOOKUP($B699,Jogos!$A$2:$K$105,11,FALSE))</f>
        <v/>
      </c>
      <c r="I699" s="5">
        <f>IF(OR($A699="", $B699="", $E699="", $F699="", $G699="", $H699=""), "",IF(AND($E699=$G699, $F699=$H699), 3, IF(SIGN($E699-$F699)=SIGN($G699-$H699), 1, 0))))</f>
        <v/>
      </c>
    </row>
    <row r="700">
      <c r="A700" s="5" t="inlineStr"/>
      <c r="B700" s="5" t="inlineStr"/>
      <c r="C700" s="5">
        <f>IF($B700="","",VLOOKUP($B700,Jogos!$A$2:$K$105,8,FALSE))</f>
        <v/>
      </c>
      <c r="D700" s="5">
        <f>IF($B700="","",VLOOKUP($B700,Jogos!$A$2:$K$105,10,FALSE))</f>
        <v/>
      </c>
      <c r="E700" s="5" t="inlineStr"/>
      <c r="F700" s="5" t="inlineStr"/>
      <c r="G700" s="8">
        <f>IF($B700="","",VLOOKUP($B700,Jogos!$A$2:$K$105,9,FALSE))</f>
        <v/>
      </c>
      <c r="H700" s="8">
        <f>IF($B700="","",VLOOKUP($B700,Jogos!$A$2:$K$105,11,FALSE))</f>
        <v/>
      </c>
      <c r="I700" s="5">
        <f>IF(OR($A700="", $B700="", $E700="", $F700="", $G700="", $H700=""), "",IF(AND($E700=$G700, $F700=$H700), 3, IF(SIGN($E700-$F700)=SIGN($G700-$H700), 1, 0))))</f>
        <v/>
      </c>
    </row>
    <row r="701">
      <c r="A701" s="5" t="inlineStr"/>
      <c r="B701" s="5" t="inlineStr"/>
      <c r="C701" s="5">
        <f>IF($B701="","",VLOOKUP($B701,Jogos!$A$2:$K$105,8,FALSE))</f>
        <v/>
      </c>
      <c r="D701" s="5">
        <f>IF($B701="","",VLOOKUP($B701,Jogos!$A$2:$K$105,10,FALSE))</f>
        <v/>
      </c>
      <c r="E701" s="5" t="inlineStr"/>
      <c r="F701" s="5" t="inlineStr"/>
      <c r="G701" s="8">
        <f>IF($B701="","",VLOOKUP($B701,Jogos!$A$2:$K$105,9,FALSE))</f>
        <v/>
      </c>
      <c r="H701" s="8">
        <f>IF($B701="","",VLOOKUP($B701,Jogos!$A$2:$K$105,11,FALSE))</f>
        <v/>
      </c>
      <c r="I701" s="5">
        <f>IF(OR($A701="", $B701="", $E701="", $F701="", $G701="", $H701=""), "",IF(AND($E701=$G701, $F701=$H701), 3, IF(SIGN($E701-$F701)=SIGN($G701-$H701), 1, 0))))</f>
        <v/>
      </c>
    </row>
    <row r="702">
      <c r="A702" s="5" t="inlineStr"/>
      <c r="B702" s="5" t="inlineStr"/>
      <c r="C702" s="5">
        <f>IF($B702="","",VLOOKUP($B702,Jogos!$A$2:$K$105,8,FALSE))</f>
        <v/>
      </c>
      <c r="D702" s="5">
        <f>IF($B702="","",VLOOKUP($B702,Jogos!$A$2:$K$105,10,FALSE))</f>
        <v/>
      </c>
      <c r="E702" s="5" t="inlineStr"/>
      <c r="F702" s="5" t="inlineStr"/>
      <c r="G702" s="8">
        <f>IF($B702="","",VLOOKUP($B702,Jogos!$A$2:$K$105,9,FALSE))</f>
        <v/>
      </c>
      <c r="H702" s="8">
        <f>IF($B702="","",VLOOKUP($B702,Jogos!$A$2:$K$105,11,FALSE))</f>
        <v/>
      </c>
      <c r="I702" s="5">
        <f>IF(OR($A702="", $B702="", $E702="", $F702="", $G702="", $H702=""), "",IF(AND($E702=$G702, $F702=$H702), 3, IF(SIGN($E702-$F702)=SIGN($G702-$H702), 1, 0))))</f>
        <v/>
      </c>
    </row>
    <row r="703">
      <c r="A703" s="5" t="inlineStr"/>
      <c r="B703" s="5" t="inlineStr"/>
      <c r="C703" s="5">
        <f>IF($B703="","",VLOOKUP($B703,Jogos!$A$2:$K$105,8,FALSE))</f>
        <v/>
      </c>
      <c r="D703" s="5">
        <f>IF($B703="","",VLOOKUP($B703,Jogos!$A$2:$K$105,10,FALSE))</f>
        <v/>
      </c>
      <c r="E703" s="5" t="inlineStr"/>
      <c r="F703" s="5" t="inlineStr"/>
      <c r="G703" s="8">
        <f>IF($B703="","",VLOOKUP($B703,Jogos!$A$2:$K$105,9,FALSE))</f>
        <v/>
      </c>
      <c r="H703" s="8">
        <f>IF($B703="","",VLOOKUP($B703,Jogos!$A$2:$K$105,11,FALSE))</f>
        <v/>
      </c>
      <c r="I703" s="5">
        <f>IF(OR($A703="", $B703="", $E703="", $F703="", $G703="", $H703=""), "",IF(AND($E703=$G703, $F703=$H703), 3, IF(SIGN($E703-$F703)=SIGN($G703-$H703), 1, 0))))</f>
        <v/>
      </c>
    </row>
    <row r="704">
      <c r="A704" s="5" t="inlineStr"/>
      <c r="B704" s="5" t="inlineStr"/>
      <c r="C704" s="5">
        <f>IF($B704="","",VLOOKUP($B704,Jogos!$A$2:$K$105,8,FALSE))</f>
        <v/>
      </c>
      <c r="D704" s="5">
        <f>IF($B704="","",VLOOKUP($B704,Jogos!$A$2:$K$105,10,FALSE))</f>
        <v/>
      </c>
      <c r="E704" s="5" t="inlineStr"/>
      <c r="F704" s="5" t="inlineStr"/>
      <c r="G704" s="8">
        <f>IF($B704="","",VLOOKUP($B704,Jogos!$A$2:$K$105,9,FALSE))</f>
        <v/>
      </c>
      <c r="H704" s="8">
        <f>IF($B704="","",VLOOKUP($B704,Jogos!$A$2:$K$105,11,FALSE))</f>
        <v/>
      </c>
      <c r="I704" s="5">
        <f>IF(OR($A704="", $B704="", $E704="", $F704="", $G704="", $H704=""), "",IF(AND($E704=$G704, $F704=$H704), 3, IF(SIGN($E704-$F704)=SIGN($G704-$H704), 1, 0))))</f>
        <v/>
      </c>
    </row>
    <row r="705">
      <c r="A705" s="5" t="inlineStr"/>
      <c r="B705" s="5" t="inlineStr"/>
      <c r="C705" s="5">
        <f>IF($B705="","",VLOOKUP($B705,Jogos!$A$2:$K$105,8,FALSE))</f>
        <v/>
      </c>
      <c r="D705" s="5">
        <f>IF($B705="","",VLOOKUP($B705,Jogos!$A$2:$K$105,10,FALSE))</f>
        <v/>
      </c>
      <c r="E705" s="5" t="inlineStr"/>
      <c r="F705" s="5" t="inlineStr"/>
      <c r="G705" s="8">
        <f>IF($B705="","",VLOOKUP($B705,Jogos!$A$2:$K$105,9,FALSE))</f>
        <v/>
      </c>
      <c r="H705" s="8">
        <f>IF($B705="","",VLOOKUP($B705,Jogos!$A$2:$K$105,11,FALSE))</f>
        <v/>
      </c>
      <c r="I705" s="5">
        <f>IF(OR($A705="", $B705="", $E705="", $F705="", $G705="", $H705=""), "",IF(AND($E705=$G705, $F705=$H705), 3, IF(SIGN($E705-$F705)=SIGN($G705-$H705), 1, 0))))</f>
        <v/>
      </c>
    </row>
    <row r="706">
      <c r="A706" s="5" t="inlineStr"/>
      <c r="B706" s="5" t="inlineStr"/>
      <c r="C706" s="5">
        <f>IF($B706="","",VLOOKUP($B706,Jogos!$A$2:$K$105,8,FALSE))</f>
        <v/>
      </c>
      <c r="D706" s="5">
        <f>IF($B706="","",VLOOKUP($B706,Jogos!$A$2:$K$105,10,FALSE))</f>
        <v/>
      </c>
      <c r="E706" s="5" t="inlineStr"/>
      <c r="F706" s="5" t="inlineStr"/>
      <c r="G706" s="8">
        <f>IF($B706="","",VLOOKUP($B706,Jogos!$A$2:$K$105,9,FALSE))</f>
        <v/>
      </c>
      <c r="H706" s="8">
        <f>IF($B706="","",VLOOKUP($B706,Jogos!$A$2:$K$105,11,FALSE))</f>
        <v/>
      </c>
      <c r="I706" s="5">
        <f>IF(OR($A706="", $B706="", $E706="", $F706="", $G706="", $H706=""), "",IF(AND($E706=$G706, $F706=$H706), 3, IF(SIGN($E706-$F706)=SIGN($G706-$H706), 1, 0))))</f>
        <v/>
      </c>
    </row>
    <row r="707">
      <c r="A707" s="5" t="inlineStr"/>
      <c r="B707" s="5" t="inlineStr"/>
      <c r="C707" s="5">
        <f>IF($B707="","",VLOOKUP($B707,Jogos!$A$2:$K$105,8,FALSE))</f>
        <v/>
      </c>
      <c r="D707" s="5">
        <f>IF($B707="","",VLOOKUP($B707,Jogos!$A$2:$K$105,10,FALSE))</f>
        <v/>
      </c>
      <c r="E707" s="5" t="inlineStr"/>
      <c r="F707" s="5" t="inlineStr"/>
      <c r="G707" s="8">
        <f>IF($B707="","",VLOOKUP($B707,Jogos!$A$2:$K$105,9,FALSE))</f>
        <v/>
      </c>
      <c r="H707" s="8">
        <f>IF($B707="","",VLOOKUP($B707,Jogos!$A$2:$K$105,11,FALSE))</f>
        <v/>
      </c>
      <c r="I707" s="5">
        <f>IF(OR($A707="", $B707="", $E707="", $F707="", $G707="", $H707=""), "",IF(AND($E707=$G707, $F707=$H707), 3, IF(SIGN($E707-$F707)=SIGN($G707-$H707), 1, 0))))</f>
        <v/>
      </c>
    </row>
    <row r="708">
      <c r="A708" s="5" t="inlineStr"/>
      <c r="B708" s="5" t="inlineStr"/>
      <c r="C708" s="5">
        <f>IF($B708="","",VLOOKUP($B708,Jogos!$A$2:$K$105,8,FALSE))</f>
        <v/>
      </c>
      <c r="D708" s="5">
        <f>IF($B708="","",VLOOKUP($B708,Jogos!$A$2:$K$105,10,FALSE))</f>
        <v/>
      </c>
      <c r="E708" s="5" t="inlineStr"/>
      <c r="F708" s="5" t="inlineStr"/>
      <c r="G708" s="8">
        <f>IF($B708="","",VLOOKUP($B708,Jogos!$A$2:$K$105,9,FALSE))</f>
        <v/>
      </c>
      <c r="H708" s="8">
        <f>IF($B708="","",VLOOKUP($B708,Jogos!$A$2:$K$105,11,FALSE))</f>
        <v/>
      </c>
      <c r="I708" s="5">
        <f>IF(OR($A708="", $B708="", $E708="", $F708="", $G708="", $H708=""), "",IF(AND($E708=$G708, $F708=$H708), 3, IF(SIGN($E708-$F708)=SIGN($G708-$H708), 1, 0))))</f>
        <v/>
      </c>
    </row>
    <row r="709">
      <c r="A709" s="5" t="inlineStr"/>
      <c r="B709" s="5" t="inlineStr"/>
      <c r="C709" s="5">
        <f>IF($B709="","",VLOOKUP($B709,Jogos!$A$2:$K$105,8,FALSE))</f>
        <v/>
      </c>
      <c r="D709" s="5">
        <f>IF($B709="","",VLOOKUP($B709,Jogos!$A$2:$K$105,10,FALSE))</f>
        <v/>
      </c>
      <c r="E709" s="5" t="inlineStr"/>
      <c r="F709" s="5" t="inlineStr"/>
      <c r="G709" s="8">
        <f>IF($B709="","",VLOOKUP($B709,Jogos!$A$2:$K$105,9,FALSE))</f>
        <v/>
      </c>
      <c r="H709" s="8">
        <f>IF($B709="","",VLOOKUP($B709,Jogos!$A$2:$K$105,11,FALSE))</f>
        <v/>
      </c>
      <c r="I709" s="5">
        <f>IF(OR($A709="", $B709="", $E709="", $F709="", $G709="", $H709=""), "",IF(AND($E709=$G709, $F709=$H709), 3, IF(SIGN($E709-$F709)=SIGN($G709-$H709), 1, 0))))</f>
        <v/>
      </c>
    </row>
    <row r="710">
      <c r="A710" s="5" t="inlineStr"/>
      <c r="B710" s="5" t="inlineStr"/>
      <c r="C710" s="5">
        <f>IF($B710="","",VLOOKUP($B710,Jogos!$A$2:$K$105,8,FALSE))</f>
        <v/>
      </c>
      <c r="D710" s="5">
        <f>IF($B710="","",VLOOKUP($B710,Jogos!$A$2:$K$105,10,FALSE))</f>
        <v/>
      </c>
      <c r="E710" s="5" t="inlineStr"/>
      <c r="F710" s="5" t="inlineStr"/>
      <c r="G710" s="8">
        <f>IF($B710="","",VLOOKUP($B710,Jogos!$A$2:$K$105,9,FALSE))</f>
        <v/>
      </c>
      <c r="H710" s="8">
        <f>IF($B710="","",VLOOKUP($B710,Jogos!$A$2:$K$105,11,FALSE))</f>
        <v/>
      </c>
      <c r="I710" s="5">
        <f>IF(OR($A710="", $B710="", $E710="", $F710="", $G710="", $H710=""), "",IF(AND($E710=$G710, $F710=$H710), 3, IF(SIGN($E710-$F710)=SIGN($G710-$H710), 1, 0))))</f>
        <v/>
      </c>
    </row>
    <row r="711">
      <c r="A711" s="5" t="inlineStr"/>
      <c r="B711" s="5" t="inlineStr"/>
      <c r="C711" s="5">
        <f>IF($B711="","",VLOOKUP($B711,Jogos!$A$2:$K$105,8,FALSE))</f>
        <v/>
      </c>
      <c r="D711" s="5">
        <f>IF($B711="","",VLOOKUP($B711,Jogos!$A$2:$K$105,10,FALSE))</f>
        <v/>
      </c>
      <c r="E711" s="5" t="inlineStr"/>
      <c r="F711" s="5" t="inlineStr"/>
      <c r="G711" s="8">
        <f>IF($B711="","",VLOOKUP($B711,Jogos!$A$2:$K$105,9,FALSE))</f>
        <v/>
      </c>
      <c r="H711" s="8">
        <f>IF($B711="","",VLOOKUP($B711,Jogos!$A$2:$K$105,11,FALSE))</f>
        <v/>
      </c>
      <c r="I711" s="5">
        <f>IF(OR($A711="", $B711="", $E711="", $F711="", $G711="", $H711=""), "",IF(AND($E711=$G711, $F711=$H711), 3, IF(SIGN($E711-$F711)=SIGN($G711-$H711), 1, 0))))</f>
        <v/>
      </c>
    </row>
    <row r="712">
      <c r="A712" s="5" t="inlineStr"/>
      <c r="B712" s="5" t="inlineStr"/>
      <c r="C712" s="5">
        <f>IF($B712="","",VLOOKUP($B712,Jogos!$A$2:$K$105,8,FALSE))</f>
        <v/>
      </c>
      <c r="D712" s="5">
        <f>IF($B712="","",VLOOKUP($B712,Jogos!$A$2:$K$105,10,FALSE))</f>
        <v/>
      </c>
      <c r="E712" s="5" t="inlineStr"/>
      <c r="F712" s="5" t="inlineStr"/>
      <c r="G712" s="8">
        <f>IF($B712="","",VLOOKUP($B712,Jogos!$A$2:$K$105,9,FALSE))</f>
        <v/>
      </c>
      <c r="H712" s="8">
        <f>IF($B712="","",VLOOKUP($B712,Jogos!$A$2:$K$105,11,FALSE))</f>
        <v/>
      </c>
      <c r="I712" s="5">
        <f>IF(OR($A712="", $B712="", $E712="", $F712="", $G712="", $H712=""), "",IF(AND($E712=$G712, $F712=$H712), 3, IF(SIGN($E712-$F712)=SIGN($G712-$H712), 1, 0))))</f>
        <v/>
      </c>
    </row>
    <row r="713">
      <c r="A713" s="5" t="inlineStr"/>
      <c r="B713" s="5" t="inlineStr"/>
      <c r="C713" s="5">
        <f>IF($B713="","",VLOOKUP($B713,Jogos!$A$2:$K$105,8,FALSE))</f>
        <v/>
      </c>
      <c r="D713" s="5">
        <f>IF($B713="","",VLOOKUP($B713,Jogos!$A$2:$K$105,10,FALSE))</f>
        <v/>
      </c>
      <c r="E713" s="5" t="inlineStr"/>
      <c r="F713" s="5" t="inlineStr"/>
      <c r="G713" s="8">
        <f>IF($B713="","",VLOOKUP($B713,Jogos!$A$2:$K$105,9,FALSE))</f>
        <v/>
      </c>
      <c r="H713" s="8">
        <f>IF($B713="","",VLOOKUP($B713,Jogos!$A$2:$K$105,11,FALSE))</f>
        <v/>
      </c>
      <c r="I713" s="5">
        <f>IF(OR($A713="", $B713="", $E713="", $F713="", $G713="", $H713=""), "",IF(AND($E713=$G713, $F713=$H713), 3, IF(SIGN($E713-$F713)=SIGN($G713-$H713), 1, 0))))</f>
        <v/>
      </c>
    </row>
    <row r="714">
      <c r="A714" s="5" t="inlineStr"/>
      <c r="B714" s="5" t="inlineStr"/>
      <c r="C714" s="5">
        <f>IF($B714="","",VLOOKUP($B714,Jogos!$A$2:$K$105,8,FALSE))</f>
        <v/>
      </c>
      <c r="D714" s="5">
        <f>IF($B714="","",VLOOKUP($B714,Jogos!$A$2:$K$105,10,FALSE))</f>
        <v/>
      </c>
      <c r="E714" s="5" t="inlineStr"/>
      <c r="F714" s="5" t="inlineStr"/>
      <c r="G714" s="8">
        <f>IF($B714="","",VLOOKUP($B714,Jogos!$A$2:$K$105,9,FALSE))</f>
        <v/>
      </c>
      <c r="H714" s="8">
        <f>IF($B714="","",VLOOKUP($B714,Jogos!$A$2:$K$105,11,FALSE))</f>
        <v/>
      </c>
      <c r="I714" s="5">
        <f>IF(OR($A714="", $B714="", $E714="", $F714="", $G714="", $H714=""), "",IF(AND($E714=$G714, $F714=$H714), 3, IF(SIGN($E714-$F714)=SIGN($G714-$H714), 1, 0))))</f>
        <v/>
      </c>
    </row>
    <row r="715">
      <c r="A715" s="5" t="inlineStr"/>
      <c r="B715" s="5" t="inlineStr"/>
      <c r="C715" s="5">
        <f>IF($B715="","",VLOOKUP($B715,Jogos!$A$2:$K$105,8,FALSE))</f>
        <v/>
      </c>
      <c r="D715" s="5">
        <f>IF($B715="","",VLOOKUP($B715,Jogos!$A$2:$K$105,10,FALSE))</f>
        <v/>
      </c>
      <c r="E715" s="5" t="inlineStr"/>
      <c r="F715" s="5" t="inlineStr"/>
      <c r="G715" s="8">
        <f>IF($B715="","",VLOOKUP($B715,Jogos!$A$2:$K$105,9,FALSE))</f>
        <v/>
      </c>
      <c r="H715" s="8">
        <f>IF($B715="","",VLOOKUP($B715,Jogos!$A$2:$K$105,11,FALSE))</f>
        <v/>
      </c>
      <c r="I715" s="5">
        <f>IF(OR($A715="", $B715="", $E715="", $F715="", $G715="", $H715=""), "",IF(AND($E715=$G715, $F715=$H715), 3, IF(SIGN($E715-$F715)=SIGN($G715-$H715), 1, 0))))</f>
        <v/>
      </c>
    </row>
    <row r="716">
      <c r="A716" s="5" t="inlineStr"/>
      <c r="B716" s="5" t="inlineStr"/>
      <c r="C716" s="5">
        <f>IF($B716="","",VLOOKUP($B716,Jogos!$A$2:$K$105,8,FALSE))</f>
        <v/>
      </c>
      <c r="D716" s="5">
        <f>IF($B716="","",VLOOKUP($B716,Jogos!$A$2:$K$105,10,FALSE))</f>
        <v/>
      </c>
      <c r="E716" s="5" t="inlineStr"/>
      <c r="F716" s="5" t="inlineStr"/>
      <c r="G716" s="8">
        <f>IF($B716="","",VLOOKUP($B716,Jogos!$A$2:$K$105,9,FALSE))</f>
        <v/>
      </c>
      <c r="H716" s="8">
        <f>IF($B716="","",VLOOKUP($B716,Jogos!$A$2:$K$105,11,FALSE))</f>
        <v/>
      </c>
      <c r="I716" s="5">
        <f>IF(OR($A716="", $B716="", $E716="", $F716="", $G716="", $H716=""), "",IF(AND($E716=$G716, $F716=$H716), 3, IF(SIGN($E716-$F716)=SIGN($G716-$H716), 1, 0))))</f>
        <v/>
      </c>
    </row>
    <row r="717">
      <c r="A717" s="5" t="inlineStr"/>
      <c r="B717" s="5" t="inlineStr"/>
      <c r="C717" s="5">
        <f>IF($B717="","",VLOOKUP($B717,Jogos!$A$2:$K$105,8,FALSE))</f>
        <v/>
      </c>
      <c r="D717" s="5">
        <f>IF($B717="","",VLOOKUP($B717,Jogos!$A$2:$K$105,10,FALSE))</f>
        <v/>
      </c>
      <c r="E717" s="5" t="inlineStr"/>
      <c r="F717" s="5" t="inlineStr"/>
      <c r="G717" s="8">
        <f>IF($B717="","",VLOOKUP($B717,Jogos!$A$2:$K$105,9,FALSE))</f>
        <v/>
      </c>
      <c r="H717" s="8">
        <f>IF($B717="","",VLOOKUP($B717,Jogos!$A$2:$K$105,11,FALSE))</f>
        <v/>
      </c>
      <c r="I717" s="5">
        <f>IF(OR($A717="", $B717="", $E717="", $F717="", $G717="", $H717=""), "",IF(AND($E717=$G717, $F717=$H717), 3, IF(SIGN($E717-$F717)=SIGN($G717-$H717), 1, 0))))</f>
        <v/>
      </c>
    </row>
    <row r="718">
      <c r="A718" s="5" t="inlineStr"/>
      <c r="B718" s="5" t="inlineStr"/>
      <c r="C718" s="5">
        <f>IF($B718="","",VLOOKUP($B718,Jogos!$A$2:$K$105,8,FALSE))</f>
        <v/>
      </c>
      <c r="D718" s="5">
        <f>IF($B718="","",VLOOKUP($B718,Jogos!$A$2:$K$105,10,FALSE))</f>
        <v/>
      </c>
      <c r="E718" s="5" t="inlineStr"/>
      <c r="F718" s="5" t="inlineStr"/>
      <c r="G718" s="8">
        <f>IF($B718="","",VLOOKUP($B718,Jogos!$A$2:$K$105,9,FALSE))</f>
        <v/>
      </c>
      <c r="H718" s="8">
        <f>IF($B718="","",VLOOKUP($B718,Jogos!$A$2:$K$105,11,FALSE))</f>
        <v/>
      </c>
      <c r="I718" s="5">
        <f>IF(OR($A718="", $B718="", $E718="", $F718="", $G718="", $H718=""), "",IF(AND($E718=$G718, $F718=$H718), 3, IF(SIGN($E718-$F718)=SIGN($G718-$H718), 1, 0))))</f>
        <v/>
      </c>
    </row>
    <row r="719">
      <c r="A719" s="5" t="inlineStr"/>
      <c r="B719" s="5" t="inlineStr"/>
      <c r="C719" s="5">
        <f>IF($B719="","",VLOOKUP($B719,Jogos!$A$2:$K$105,8,FALSE))</f>
        <v/>
      </c>
      <c r="D719" s="5">
        <f>IF($B719="","",VLOOKUP($B719,Jogos!$A$2:$K$105,10,FALSE))</f>
        <v/>
      </c>
      <c r="E719" s="5" t="inlineStr"/>
      <c r="F719" s="5" t="inlineStr"/>
      <c r="G719" s="8">
        <f>IF($B719="","",VLOOKUP($B719,Jogos!$A$2:$K$105,9,FALSE))</f>
        <v/>
      </c>
      <c r="H719" s="8">
        <f>IF($B719="","",VLOOKUP($B719,Jogos!$A$2:$K$105,11,FALSE))</f>
        <v/>
      </c>
      <c r="I719" s="5">
        <f>IF(OR($A719="", $B719="", $E719="", $F719="", $G719="", $H719=""), "",IF(AND($E719=$G719, $F719=$H719), 3, IF(SIGN($E719-$F719)=SIGN($G719-$H719), 1, 0))))</f>
        <v/>
      </c>
    </row>
    <row r="720">
      <c r="A720" s="5" t="inlineStr"/>
      <c r="B720" s="5" t="inlineStr"/>
      <c r="C720" s="5">
        <f>IF($B720="","",VLOOKUP($B720,Jogos!$A$2:$K$105,8,FALSE))</f>
        <v/>
      </c>
      <c r="D720" s="5">
        <f>IF($B720="","",VLOOKUP($B720,Jogos!$A$2:$K$105,10,FALSE))</f>
        <v/>
      </c>
      <c r="E720" s="5" t="inlineStr"/>
      <c r="F720" s="5" t="inlineStr"/>
      <c r="G720" s="8">
        <f>IF($B720="","",VLOOKUP($B720,Jogos!$A$2:$K$105,9,FALSE))</f>
        <v/>
      </c>
      <c r="H720" s="8">
        <f>IF($B720="","",VLOOKUP($B720,Jogos!$A$2:$K$105,11,FALSE))</f>
        <v/>
      </c>
      <c r="I720" s="5">
        <f>IF(OR($A720="", $B720="", $E720="", $F720="", $G720="", $H720=""), "",IF(AND($E720=$G720, $F720=$H720), 3, IF(SIGN($E720-$F720)=SIGN($G720-$H720), 1, 0))))</f>
        <v/>
      </c>
    </row>
    <row r="721">
      <c r="A721" s="5" t="inlineStr"/>
      <c r="B721" s="5" t="inlineStr"/>
      <c r="C721" s="5">
        <f>IF($B721="","",VLOOKUP($B721,Jogos!$A$2:$K$105,8,FALSE))</f>
        <v/>
      </c>
      <c r="D721" s="5">
        <f>IF($B721="","",VLOOKUP($B721,Jogos!$A$2:$K$105,10,FALSE))</f>
        <v/>
      </c>
      <c r="E721" s="5" t="inlineStr"/>
      <c r="F721" s="5" t="inlineStr"/>
      <c r="G721" s="8">
        <f>IF($B721="","",VLOOKUP($B721,Jogos!$A$2:$K$105,9,FALSE))</f>
        <v/>
      </c>
      <c r="H721" s="8">
        <f>IF($B721="","",VLOOKUP($B721,Jogos!$A$2:$K$105,11,FALSE))</f>
        <v/>
      </c>
      <c r="I721" s="5">
        <f>IF(OR($A721="", $B721="", $E721="", $F721="", $G721="", $H721=""), "",IF(AND($E721=$G721, $F721=$H721), 3, IF(SIGN($E721-$F721)=SIGN($G721-$H721), 1, 0))))</f>
        <v/>
      </c>
    </row>
    <row r="722">
      <c r="A722" s="5" t="inlineStr"/>
      <c r="B722" s="5" t="inlineStr"/>
      <c r="C722" s="5">
        <f>IF($B722="","",VLOOKUP($B722,Jogos!$A$2:$K$105,8,FALSE))</f>
        <v/>
      </c>
      <c r="D722" s="5">
        <f>IF($B722="","",VLOOKUP($B722,Jogos!$A$2:$K$105,10,FALSE))</f>
        <v/>
      </c>
      <c r="E722" s="5" t="inlineStr"/>
      <c r="F722" s="5" t="inlineStr"/>
      <c r="G722" s="8">
        <f>IF($B722="","",VLOOKUP($B722,Jogos!$A$2:$K$105,9,FALSE))</f>
        <v/>
      </c>
      <c r="H722" s="8">
        <f>IF($B722="","",VLOOKUP($B722,Jogos!$A$2:$K$105,11,FALSE))</f>
        <v/>
      </c>
      <c r="I722" s="5">
        <f>IF(OR($A722="", $B722="", $E722="", $F722="", $G722="", $H722=""), "",IF(AND($E722=$G722, $F722=$H722), 3, IF(SIGN($E722-$F722)=SIGN($G722-$H722), 1, 0))))</f>
        <v/>
      </c>
    </row>
    <row r="723">
      <c r="A723" s="5" t="inlineStr"/>
      <c r="B723" s="5" t="inlineStr"/>
      <c r="C723" s="5">
        <f>IF($B723="","",VLOOKUP($B723,Jogos!$A$2:$K$105,8,FALSE))</f>
        <v/>
      </c>
      <c r="D723" s="5">
        <f>IF($B723="","",VLOOKUP($B723,Jogos!$A$2:$K$105,10,FALSE))</f>
        <v/>
      </c>
      <c r="E723" s="5" t="inlineStr"/>
      <c r="F723" s="5" t="inlineStr"/>
      <c r="G723" s="8">
        <f>IF($B723="","",VLOOKUP($B723,Jogos!$A$2:$K$105,9,FALSE))</f>
        <v/>
      </c>
      <c r="H723" s="8">
        <f>IF($B723="","",VLOOKUP($B723,Jogos!$A$2:$K$105,11,FALSE))</f>
        <v/>
      </c>
      <c r="I723" s="5">
        <f>IF(OR($A723="", $B723="", $E723="", $F723="", $G723="", $H723=""), "",IF(AND($E723=$G723, $F723=$H723), 3, IF(SIGN($E723-$F723)=SIGN($G723-$H723), 1, 0))))</f>
        <v/>
      </c>
    </row>
    <row r="724">
      <c r="A724" s="5" t="inlineStr"/>
      <c r="B724" s="5" t="inlineStr"/>
      <c r="C724" s="5">
        <f>IF($B724="","",VLOOKUP($B724,Jogos!$A$2:$K$105,8,FALSE))</f>
        <v/>
      </c>
      <c r="D724" s="5">
        <f>IF($B724="","",VLOOKUP($B724,Jogos!$A$2:$K$105,10,FALSE))</f>
        <v/>
      </c>
      <c r="E724" s="5" t="inlineStr"/>
      <c r="F724" s="5" t="inlineStr"/>
      <c r="G724" s="8">
        <f>IF($B724="","",VLOOKUP($B724,Jogos!$A$2:$K$105,9,FALSE))</f>
        <v/>
      </c>
      <c r="H724" s="8">
        <f>IF($B724="","",VLOOKUP($B724,Jogos!$A$2:$K$105,11,FALSE))</f>
        <v/>
      </c>
      <c r="I724" s="5">
        <f>IF(OR($A724="", $B724="", $E724="", $F724="", $G724="", $H724=""), "",IF(AND($E724=$G724, $F724=$H724), 3, IF(SIGN($E724-$F724)=SIGN($G724-$H724), 1, 0))))</f>
        <v/>
      </c>
    </row>
    <row r="725">
      <c r="A725" s="5" t="inlineStr"/>
      <c r="B725" s="5" t="inlineStr"/>
      <c r="C725" s="5">
        <f>IF($B725="","",VLOOKUP($B725,Jogos!$A$2:$K$105,8,FALSE))</f>
        <v/>
      </c>
      <c r="D725" s="5">
        <f>IF($B725="","",VLOOKUP($B725,Jogos!$A$2:$K$105,10,FALSE))</f>
        <v/>
      </c>
      <c r="E725" s="5" t="inlineStr"/>
      <c r="F725" s="5" t="inlineStr"/>
      <c r="G725" s="8">
        <f>IF($B725="","",VLOOKUP($B725,Jogos!$A$2:$K$105,9,FALSE))</f>
        <v/>
      </c>
      <c r="H725" s="8">
        <f>IF($B725="","",VLOOKUP($B725,Jogos!$A$2:$K$105,11,FALSE))</f>
        <v/>
      </c>
      <c r="I725" s="5">
        <f>IF(OR($A725="", $B725="", $E725="", $F725="", $G725="", $H725=""), "",IF(AND($E725=$G725, $F725=$H725), 3, IF(SIGN($E725-$F725)=SIGN($G725-$H725), 1, 0))))</f>
        <v/>
      </c>
    </row>
    <row r="726">
      <c r="A726" s="5" t="inlineStr"/>
      <c r="B726" s="5" t="inlineStr"/>
      <c r="C726" s="5">
        <f>IF($B726="","",VLOOKUP($B726,Jogos!$A$2:$K$105,8,FALSE))</f>
        <v/>
      </c>
      <c r="D726" s="5">
        <f>IF($B726="","",VLOOKUP($B726,Jogos!$A$2:$K$105,10,FALSE))</f>
        <v/>
      </c>
      <c r="E726" s="5" t="inlineStr"/>
      <c r="F726" s="5" t="inlineStr"/>
      <c r="G726" s="8">
        <f>IF($B726="","",VLOOKUP($B726,Jogos!$A$2:$K$105,9,FALSE))</f>
        <v/>
      </c>
      <c r="H726" s="8">
        <f>IF($B726="","",VLOOKUP($B726,Jogos!$A$2:$K$105,11,FALSE))</f>
        <v/>
      </c>
      <c r="I726" s="5">
        <f>IF(OR($A726="", $B726="", $E726="", $F726="", $G726="", $H726=""), "",IF(AND($E726=$G726, $F726=$H726), 3, IF(SIGN($E726-$F726)=SIGN($G726-$H726), 1, 0))))</f>
        <v/>
      </c>
    </row>
    <row r="727">
      <c r="A727" s="5" t="inlineStr"/>
      <c r="B727" s="5" t="inlineStr"/>
      <c r="C727" s="5">
        <f>IF($B727="","",VLOOKUP($B727,Jogos!$A$2:$K$105,8,FALSE))</f>
        <v/>
      </c>
      <c r="D727" s="5">
        <f>IF($B727="","",VLOOKUP($B727,Jogos!$A$2:$K$105,10,FALSE))</f>
        <v/>
      </c>
      <c r="E727" s="5" t="inlineStr"/>
      <c r="F727" s="5" t="inlineStr"/>
      <c r="G727" s="8">
        <f>IF($B727="","",VLOOKUP($B727,Jogos!$A$2:$K$105,9,FALSE))</f>
        <v/>
      </c>
      <c r="H727" s="8">
        <f>IF($B727="","",VLOOKUP($B727,Jogos!$A$2:$K$105,11,FALSE))</f>
        <v/>
      </c>
      <c r="I727" s="5">
        <f>IF(OR($A727="", $B727="", $E727="", $F727="", $G727="", $H727=""), "",IF(AND($E727=$G727, $F727=$H727), 3, IF(SIGN($E727-$F727)=SIGN($G727-$H727), 1, 0))))</f>
        <v/>
      </c>
    </row>
    <row r="728">
      <c r="A728" s="5" t="inlineStr"/>
      <c r="B728" s="5" t="inlineStr"/>
      <c r="C728" s="5">
        <f>IF($B728="","",VLOOKUP($B728,Jogos!$A$2:$K$105,8,FALSE))</f>
        <v/>
      </c>
      <c r="D728" s="5">
        <f>IF($B728="","",VLOOKUP($B728,Jogos!$A$2:$K$105,10,FALSE))</f>
        <v/>
      </c>
      <c r="E728" s="5" t="inlineStr"/>
      <c r="F728" s="5" t="inlineStr"/>
      <c r="G728" s="8">
        <f>IF($B728="","",VLOOKUP($B728,Jogos!$A$2:$K$105,9,FALSE))</f>
        <v/>
      </c>
      <c r="H728" s="8">
        <f>IF($B728="","",VLOOKUP($B728,Jogos!$A$2:$K$105,11,FALSE))</f>
        <v/>
      </c>
      <c r="I728" s="5">
        <f>IF(OR($A728="", $B728="", $E728="", $F728="", $G728="", $H728=""), "",IF(AND($E728=$G728, $F728=$H728), 3, IF(SIGN($E728-$F728)=SIGN($G728-$H728), 1, 0))))</f>
        <v/>
      </c>
    </row>
    <row r="729">
      <c r="A729" s="5" t="inlineStr"/>
      <c r="B729" s="5" t="inlineStr"/>
      <c r="C729" s="5">
        <f>IF($B729="","",VLOOKUP($B729,Jogos!$A$2:$K$105,8,FALSE))</f>
        <v/>
      </c>
      <c r="D729" s="5">
        <f>IF($B729="","",VLOOKUP($B729,Jogos!$A$2:$K$105,10,FALSE))</f>
        <v/>
      </c>
      <c r="E729" s="5" t="inlineStr"/>
      <c r="F729" s="5" t="inlineStr"/>
      <c r="G729" s="8">
        <f>IF($B729="","",VLOOKUP($B729,Jogos!$A$2:$K$105,9,FALSE))</f>
        <v/>
      </c>
      <c r="H729" s="8">
        <f>IF($B729="","",VLOOKUP($B729,Jogos!$A$2:$K$105,11,FALSE))</f>
        <v/>
      </c>
      <c r="I729" s="5">
        <f>IF(OR($A729="", $B729="", $E729="", $F729="", $G729="", $H729=""), "",IF(AND($E729=$G729, $F729=$H729), 3, IF(SIGN($E729-$F729)=SIGN($G729-$H729), 1, 0))))</f>
        <v/>
      </c>
    </row>
    <row r="730">
      <c r="A730" s="5" t="inlineStr"/>
      <c r="B730" s="5" t="inlineStr"/>
      <c r="C730" s="5">
        <f>IF($B730="","",VLOOKUP($B730,Jogos!$A$2:$K$105,8,FALSE))</f>
        <v/>
      </c>
      <c r="D730" s="5">
        <f>IF($B730="","",VLOOKUP($B730,Jogos!$A$2:$K$105,10,FALSE))</f>
        <v/>
      </c>
      <c r="E730" s="5" t="inlineStr"/>
      <c r="F730" s="5" t="inlineStr"/>
      <c r="G730" s="8">
        <f>IF($B730="","",VLOOKUP($B730,Jogos!$A$2:$K$105,9,FALSE))</f>
        <v/>
      </c>
      <c r="H730" s="8">
        <f>IF($B730="","",VLOOKUP($B730,Jogos!$A$2:$K$105,11,FALSE))</f>
        <v/>
      </c>
      <c r="I730" s="5">
        <f>IF(OR($A730="", $B730="", $E730="", $F730="", $G730="", $H730=""), "",IF(AND($E730=$G730, $F730=$H730), 3, IF(SIGN($E730-$F730)=SIGN($G730-$H730), 1, 0))))</f>
        <v/>
      </c>
    </row>
    <row r="731">
      <c r="A731" s="5" t="inlineStr"/>
      <c r="B731" s="5" t="inlineStr"/>
      <c r="C731" s="5">
        <f>IF($B731="","",VLOOKUP($B731,Jogos!$A$2:$K$105,8,FALSE))</f>
        <v/>
      </c>
      <c r="D731" s="5">
        <f>IF($B731="","",VLOOKUP($B731,Jogos!$A$2:$K$105,10,FALSE))</f>
        <v/>
      </c>
      <c r="E731" s="5" t="inlineStr"/>
      <c r="F731" s="5" t="inlineStr"/>
      <c r="G731" s="8">
        <f>IF($B731="","",VLOOKUP($B731,Jogos!$A$2:$K$105,9,FALSE))</f>
        <v/>
      </c>
      <c r="H731" s="8">
        <f>IF($B731="","",VLOOKUP($B731,Jogos!$A$2:$K$105,11,FALSE))</f>
        <v/>
      </c>
      <c r="I731" s="5">
        <f>IF(OR($A731="", $B731="", $E731="", $F731="", $G731="", $H731=""), "",IF(AND($E731=$G731, $F731=$H731), 3, IF(SIGN($E731-$F731)=SIGN($G731-$H731), 1, 0))))</f>
        <v/>
      </c>
    </row>
    <row r="732">
      <c r="A732" s="5" t="inlineStr"/>
      <c r="B732" s="5" t="inlineStr"/>
      <c r="C732" s="5">
        <f>IF($B732="","",VLOOKUP($B732,Jogos!$A$2:$K$105,8,FALSE))</f>
        <v/>
      </c>
      <c r="D732" s="5">
        <f>IF($B732="","",VLOOKUP($B732,Jogos!$A$2:$K$105,10,FALSE))</f>
        <v/>
      </c>
      <c r="E732" s="5" t="inlineStr"/>
      <c r="F732" s="5" t="inlineStr"/>
      <c r="G732" s="8">
        <f>IF($B732="","",VLOOKUP($B732,Jogos!$A$2:$K$105,9,FALSE))</f>
        <v/>
      </c>
      <c r="H732" s="8">
        <f>IF($B732="","",VLOOKUP($B732,Jogos!$A$2:$K$105,11,FALSE))</f>
        <v/>
      </c>
      <c r="I732" s="5">
        <f>IF(OR($A732="", $B732="", $E732="", $F732="", $G732="", $H732=""), "",IF(AND($E732=$G732, $F732=$H732), 3, IF(SIGN($E732-$F732)=SIGN($G732-$H732), 1, 0))))</f>
        <v/>
      </c>
    </row>
    <row r="733">
      <c r="A733" s="5" t="inlineStr"/>
      <c r="B733" s="5" t="inlineStr"/>
      <c r="C733" s="5">
        <f>IF($B733="","",VLOOKUP($B733,Jogos!$A$2:$K$105,8,FALSE))</f>
        <v/>
      </c>
      <c r="D733" s="5">
        <f>IF($B733="","",VLOOKUP($B733,Jogos!$A$2:$K$105,10,FALSE))</f>
        <v/>
      </c>
      <c r="E733" s="5" t="inlineStr"/>
      <c r="F733" s="5" t="inlineStr"/>
      <c r="G733" s="8">
        <f>IF($B733="","",VLOOKUP($B733,Jogos!$A$2:$K$105,9,FALSE))</f>
        <v/>
      </c>
      <c r="H733" s="8">
        <f>IF($B733="","",VLOOKUP($B733,Jogos!$A$2:$K$105,11,FALSE))</f>
        <v/>
      </c>
      <c r="I733" s="5">
        <f>IF(OR($A733="", $B733="", $E733="", $F733="", $G733="", $H733=""), "",IF(AND($E733=$G733, $F733=$H733), 3, IF(SIGN($E733-$F733)=SIGN($G733-$H733), 1, 0))))</f>
        <v/>
      </c>
    </row>
    <row r="734">
      <c r="A734" s="5" t="inlineStr"/>
      <c r="B734" s="5" t="inlineStr"/>
      <c r="C734" s="5">
        <f>IF($B734="","",VLOOKUP($B734,Jogos!$A$2:$K$105,8,FALSE))</f>
        <v/>
      </c>
      <c r="D734" s="5">
        <f>IF($B734="","",VLOOKUP($B734,Jogos!$A$2:$K$105,10,FALSE))</f>
        <v/>
      </c>
      <c r="E734" s="5" t="inlineStr"/>
      <c r="F734" s="5" t="inlineStr"/>
      <c r="G734" s="8">
        <f>IF($B734="","",VLOOKUP($B734,Jogos!$A$2:$K$105,9,FALSE))</f>
        <v/>
      </c>
      <c r="H734" s="8">
        <f>IF($B734="","",VLOOKUP($B734,Jogos!$A$2:$K$105,11,FALSE))</f>
        <v/>
      </c>
      <c r="I734" s="5">
        <f>IF(OR($A734="", $B734="", $E734="", $F734="", $G734="", $H734=""), "",IF(AND($E734=$G734, $F734=$H734), 3, IF(SIGN($E734-$F734)=SIGN($G734-$H734), 1, 0))))</f>
        <v/>
      </c>
    </row>
    <row r="735">
      <c r="A735" s="5" t="inlineStr"/>
      <c r="B735" s="5" t="inlineStr"/>
      <c r="C735" s="5">
        <f>IF($B735="","",VLOOKUP($B735,Jogos!$A$2:$K$105,8,FALSE))</f>
        <v/>
      </c>
      <c r="D735" s="5">
        <f>IF($B735="","",VLOOKUP($B735,Jogos!$A$2:$K$105,10,FALSE))</f>
        <v/>
      </c>
      <c r="E735" s="5" t="inlineStr"/>
      <c r="F735" s="5" t="inlineStr"/>
      <c r="G735" s="8">
        <f>IF($B735="","",VLOOKUP($B735,Jogos!$A$2:$K$105,9,FALSE))</f>
        <v/>
      </c>
      <c r="H735" s="8">
        <f>IF($B735="","",VLOOKUP($B735,Jogos!$A$2:$K$105,11,FALSE))</f>
        <v/>
      </c>
      <c r="I735" s="5">
        <f>IF(OR($A735="", $B735="", $E735="", $F735="", $G735="", $H735=""), "",IF(AND($E735=$G735, $F735=$H735), 3, IF(SIGN($E735-$F735)=SIGN($G735-$H735), 1, 0))))</f>
        <v/>
      </c>
    </row>
    <row r="736">
      <c r="A736" s="5" t="inlineStr"/>
      <c r="B736" s="5" t="inlineStr"/>
      <c r="C736" s="5">
        <f>IF($B736="","",VLOOKUP($B736,Jogos!$A$2:$K$105,8,FALSE))</f>
        <v/>
      </c>
      <c r="D736" s="5">
        <f>IF($B736="","",VLOOKUP($B736,Jogos!$A$2:$K$105,10,FALSE))</f>
        <v/>
      </c>
      <c r="E736" s="5" t="inlineStr"/>
      <c r="F736" s="5" t="inlineStr"/>
      <c r="G736" s="8">
        <f>IF($B736="","",VLOOKUP($B736,Jogos!$A$2:$K$105,9,FALSE))</f>
        <v/>
      </c>
      <c r="H736" s="8">
        <f>IF($B736="","",VLOOKUP($B736,Jogos!$A$2:$K$105,11,FALSE))</f>
        <v/>
      </c>
      <c r="I736" s="5">
        <f>IF(OR($A736="", $B736="", $E736="", $F736="", $G736="", $H736=""), "",IF(AND($E736=$G736, $F736=$H736), 3, IF(SIGN($E736-$F736)=SIGN($G736-$H736), 1, 0))))</f>
        <v/>
      </c>
    </row>
    <row r="737">
      <c r="A737" s="5" t="inlineStr"/>
      <c r="B737" s="5" t="inlineStr"/>
      <c r="C737" s="5">
        <f>IF($B737="","",VLOOKUP($B737,Jogos!$A$2:$K$105,8,FALSE))</f>
        <v/>
      </c>
      <c r="D737" s="5">
        <f>IF($B737="","",VLOOKUP($B737,Jogos!$A$2:$K$105,10,FALSE))</f>
        <v/>
      </c>
      <c r="E737" s="5" t="inlineStr"/>
      <c r="F737" s="5" t="inlineStr"/>
      <c r="G737" s="8">
        <f>IF($B737="","",VLOOKUP($B737,Jogos!$A$2:$K$105,9,FALSE))</f>
        <v/>
      </c>
      <c r="H737" s="8">
        <f>IF($B737="","",VLOOKUP($B737,Jogos!$A$2:$K$105,11,FALSE))</f>
        <v/>
      </c>
      <c r="I737" s="5">
        <f>IF(OR($A737="", $B737="", $E737="", $F737="", $G737="", $H737=""), "",IF(AND($E737=$G737, $F737=$H737), 3, IF(SIGN($E737-$F737)=SIGN($G737-$H737), 1, 0))))</f>
        <v/>
      </c>
    </row>
    <row r="738">
      <c r="A738" s="5" t="inlineStr"/>
      <c r="B738" s="5" t="inlineStr"/>
      <c r="C738" s="5">
        <f>IF($B738="","",VLOOKUP($B738,Jogos!$A$2:$K$105,8,FALSE))</f>
        <v/>
      </c>
      <c r="D738" s="5">
        <f>IF($B738="","",VLOOKUP($B738,Jogos!$A$2:$K$105,10,FALSE))</f>
        <v/>
      </c>
      <c r="E738" s="5" t="inlineStr"/>
      <c r="F738" s="5" t="inlineStr"/>
      <c r="G738" s="8">
        <f>IF($B738="","",VLOOKUP($B738,Jogos!$A$2:$K$105,9,FALSE))</f>
        <v/>
      </c>
      <c r="H738" s="8">
        <f>IF($B738="","",VLOOKUP($B738,Jogos!$A$2:$K$105,11,FALSE))</f>
        <v/>
      </c>
      <c r="I738" s="5">
        <f>IF(OR($A738="", $B738="", $E738="", $F738="", $G738="", $H738=""), "",IF(AND($E738=$G738, $F738=$H738), 3, IF(SIGN($E738-$F738)=SIGN($G738-$H738), 1, 0))))</f>
        <v/>
      </c>
    </row>
    <row r="739">
      <c r="A739" s="5" t="inlineStr"/>
      <c r="B739" s="5" t="inlineStr"/>
      <c r="C739" s="5">
        <f>IF($B739="","",VLOOKUP($B739,Jogos!$A$2:$K$105,8,FALSE))</f>
        <v/>
      </c>
      <c r="D739" s="5">
        <f>IF($B739="","",VLOOKUP($B739,Jogos!$A$2:$K$105,10,FALSE))</f>
        <v/>
      </c>
      <c r="E739" s="5" t="inlineStr"/>
      <c r="F739" s="5" t="inlineStr"/>
      <c r="G739" s="8">
        <f>IF($B739="","",VLOOKUP($B739,Jogos!$A$2:$K$105,9,FALSE))</f>
        <v/>
      </c>
      <c r="H739" s="8">
        <f>IF($B739="","",VLOOKUP($B739,Jogos!$A$2:$K$105,11,FALSE))</f>
        <v/>
      </c>
      <c r="I739" s="5">
        <f>IF(OR($A739="", $B739="", $E739="", $F739="", $G739="", $H739=""), "",IF(AND($E739=$G739, $F739=$H739), 3, IF(SIGN($E739-$F739)=SIGN($G739-$H739), 1, 0))))</f>
        <v/>
      </c>
    </row>
    <row r="740">
      <c r="A740" s="5" t="inlineStr"/>
      <c r="B740" s="5" t="inlineStr"/>
      <c r="C740" s="5">
        <f>IF($B740="","",VLOOKUP($B740,Jogos!$A$2:$K$105,8,FALSE))</f>
        <v/>
      </c>
      <c r="D740" s="5">
        <f>IF($B740="","",VLOOKUP($B740,Jogos!$A$2:$K$105,10,FALSE))</f>
        <v/>
      </c>
      <c r="E740" s="5" t="inlineStr"/>
      <c r="F740" s="5" t="inlineStr"/>
      <c r="G740" s="8">
        <f>IF($B740="","",VLOOKUP($B740,Jogos!$A$2:$K$105,9,FALSE))</f>
        <v/>
      </c>
      <c r="H740" s="8">
        <f>IF($B740="","",VLOOKUP($B740,Jogos!$A$2:$K$105,11,FALSE))</f>
        <v/>
      </c>
      <c r="I740" s="5">
        <f>IF(OR($A740="", $B740="", $E740="", $F740="", $G740="", $H740=""), "",IF(AND($E740=$G740, $F740=$H740), 3, IF(SIGN($E740-$F740)=SIGN($G740-$H740), 1, 0))))</f>
        <v/>
      </c>
    </row>
    <row r="741">
      <c r="A741" s="5" t="inlineStr"/>
      <c r="B741" s="5" t="inlineStr"/>
      <c r="C741" s="5">
        <f>IF($B741="","",VLOOKUP($B741,Jogos!$A$2:$K$105,8,FALSE))</f>
        <v/>
      </c>
      <c r="D741" s="5">
        <f>IF($B741="","",VLOOKUP($B741,Jogos!$A$2:$K$105,10,FALSE))</f>
        <v/>
      </c>
      <c r="E741" s="5" t="inlineStr"/>
      <c r="F741" s="5" t="inlineStr"/>
      <c r="G741" s="8">
        <f>IF($B741="","",VLOOKUP($B741,Jogos!$A$2:$K$105,9,FALSE))</f>
        <v/>
      </c>
      <c r="H741" s="8">
        <f>IF($B741="","",VLOOKUP($B741,Jogos!$A$2:$K$105,11,FALSE))</f>
        <v/>
      </c>
      <c r="I741" s="5">
        <f>IF(OR($A741="", $B741="", $E741="", $F741="", $G741="", $H741=""), "",IF(AND($E741=$G741, $F741=$H741), 3, IF(SIGN($E741-$F741)=SIGN($G741-$H741), 1, 0))))</f>
        <v/>
      </c>
    </row>
    <row r="742">
      <c r="A742" s="5" t="inlineStr"/>
      <c r="B742" s="5" t="inlineStr"/>
      <c r="C742" s="5">
        <f>IF($B742="","",VLOOKUP($B742,Jogos!$A$2:$K$105,8,FALSE))</f>
        <v/>
      </c>
      <c r="D742" s="5">
        <f>IF($B742="","",VLOOKUP($B742,Jogos!$A$2:$K$105,10,FALSE))</f>
        <v/>
      </c>
      <c r="E742" s="5" t="inlineStr"/>
      <c r="F742" s="5" t="inlineStr"/>
      <c r="G742" s="8">
        <f>IF($B742="","",VLOOKUP($B742,Jogos!$A$2:$K$105,9,FALSE))</f>
        <v/>
      </c>
      <c r="H742" s="8">
        <f>IF($B742="","",VLOOKUP($B742,Jogos!$A$2:$K$105,11,FALSE))</f>
        <v/>
      </c>
      <c r="I742" s="5">
        <f>IF(OR($A742="", $B742="", $E742="", $F742="", $G742="", $H742=""), "",IF(AND($E742=$G742, $F742=$H742), 3, IF(SIGN($E742-$F742)=SIGN($G742-$H742), 1, 0))))</f>
        <v/>
      </c>
    </row>
    <row r="743">
      <c r="A743" s="5" t="inlineStr"/>
      <c r="B743" s="5" t="inlineStr"/>
      <c r="C743" s="5">
        <f>IF($B743="","",VLOOKUP($B743,Jogos!$A$2:$K$105,8,FALSE))</f>
        <v/>
      </c>
      <c r="D743" s="5">
        <f>IF($B743="","",VLOOKUP($B743,Jogos!$A$2:$K$105,10,FALSE))</f>
        <v/>
      </c>
      <c r="E743" s="5" t="inlineStr"/>
      <c r="F743" s="5" t="inlineStr"/>
      <c r="G743" s="8">
        <f>IF($B743="","",VLOOKUP($B743,Jogos!$A$2:$K$105,9,FALSE))</f>
        <v/>
      </c>
      <c r="H743" s="8">
        <f>IF($B743="","",VLOOKUP($B743,Jogos!$A$2:$K$105,11,FALSE))</f>
        <v/>
      </c>
      <c r="I743" s="5">
        <f>IF(OR($A743="", $B743="", $E743="", $F743="", $G743="", $H743=""), "",IF(AND($E743=$G743, $F743=$H743), 3, IF(SIGN($E743-$F743)=SIGN($G743-$H743), 1, 0))))</f>
        <v/>
      </c>
    </row>
    <row r="744">
      <c r="A744" s="5" t="inlineStr"/>
      <c r="B744" s="5" t="inlineStr"/>
      <c r="C744" s="5">
        <f>IF($B744="","",VLOOKUP($B744,Jogos!$A$2:$K$105,8,FALSE))</f>
        <v/>
      </c>
      <c r="D744" s="5">
        <f>IF($B744="","",VLOOKUP($B744,Jogos!$A$2:$K$105,10,FALSE))</f>
        <v/>
      </c>
      <c r="E744" s="5" t="inlineStr"/>
      <c r="F744" s="5" t="inlineStr"/>
      <c r="G744" s="8">
        <f>IF($B744="","",VLOOKUP($B744,Jogos!$A$2:$K$105,9,FALSE))</f>
        <v/>
      </c>
      <c r="H744" s="8">
        <f>IF($B744="","",VLOOKUP($B744,Jogos!$A$2:$K$105,11,FALSE))</f>
        <v/>
      </c>
      <c r="I744" s="5">
        <f>IF(OR($A744="", $B744="", $E744="", $F744="", $G744="", $H744=""), "",IF(AND($E744=$G744, $F744=$H744), 3, IF(SIGN($E744-$F744)=SIGN($G744-$H744), 1, 0))))</f>
        <v/>
      </c>
    </row>
    <row r="745">
      <c r="A745" s="5" t="inlineStr"/>
      <c r="B745" s="5" t="inlineStr"/>
      <c r="C745" s="5">
        <f>IF($B745="","",VLOOKUP($B745,Jogos!$A$2:$K$105,8,FALSE))</f>
        <v/>
      </c>
      <c r="D745" s="5">
        <f>IF($B745="","",VLOOKUP($B745,Jogos!$A$2:$K$105,10,FALSE))</f>
        <v/>
      </c>
      <c r="E745" s="5" t="inlineStr"/>
      <c r="F745" s="5" t="inlineStr"/>
      <c r="G745" s="8">
        <f>IF($B745="","",VLOOKUP($B745,Jogos!$A$2:$K$105,9,FALSE))</f>
        <v/>
      </c>
      <c r="H745" s="8">
        <f>IF($B745="","",VLOOKUP($B745,Jogos!$A$2:$K$105,11,FALSE))</f>
        <v/>
      </c>
      <c r="I745" s="5">
        <f>IF(OR($A745="", $B745="", $E745="", $F745="", $G745="", $H745=""), "",IF(AND($E745=$G745, $F745=$H745), 3, IF(SIGN($E745-$F745)=SIGN($G745-$H745), 1, 0))))</f>
        <v/>
      </c>
    </row>
    <row r="746">
      <c r="A746" s="5" t="inlineStr"/>
      <c r="B746" s="5" t="inlineStr"/>
      <c r="C746" s="5">
        <f>IF($B746="","",VLOOKUP($B746,Jogos!$A$2:$K$105,8,FALSE))</f>
        <v/>
      </c>
      <c r="D746" s="5">
        <f>IF($B746="","",VLOOKUP($B746,Jogos!$A$2:$K$105,10,FALSE))</f>
        <v/>
      </c>
      <c r="E746" s="5" t="inlineStr"/>
      <c r="F746" s="5" t="inlineStr"/>
      <c r="G746" s="8">
        <f>IF($B746="","",VLOOKUP($B746,Jogos!$A$2:$K$105,9,FALSE))</f>
        <v/>
      </c>
      <c r="H746" s="8">
        <f>IF($B746="","",VLOOKUP($B746,Jogos!$A$2:$K$105,11,FALSE))</f>
        <v/>
      </c>
      <c r="I746" s="5">
        <f>IF(OR($A746="", $B746="", $E746="", $F746="", $G746="", $H746=""), "",IF(AND($E746=$G746, $F746=$H746), 3, IF(SIGN($E746-$F746)=SIGN($G746-$H746), 1, 0))))</f>
        <v/>
      </c>
    </row>
    <row r="747">
      <c r="A747" s="5" t="inlineStr"/>
      <c r="B747" s="5" t="inlineStr"/>
      <c r="C747" s="5">
        <f>IF($B747="","",VLOOKUP($B747,Jogos!$A$2:$K$105,8,FALSE))</f>
        <v/>
      </c>
      <c r="D747" s="5">
        <f>IF($B747="","",VLOOKUP($B747,Jogos!$A$2:$K$105,10,FALSE))</f>
        <v/>
      </c>
      <c r="E747" s="5" t="inlineStr"/>
      <c r="F747" s="5" t="inlineStr"/>
      <c r="G747" s="8">
        <f>IF($B747="","",VLOOKUP($B747,Jogos!$A$2:$K$105,9,FALSE))</f>
        <v/>
      </c>
      <c r="H747" s="8">
        <f>IF($B747="","",VLOOKUP($B747,Jogos!$A$2:$K$105,11,FALSE))</f>
        <v/>
      </c>
      <c r="I747" s="5">
        <f>IF(OR($A747="", $B747="", $E747="", $F747="", $G747="", $H747=""), "",IF(AND($E747=$G747, $F747=$H747), 3, IF(SIGN($E747-$F747)=SIGN($G747-$H747), 1, 0))))</f>
        <v/>
      </c>
    </row>
    <row r="748">
      <c r="A748" s="5" t="inlineStr"/>
      <c r="B748" s="5" t="inlineStr"/>
      <c r="C748" s="5">
        <f>IF($B748="","",VLOOKUP($B748,Jogos!$A$2:$K$105,8,FALSE))</f>
        <v/>
      </c>
      <c r="D748" s="5">
        <f>IF($B748="","",VLOOKUP($B748,Jogos!$A$2:$K$105,10,FALSE))</f>
        <v/>
      </c>
      <c r="E748" s="5" t="inlineStr"/>
      <c r="F748" s="5" t="inlineStr"/>
      <c r="G748" s="8">
        <f>IF($B748="","",VLOOKUP($B748,Jogos!$A$2:$K$105,9,FALSE))</f>
        <v/>
      </c>
      <c r="H748" s="8">
        <f>IF($B748="","",VLOOKUP($B748,Jogos!$A$2:$K$105,11,FALSE))</f>
        <v/>
      </c>
      <c r="I748" s="5">
        <f>IF(OR($A748="", $B748="", $E748="", $F748="", $G748="", $H748=""), "",IF(AND($E748=$G748, $F748=$H748), 3, IF(SIGN($E748-$F748)=SIGN($G748-$H748), 1, 0))))</f>
        <v/>
      </c>
    </row>
    <row r="749">
      <c r="A749" s="5" t="inlineStr"/>
      <c r="B749" s="5" t="inlineStr"/>
      <c r="C749" s="5">
        <f>IF($B749="","",VLOOKUP($B749,Jogos!$A$2:$K$105,8,FALSE))</f>
        <v/>
      </c>
      <c r="D749" s="5">
        <f>IF($B749="","",VLOOKUP($B749,Jogos!$A$2:$K$105,10,FALSE))</f>
        <v/>
      </c>
      <c r="E749" s="5" t="inlineStr"/>
      <c r="F749" s="5" t="inlineStr"/>
      <c r="G749" s="8">
        <f>IF($B749="","",VLOOKUP($B749,Jogos!$A$2:$K$105,9,FALSE))</f>
        <v/>
      </c>
      <c r="H749" s="8">
        <f>IF($B749="","",VLOOKUP($B749,Jogos!$A$2:$K$105,11,FALSE))</f>
        <v/>
      </c>
      <c r="I749" s="5">
        <f>IF(OR($A749="", $B749="", $E749="", $F749="", $G749="", $H749=""), "",IF(AND($E749=$G749, $F749=$H749), 3, IF(SIGN($E749-$F749)=SIGN($G749-$H749), 1, 0))))</f>
        <v/>
      </c>
    </row>
    <row r="750">
      <c r="A750" s="5" t="inlineStr"/>
      <c r="B750" s="5" t="inlineStr"/>
      <c r="C750" s="5">
        <f>IF($B750="","",VLOOKUP($B750,Jogos!$A$2:$K$105,8,FALSE))</f>
        <v/>
      </c>
      <c r="D750" s="5">
        <f>IF($B750="","",VLOOKUP($B750,Jogos!$A$2:$K$105,10,FALSE))</f>
        <v/>
      </c>
      <c r="E750" s="5" t="inlineStr"/>
      <c r="F750" s="5" t="inlineStr"/>
      <c r="G750" s="8">
        <f>IF($B750="","",VLOOKUP($B750,Jogos!$A$2:$K$105,9,FALSE))</f>
        <v/>
      </c>
      <c r="H750" s="8">
        <f>IF($B750="","",VLOOKUP($B750,Jogos!$A$2:$K$105,11,FALSE))</f>
        <v/>
      </c>
      <c r="I750" s="5">
        <f>IF(OR($A750="", $B750="", $E750="", $F750="", $G750="", $H750=""), "",IF(AND($E750=$G750, $F750=$H750), 3, IF(SIGN($E750-$F750)=SIGN($G750-$H750), 1, 0))))</f>
        <v/>
      </c>
    </row>
    <row r="751">
      <c r="A751" s="5" t="inlineStr"/>
      <c r="B751" s="5" t="inlineStr"/>
      <c r="C751" s="5">
        <f>IF($B751="","",VLOOKUP($B751,Jogos!$A$2:$K$105,8,FALSE))</f>
        <v/>
      </c>
      <c r="D751" s="5">
        <f>IF($B751="","",VLOOKUP($B751,Jogos!$A$2:$K$105,10,FALSE))</f>
        <v/>
      </c>
      <c r="E751" s="5" t="inlineStr"/>
      <c r="F751" s="5" t="inlineStr"/>
      <c r="G751" s="8">
        <f>IF($B751="","",VLOOKUP($B751,Jogos!$A$2:$K$105,9,FALSE))</f>
        <v/>
      </c>
      <c r="H751" s="8">
        <f>IF($B751="","",VLOOKUP($B751,Jogos!$A$2:$K$105,11,FALSE))</f>
        <v/>
      </c>
      <c r="I751" s="5">
        <f>IF(OR($A751="", $B751="", $E751="", $F751="", $G751="", $H751=""), "",IF(AND($E751=$G751, $F751=$H751), 3, IF(SIGN($E751-$F751)=SIGN($G751-$H751), 1, 0))))</f>
        <v/>
      </c>
    </row>
    <row r="752">
      <c r="A752" s="5" t="inlineStr"/>
      <c r="B752" s="5" t="inlineStr"/>
      <c r="C752" s="5">
        <f>IF($B752="","",VLOOKUP($B752,Jogos!$A$2:$K$105,8,FALSE))</f>
        <v/>
      </c>
      <c r="D752" s="5">
        <f>IF($B752="","",VLOOKUP($B752,Jogos!$A$2:$K$105,10,FALSE))</f>
        <v/>
      </c>
      <c r="E752" s="5" t="inlineStr"/>
      <c r="F752" s="5" t="inlineStr"/>
      <c r="G752" s="8">
        <f>IF($B752="","",VLOOKUP($B752,Jogos!$A$2:$K$105,9,FALSE))</f>
        <v/>
      </c>
      <c r="H752" s="8">
        <f>IF($B752="","",VLOOKUP($B752,Jogos!$A$2:$K$105,11,FALSE))</f>
        <v/>
      </c>
      <c r="I752" s="5">
        <f>IF(OR($A752="", $B752="", $E752="", $F752="", $G752="", $H752=""), "",IF(AND($E752=$G752, $F752=$H752), 3, IF(SIGN($E752-$F752)=SIGN($G752-$H752), 1, 0))))</f>
        <v/>
      </c>
    </row>
    <row r="753">
      <c r="A753" s="5" t="inlineStr"/>
      <c r="B753" s="5" t="inlineStr"/>
      <c r="C753" s="5">
        <f>IF($B753="","",VLOOKUP($B753,Jogos!$A$2:$K$105,8,FALSE))</f>
        <v/>
      </c>
      <c r="D753" s="5">
        <f>IF($B753="","",VLOOKUP($B753,Jogos!$A$2:$K$105,10,FALSE))</f>
        <v/>
      </c>
      <c r="E753" s="5" t="inlineStr"/>
      <c r="F753" s="5" t="inlineStr"/>
      <c r="G753" s="8">
        <f>IF($B753="","",VLOOKUP($B753,Jogos!$A$2:$K$105,9,FALSE))</f>
        <v/>
      </c>
      <c r="H753" s="8">
        <f>IF($B753="","",VLOOKUP($B753,Jogos!$A$2:$K$105,11,FALSE))</f>
        <v/>
      </c>
      <c r="I753" s="5">
        <f>IF(OR($A753="", $B753="", $E753="", $F753="", $G753="", $H753=""), "",IF(AND($E753=$G753, $F753=$H753), 3, IF(SIGN($E753-$F753)=SIGN($G753-$H753), 1, 0))))</f>
        <v/>
      </c>
    </row>
    <row r="754">
      <c r="A754" s="5" t="inlineStr"/>
      <c r="B754" s="5" t="inlineStr"/>
      <c r="C754" s="5">
        <f>IF($B754="","",VLOOKUP($B754,Jogos!$A$2:$K$105,8,FALSE))</f>
        <v/>
      </c>
      <c r="D754" s="5">
        <f>IF($B754="","",VLOOKUP($B754,Jogos!$A$2:$K$105,10,FALSE))</f>
        <v/>
      </c>
      <c r="E754" s="5" t="inlineStr"/>
      <c r="F754" s="5" t="inlineStr"/>
      <c r="G754" s="8">
        <f>IF($B754="","",VLOOKUP($B754,Jogos!$A$2:$K$105,9,FALSE))</f>
        <v/>
      </c>
      <c r="H754" s="8">
        <f>IF($B754="","",VLOOKUP($B754,Jogos!$A$2:$K$105,11,FALSE))</f>
        <v/>
      </c>
      <c r="I754" s="5">
        <f>IF(OR($A754="", $B754="", $E754="", $F754="", $G754="", $H754=""), "",IF(AND($E754=$G754, $F754=$H754), 3, IF(SIGN($E754-$F754)=SIGN($G754-$H754), 1, 0))))</f>
        <v/>
      </c>
    </row>
    <row r="755">
      <c r="A755" s="5" t="inlineStr"/>
      <c r="B755" s="5" t="inlineStr"/>
      <c r="C755" s="5">
        <f>IF($B755="","",VLOOKUP($B755,Jogos!$A$2:$K$105,8,FALSE))</f>
        <v/>
      </c>
      <c r="D755" s="5">
        <f>IF($B755="","",VLOOKUP($B755,Jogos!$A$2:$K$105,10,FALSE))</f>
        <v/>
      </c>
      <c r="E755" s="5" t="inlineStr"/>
      <c r="F755" s="5" t="inlineStr"/>
      <c r="G755" s="8">
        <f>IF($B755="","",VLOOKUP($B755,Jogos!$A$2:$K$105,9,FALSE))</f>
        <v/>
      </c>
      <c r="H755" s="8">
        <f>IF($B755="","",VLOOKUP($B755,Jogos!$A$2:$K$105,11,FALSE))</f>
        <v/>
      </c>
      <c r="I755" s="5">
        <f>IF(OR($A755="", $B755="", $E755="", $F755="", $G755="", $H755=""), "",IF(AND($E755=$G755, $F755=$H755), 3, IF(SIGN($E755-$F755)=SIGN($G755-$H755), 1, 0))))</f>
        <v/>
      </c>
    </row>
    <row r="756">
      <c r="A756" s="5" t="inlineStr"/>
      <c r="B756" s="5" t="inlineStr"/>
      <c r="C756" s="5">
        <f>IF($B756="","",VLOOKUP($B756,Jogos!$A$2:$K$105,8,FALSE))</f>
        <v/>
      </c>
      <c r="D756" s="5">
        <f>IF($B756="","",VLOOKUP($B756,Jogos!$A$2:$K$105,10,FALSE))</f>
        <v/>
      </c>
      <c r="E756" s="5" t="inlineStr"/>
      <c r="F756" s="5" t="inlineStr"/>
      <c r="G756" s="8">
        <f>IF($B756="","",VLOOKUP($B756,Jogos!$A$2:$K$105,9,FALSE))</f>
        <v/>
      </c>
      <c r="H756" s="8">
        <f>IF($B756="","",VLOOKUP($B756,Jogos!$A$2:$K$105,11,FALSE))</f>
        <v/>
      </c>
      <c r="I756" s="5">
        <f>IF(OR($A756="", $B756="", $E756="", $F756="", $G756="", $H756=""), "",IF(AND($E756=$G756, $F756=$H756), 3, IF(SIGN($E756-$F756)=SIGN($G756-$H756), 1, 0))))</f>
        <v/>
      </c>
    </row>
    <row r="757">
      <c r="A757" s="5" t="inlineStr"/>
      <c r="B757" s="5" t="inlineStr"/>
      <c r="C757" s="5">
        <f>IF($B757="","",VLOOKUP($B757,Jogos!$A$2:$K$105,8,FALSE))</f>
        <v/>
      </c>
      <c r="D757" s="5">
        <f>IF($B757="","",VLOOKUP($B757,Jogos!$A$2:$K$105,10,FALSE))</f>
        <v/>
      </c>
      <c r="E757" s="5" t="inlineStr"/>
      <c r="F757" s="5" t="inlineStr"/>
      <c r="G757" s="8">
        <f>IF($B757="","",VLOOKUP($B757,Jogos!$A$2:$K$105,9,FALSE))</f>
        <v/>
      </c>
      <c r="H757" s="8">
        <f>IF($B757="","",VLOOKUP($B757,Jogos!$A$2:$K$105,11,FALSE))</f>
        <v/>
      </c>
      <c r="I757" s="5">
        <f>IF(OR($A757="", $B757="", $E757="", $F757="", $G757="", $H757=""), "",IF(AND($E757=$G757, $F757=$H757), 3, IF(SIGN($E757-$F757)=SIGN($G757-$H757), 1, 0))))</f>
        <v/>
      </c>
    </row>
    <row r="758">
      <c r="A758" s="5" t="inlineStr"/>
      <c r="B758" s="5" t="inlineStr"/>
      <c r="C758" s="5">
        <f>IF($B758="","",VLOOKUP($B758,Jogos!$A$2:$K$105,8,FALSE))</f>
        <v/>
      </c>
      <c r="D758" s="5">
        <f>IF($B758="","",VLOOKUP($B758,Jogos!$A$2:$K$105,10,FALSE))</f>
        <v/>
      </c>
      <c r="E758" s="5" t="inlineStr"/>
      <c r="F758" s="5" t="inlineStr"/>
      <c r="G758" s="8">
        <f>IF($B758="","",VLOOKUP($B758,Jogos!$A$2:$K$105,9,FALSE))</f>
        <v/>
      </c>
      <c r="H758" s="8">
        <f>IF($B758="","",VLOOKUP($B758,Jogos!$A$2:$K$105,11,FALSE))</f>
        <v/>
      </c>
      <c r="I758" s="5">
        <f>IF(OR($A758="", $B758="", $E758="", $F758="", $G758="", $H758=""), "",IF(AND($E758=$G758, $F758=$H758), 3, IF(SIGN($E758-$F758)=SIGN($G758-$H758), 1, 0))))</f>
        <v/>
      </c>
    </row>
    <row r="759">
      <c r="A759" s="5" t="inlineStr"/>
      <c r="B759" s="5" t="inlineStr"/>
      <c r="C759" s="5">
        <f>IF($B759="","",VLOOKUP($B759,Jogos!$A$2:$K$105,8,FALSE))</f>
        <v/>
      </c>
      <c r="D759" s="5">
        <f>IF($B759="","",VLOOKUP($B759,Jogos!$A$2:$K$105,10,FALSE))</f>
        <v/>
      </c>
      <c r="E759" s="5" t="inlineStr"/>
      <c r="F759" s="5" t="inlineStr"/>
      <c r="G759" s="8">
        <f>IF($B759="","",VLOOKUP($B759,Jogos!$A$2:$K$105,9,FALSE))</f>
        <v/>
      </c>
      <c r="H759" s="8">
        <f>IF($B759="","",VLOOKUP($B759,Jogos!$A$2:$K$105,11,FALSE))</f>
        <v/>
      </c>
      <c r="I759" s="5">
        <f>IF(OR($A759="", $B759="", $E759="", $F759="", $G759="", $H759=""), "",IF(AND($E759=$G759, $F759=$H759), 3, IF(SIGN($E759-$F759)=SIGN($G759-$H759), 1, 0))))</f>
        <v/>
      </c>
    </row>
    <row r="760">
      <c r="A760" s="5" t="inlineStr"/>
      <c r="B760" s="5" t="inlineStr"/>
      <c r="C760" s="5">
        <f>IF($B760="","",VLOOKUP($B760,Jogos!$A$2:$K$105,8,FALSE))</f>
        <v/>
      </c>
      <c r="D760" s="5">
        <f>IF($B760="","",VLOOKUP($B760,Jogos!$A$2:$K$105,10,FALSE))</f>
        <v/>
      </c>
      <c r="E760" s="5" t="inlineStr"/>
      <c r="F760" s="5" t="inlineStr"/>
      <c r="G760" s="8">
        <f>IF($B760="","",VLOOKUP($B760,Jogos!$A$2:$K$105,9,FALSE))</f>
        <v/>
      </c>
      <c r="H760" s="8">
        <f>IF($B760="","",VLOOKUP($B760,Jogos!$A$2:$K$105,11,FALSE))</f>
        <v/>
      </c>
      <c r="I760" s="5">
        <f>IF(OR($A760="", $B760="", $E760="", $F760="", $G760="", $H760=""), "",IF(AND($E760=$G760, $F760=$H760), 3, IF(SIGN($E760-$F760)=SIGN($G760-$H760), 1, 0))))</f>
        <v/>
      </c>
    </row>
    <row r="761">
      <c r="A761" s="5" t="inlineStr"/>
      <c r="B761" s="5" t="inlineStr"/>
      <c r="C761" s="5">
        <f>IF($B761="","",VLOOKUP($B761,Jogos!$A$2:$K$105,8,FALSE))</f>
        <v/>
      </c>
      <c r="D761" s="5">
        <f>IF($B761="","",VLOOKUP($B761,Jogos!$A$2:$K$105,10,FALSE))</f>
        <v/>
      </c>
      <c r="E761" s="5" t="inlineStr"/>
      <c r="F761" s="5" t="inlineStr"/>
      <c r="G761" s="8">
        <f>IF($B761="","",VLOOKUP($B761,Jogos!$A$2:$K$105,9,FALSE))</f>
        <v/>
      </c>
      <c r="H761" s="8">
        <f>IF($B761="","",VLOOKUP($B761,Jogos!$A$2:$K$105,11,FALSE))</f>
        <v/>
      </c>
      <c r="I761" s="5">
        <f>IF(OR($A761="", $B761="", $E761="", $F761="", $G761="", $H761=""), "",IF(AND($E761=$G761, $F761=$H761), 3, IF(SIGN($E761-$F761)=SIGN($G761-$H761), 1, 0))))</f>
        <v/>
      </c>
    </row>
    <row r="762">
      <c r="A762" s="5" t="inlineStr"/>
      <c r="B762" s="5" t="inlineStr"/>
      <c r="C762" s="5">
        <f>IF($B762="","",VLOOKUP($B762,Jogos!$A$2:$K$105,8,FALSE))</f>
        <v/>
      </c>
      <c r="D762" s="5">
        <f>IF($B762="","",VLOOKUP($B762,Jogos!$A$2:$K$105,10,FALSE))</f>
        <v/>
      </c>
      <c r="E762" s="5" t="inlineStr"/>
      <c r="F762" s="5" t="inlineStr"/>
      <c r="G762" s="8">
        <f>IF($B762="","",VLOOKUP($B762,Jogos!$A$2:$K$105,9,FALSE))</f>
        <v/>
      </c>
      <c r="H762" s="8">
        <f>IF($B762="","",VLOOKUP($B762,Jogos!$A$2:$K$105,11,FALSE))</f>
        <v/>
      </c>
      <c r="I762" s="5">
        <f>IF(OR($A762="", $B762="", $E762="", $F762="", $G762="", $H762=""), "",IF(AND($E762=$G762, $F762=$H762), 3, IF(SIGN($E762-$F762)=SIGN($G762-$H762), 1, 0))))</f>
        <v/>
      </c>
    </row>
    <row r="763">
      <c r="A763" s="5" t="inlineStr"/>
      <c r="B763" s="5" t="inlineStr"/>
      <c r="C763" s="5">
        <f>IF($B763="","",VLOOKUP($B763,Jogos!$A$2:$K$105,8,FALSE))</f>
        <v/>
      </c>
      <c r="D763" s="5">
        <f>IF($B763="","",VLOOKUP($B763,Jogos!$A$2:$K$105,10,FALSE))</f>
        <v/>
      </c>
      <c r="E763" s="5" t="inlineStr"/>
      <c r="F763" s="5" t="inlineStr"/>
      <c r="G763" s="8">
        <f>IF($B763="","",VLOOKUP($B763,Jogos!$A$2:$K$105,9,FALSE))</f>
        <v/>
      </c>
      <c r="H763" s="8">
        <f>IF($B763="","",VLOOKUP($B763,Jogos!$A$2:$K$105,11,FALSE))</f>
        <v/>
      </c>
      <c r="I763" s="5">
        <f>IF(OR($A763="", $B763="", $E763="", $F763="", $G763="", $H763=""), "",IF(AND($E763=$G763, $F763=$H763), 3, IF(SIGN($E763-$F763)=SIGN($G763-$H763), 1, 0))))</f>
        <v/>
      </c>
    </row>
    <row r="764">
      <c r="A764" s="5" t="inlineStr"/>
      <c r="B764" s="5" t="inlineStr"/>
      <c r="C764" s="5">
        <f>IF($B764="","",VLOOKUP($B764,Jogos!$A$2:$K$105,8,FALSE))</f>
        <v/>
      </c>
      <c r="D764" s="5">
        <f>IF($B764="","",VLOOKUP($B764,Jogos!$A$2:$K$105,10,FALSE))</f>
        <v/>
      </c>
      <c r="E764" s="5" t="inlineStr"/>
      <c r="F764" s="5" t="inlineStr"/>
      <c r="G764" s="8">
        <f>IF($B764="","",VLOOKUP($B764,Jogos!$A$2:$K$105,9,FALSE))</f>
        <v/>
      </c>
      <c r="H764" s="8">
        <f>IF($B764="","",VLOOKUP($B764,Jogos!$A$2:$K$105,11,FALSE))</f>
        <v/>
      </c>
      <c r="I764" s="5">
        <f>IF(OR($A764="", $B764="", $E764="", $F764="", $G764="", $H764=""), "",IF(AND($E764=$G764, $F764=$H764), 3, IF(SIGN($E764-$F764)=SIGN($G764-$H764), 1, 0))))</f>
        <v/>
      </c>
    </row>
    <row r="765">
      <c r="A765" s="5" t="inlineStr"/>
      <c r="B765" s="5" t="inlineStr"/>
      <c r="C765" s="5">
        <f>IF($B765="","",VLOOKUP($B765,Jogos!$A$2:$K$105,8,FALSE))</f>
        <v/>
      </c>
      <c r="D765" s="5">
        <f>IF($B765="","",VLOOKUP($B765,Jogos!$A$2:$K$105,10,FALSE))</f>
        <v/>
      </c>
      <c r="E765" s="5" t="inlineStr"/>
      <c r="F765" s="5" t="inlineStr"/>
      <c r="G765" s="8">
        <f>IF($B765="","",VLOOKUP($B765,Jogos!$A$2:$K$105,9,FALSE))</f>
        <v/>
      </c>
      <c r="H765" s="8">
        <f>IF($B765="","",VLOOKUP($B765,Jogos!$A$2:$K$105,11,FALSE))</f>
        <v/>
      </c>
      <c r="I765" s="5">
        <f>IF(OR($A765="", $B765="", $E765="", $F765="", $G765="", $H765=""), "",IF(AND($E765=$G765, $F765=$H765), 3, IF(SIGN($E765-$F765)=SIGN($G765-$H765), 1, 0))))</f>
        <v/>
      </c>
    </row>
    <row r="766">
      <c r="A766" s="5" t="inlineStr"/>
      <c r="B766" s="5" t="inlineStr"/>
      <c r="C766" s="5">
        <f>IF($B766="","",VLOOKUP($B766,Jogos!$A$2:$K$105,8,FALSE))</f>
        <v/>
      </c>
      <c r="D766" s="5">
        <f>IF($B766="","",VLOOKUP($B766,Jogos!$A$2:$K$105,10,FALSE))</f>
        <v/>
      </c>
      <c r="E766" s="5" t="inlineStr"/>
      <c r="F766" s="5" t="inlineStr"/>
      <c r="G766" s="8">
        <f>IF($B766="","",VLOOKUP($B766,Jogos!$A$2:$K$105,9,FALSE))</f>
        <v/>
      </c>
      <c r="H766" s="8">
        <f>IF($B766="","",VLOOKUP($B766,Jogos!$A$2:$K$105,11,FALSE))</f>
        <v/>
      </c>
      <c r="I766" s="5">
        <f>IF(OR($A766="", $B766="", $E766="", $F766="", $G766="", $H766=""), "",IF(AND($E766=$G766, $F766=$H766), 3, IF(SIGN($E766-$F766)=SIGN($G766-$H766), 1, 0))))</f>
        <v/>
      </c>
    </row>
    <row r="767">
      <c r="A767" s="5" t="inlineStr"/>
      <c r="B767" s="5" t="inlineStr"/>
      <c r="C767" s="5">
        <f>IF($B767="","",VLOOKUP($B767,Jogos!$A$2:$K$105,8,FALSE))</f>
        <v/>
      </c>
      <c r="D767" s="5">
        <f>IF($B767="","",VLOOKUP($B767,Jogos!$A$2:$K$105,10,FALSE))</f>
        <v/>
      </c>
      <c r="E767" s="5" t="inlineStr"/>
      <c r="F767" s="5" t="inlineStr"/>
      <c r="G767" s="8">
        <f>IF($B767="","",VLOOKUP($B767,Jogos!$A$2:$K$105,9,FALSE))</f>
        <v/>
      </c>
      <c r="H767" s="8">
        <f>IF($B767="","",VLOOKUP($B767,Jogos!$A$2:$K$105,11,FALSE))</f>
        <v/>
      </c>
      <c r="I767" s="5">
        <f>IF(OR($A767="", $B767="", $E767="", $F767="", $G767="", $H767=""), "",IF(AND($E767=$G767, $F767=$H767), 3, IF(SIGN($E767-$F767)=SIGN($G767-$H767), 1, 0))))</f>
        <v/>
      </c>
    </row>
    <row r="768">
      <c r="A768" s="5" t="inlineStr"/>
      <c r="B768" s="5" t="inlineStr"/>
      <c r="C768" s="5">
        <f>IF($B768="","",VLOOKUP($B768,Jogos!$A$2:$K$105,8,FALSE))</f>
        <v/>
      </c>
      <c r="D768" s="5">
        <f>IF($B768="","",VLOOKUP($B768,Jogos!$A$2:$K$105,10,FALSE))</f>
        <v/>
      </c>
      <c r="E768" s="5" t="inlineStr"/>
      <c r="F768" s="5" t="inlineStr"/>
      <c r="G768" s="8">
        <f>IF($B768="","",VLOOKUP($B768,Jogos!$A$2:$K$105,9,FALSE))</f>
        <v/>
      </c>
      <c r="H768" s="8">
        <f>IF($B768="","",VLOOKUP($B768,Jogos!$A$2:$K$105,11,FALSE))</f>
        <v/>
      </c>
      <c r="I768" s="5">
        <f>IF(OR($A768="", $B768="", $E768="", $F768="", $G768="", $H768=""), "",IF(AND($E768=$G768, $F768=$H768), 3, IF(SIGN($E768-$F768)=SIGN($G768-$H768), 1, 0))))</f>
        <v/>
      </c>
    </row>
    <row r="769">
      <c r="A769" s="5" t="inlineStr"/>
      <c r="B769" s="5" t="inlineStr"/>
      <c r="C769" s="5">
        <f>IF($B769="","",VLOOKUP($B769,Jogos!$A$2:$K$105,8,FALSE))</f>
        <v/>
      </c>
      <c r="D769" s="5">
        <f>IF($B769="","",VLOOKUP($B769,Jogos!$A$2:$K$105,10,FALSE))</f>
        <v/>
      </c>
      <c r="E769" s="5" t="inlineStr"/>
      <c r="F769" s="5" t="inlineStr"/>
      <c r="G769" s="8">
        <f>IF($B769="","",VLOOKUP($B769,Jogos!$A$2:$K$105,9,FALSE))</f>
        <v/>
      </c>
      <c r="H769" s="8">
        <f>IF($B769="","",VLOOKUP($B769,Jogos!$A$2:$K$105,11,FALSE))</f>
        <v/>
      </c>
      <c r="I769" s="5">
        <f>IF(OR($A769="", $B769="", $E769="", $F769="", $G769="", $H769=""), "",IF(AND($E769=$G769, $F769=$H769), 3, IF(SIGN($E769-$F769)=SIGN($G769-$H769), 1, 0))))</f>
        <v/>
      </c>
    </row>
    <row r="770">
      <c r="A770" s="5" t="inlineStr"/>
      <c r="B770" s="5" t="inlineStr"/>
      <c r="C770" s="5">
        <f>IF($B770="","",VLOOKUP($B770,Jogos!$A$2:$K$105,8,FALSE))</f>
        <v/>
      </c>
      <c r="D770" s="5">
        <f>IF($B770="","",VLOOKUP($B770,Jogos!$A$2:$K$105,10,FALSE))</f>
        <v/>
      </c>
      <c r="E770" s="5" t="inlineStr"/>
      <c r="F770" s="5" t="inlineStr"/>
      <c r="G770" s="8">
        <f>IF($B770="","",VLOOKUP($B770,Jogos!$A$2:$K$105,9,FALSE))</f>
        <v/>
      </c>
      <c r="H770" s="8">
        <f>IF($B770="","",VLOOKUP($B770,Jogos!$A$2:$K$105,11,FALSE))</f>
        <v/>
      </c>
      <c r="I770" s="5">
        <f>IF(OR($A770="", $B770="", $E770="", $F770="", $G770="", $H770=""), "",IF(AND($E770=$G770, $F770=$H770), 3, IF(SIGN($E770-$F770)=SIGN($G770-$H770), 1, 0))))</f>
        <v/>
      </c>
    </row>
    <row r="771">
      <c r="A771" s="5" t="inlineStr"/>
      <c r="B771" s="5" t="inlineStr"/>
      <c r="C771" s="5">
        <f>IF($B771="","",VLOOKUP($B771,Jogos!$A$2:$K$105,8,FALSE))</f>
        <v/>
      </c>
      <c r="D771" s="5">
        <f>IF($B771="","",VLOOKUP($B771,Jogos!$A$2:$K$105,10,FALSE))</f>
        <v/>
      </c>
      <c r="E771" s="5" t="inlineStr"/>
      <c r="F771" s="5" t="inlineStr"/>
      <c r="G771" s="8">
        <f>IF($B771="","",VLOOKUP($B771,Jogos!$A$2:$K$105,9,FALSE))</f>
        <v/>
      </c>
      <c r="H771" s="8">
        <f>IF($B771="","",VLOOKUP($B771,Jogos!$A$2:$K$105,11,FALSE))</f>
        <v/>
      </c>
      <c r="I771" s="5">
        <f>IF(OR($A771="", $B771="", $E771="", $F771="", $G771="", $H771=""), "",IF(AND($E771=$G771, $F771=$H771), 3, IF(SIGN($E771-$F771)=SIGN($G771-$H771), 1, 0))))</f>
        <v/>
      </c>
    </row>
    <row r="772">
      <c r="A772" s="5" t="inlineStr"/>
      <c r="B772" s="5" t="inlineStr"/>
      <c r="C772" s="5">
        <f>IF($B772="","",VLOOKUP($B772,Jogos!$A$2:$K$105,8,FALSE))</f>
        <v/>
      </c>
      <c r="D772" s="5">
        <f>IF($B772="","",VLOOKUP($B772,Jogos!$A$2:$K$105,10,FALSE))</f>
        <v/>
      </c>
      <c r="E772" s="5" t="inlineStr"/>
      <c r="F772" s="5" t="inlineStr"/>
      <c r="G772" s="8">
        <f>IF($B772="","",VLOOKUP($B772,Jogos!$A$2:$K$105,9,FALSE))</f>
        <v/>
      </c>
      <c r="H772" s="8">
        <f>IF($B772="","",VLOOKUP($B772,Jogos!$A$2:$K$105,11,FALSE))</f>
        <v/>
      </c>
      <c r="I772" s="5">
        <f>IF(OR($A772="", $B772="", $E772="", $F772="", $G772="", $H772=""), "",IF(AND($E772=$G772, $F772=$H772), 3, IF(SIGN($E772-$F772)=SIGN($G772-$H772), 1, 0))))</f>
        <v/>
      </c>
    </row>
    <row r="773">
      <c r="A773" s="5" t="inlineStr"/>
      <c r="B773" s="5" t="inlineStr"/>
      <c r="C773" s="5">
        <f>IF($B773="","",VLOOKUP($B773,Jogos!$A$2:$K$105,8,FALSE))</f>
        <v/>
      </c>
      <c r="D773" s="5">
        <f>IF($B773="","",VLOOKUP($B773,Jogos!$A$2:$K$105,10,FALSE))</f>
        <v/>
      </c>
      <c r="E773" s="5" t="inlineStr"/>
      <c r="F773" s="5" t="inlineStr"/>
      <c r="G773" s="8">
        <f>IF($B773="","",VLOOKUP($B773,Jogos!$A$2:$K$105,9,FALSE))</f>
        <v/>
      </c>
      <c r="H773" s="8">
        <f>IF($B773="","",VLOOKUP($B773,Jogos!$A$2:$K$105,11,FALSE))</f>
        <v/>
      </c>
      <c r="I773" s="5">
        <f>IF(OR($A773="", $B773="", $E773="", $F773="", $G773="", $H773=""), "",IF(AND($E773=$G773, $F773=$H773), 3, IF(SIGN($E773-$F773)=SIGN($G773-$H773), 1, 0))))</f>
        <v/>
      </c>
    </row>
    <row r="774">
      <c r="A774" s="5" t="inlineStr"/>
      <c r="B774" s="5" t="inlineStr"/>
      <c r="C774" s="5">
        <f>IF($B774="","",VLOOKUP($B774,Jogos!$A$2:$K$105,8,FALSE))</f>
        <v/>
      </c>
      <c r="D774" s="5">
        <f>IF($B774="","",VLOOKUP($B774,Jogos!$A$2:$K$105,10,FALSE))</f>
        <v/>
      </c>
      <c r="E774" s="5" t="inlineStr"/>
      <c r="F774" s="5" t="inlineStr"/>
      <c r="G774" s="8">
        <f>IF($B774="","",VLOOKUP($B774,Jogos!$A$2:$K$105,9,FALSE))</f>
        <v/>
      </c>
      <c r="H774" s="8">
        <f>IF($B774="","",VLOOKUP($B774,Jogos!$A$2:$K$105,11,FALSE))</f>
        <v/>
      </c>
      <c r="I774" s="5">
        <f>IF(OR($A774="", $B774="", $E774="", $F774="", $G774="", $H774=""), "",IF(AND($E774=$G774, $F774=$H774), 3, IF(SIGN($E774-$F774)=SIGN($G774-$H774), 1, 0))))</f>
        <v/>
      </c>
    </row>
    <row r="775">
      <c r="A775" s="5" t="inlineStr"/>
      <c r="B775" s="5" t="inlineStr"/>
      <c r="C775" s="5">
        <f>IF($B775="","",VLOOKUP($B775,Jogos!$A$2:$K$105,8,FALSE))</f>
        <v/>
      </c>
      <c r="D775" s="5">
        <f>IF($B775="","",VLOOKUP($B775,Jogos!$A$2:$K$105,10,FALSE))</f>
        <v/>
      </c>
      <c r="E775" s="5" t="inlineStr"/>
      <c r="F775" s="5" t="inlineStr"/>
      <c r="G775" s="8">
        <f>IF($B775="","",VLOOKUP($B775,Jogos!$A$2:$K$105,9,FALSE))</f>
        <v/>
      </c>
      <c r="H775" s="8">
        <f>IF($B775="","",VLOOKUP($B775,Jogos!$A$2:$K$105,11,FALSE))</f>
        <v/>
      </c>
      <c r="I775" s="5">
        <f>IF(OR($A775="", $B775="", $E775="", $F775="", $G775="", $H775=""), "",IF(AND($E775=$G775, $F775=$H775), 3, IF(SIGN($E775-$F775)=SIGN($G775-$H775), 1, 0))))</f>
        <v/>
      </c>
    </row>
    <row r="776">
      <c r="A776" s="5" t="inlineStr"/>
      <c r="B776" s="5" t="inlineStr"/>
      <c r="C776" s="5">
        <f>IF($B776="","",VLOOKUP($B776,Jogos!$A$2:$K$105,8,FALSE))</f>
        <v/>
      </c>
      <c r="D776" s="5">
        <f>IF($B776="","",VLOOKUP($B776,Jogos!$A$2:$K$105,10,FALSE))</f>
        <v/>
      </c>
      <c r="E776" s="5" t="inlineStr"/>
      <c r="F776" s="5" t="inlineStr"/>
      <c r="G776" s="8">
        <f>IF($B776="","",VLOOKUP($B776,Jogos!$A$2:$K$105,9,FALSE))</f>
        <v/>
      </c>
      <c r="H776" s="8">
        <f>IF($B776="","",VLOOKUP($B776,Jogos!$A$2:$K$105,11,FALSE))</f>
        <v/>
      </c>
      <c r="I776" s="5">
        <f>IF(OR($A776="", $B776="", $E776="", $F776="", $G776="", $H776=""), "",IF(AND($E776=$G776, $F776=$H776), 3, IF(SIGN($E776-$F776)=SIGN($G776-$H776), 1, 0))))</f>
        <v/>
      </c>
    </row>
    <row r="777">
      <c r="A777" s="5" t="inlineStr"/>
      <c r="B777" s="5" t="inlineStr"/>
      <c r="C777" s="5">
        <f>IF($B777="","",VLOOKUP($B777,Jogos!$A$2:$K$105,8,FALSE))</f>
        <v/>
      </c>
      <c r="D777" s="5">
        <f>IF($B777="","",VLOOKUP($B777,Jogos!$A$2:$K$105,10,FALSE))</f>
        <v/>
      </c>
      <c r="E777" s="5" t="inlineStr"/>
      <c r="F777" s="5" t="inlineStr"/>
      <c r="G777" s="8">
        <f>IF($B777="","",VLOOKUP($B777,Jogos!$A$2:$K$105,9,FALSE))</f>
        <v/>
      </c>
      <c r="H777" s="8">
        <f>IF($B777="","",VLOOKUP($B777,Jogos!$A$2:$K$105,11,FALSE))</f>
        <v/>
      </c>
      <c r="I777" s="5">
        <f>IF(OR($A777="", $B777="", $E777="", $F777="", $G777="", $H777=""), "",IF(AND($E777=$G777, $F777=$H777), 3, IF(SIGN($E777-$F777)=SIGN($G777-$H777), 1, 0))))</f>
        <v/>
      </c>
    </row>
    <row r="778">
      <c r="A778" s="5" t="inlineStr"/>
      <c r="B778" s="5" t="inlineStr"/>
      <c r="C778" s="5">
        <f>IF($B778="","",VLOOKUP($B778,Jogos!$A$2:$K$105,8,FALSE))</f>
        <v/>
      </c>
      <c r="D778" s="5">
        <f>IF($B778="","",VLOOKUP($B778,Jogos!$A$2:$K$105,10,FALSE))</f>
        <v/>
      </c>
      <c r="E778" s="5" t="inlineStr"/>
      <c r="F778" s="5" t="inlineStr"/>
      <c r="G778" s="8">
        <f>IF($B778="","",VLOOKUP($B778,Jogos!$A$2:$K$105,9,FALSE))</f>
        <v/>
      </c>
      <c r="H778" s="8">
        <f>IF($B778="","",VLOOKUP($B778,Jogos!$A$2:$K$105,11,FALSE))</f>
        <v/>
      </c>
      <c r="I778" s="5">
        <f>IF(OR($A778="", $B778="", $E778="", $F778="", $G778="", $H778=""), "",IF(AND($E778=$G778, $F778=$H778), 3, IF(SIGN($E778-$F778)=SIGN($G778-$H778), 1, 0))))</f>
        <v/>
      </c>
    </row>
    <row r="779">
      <c r="A779" s="5" t="inlineStr"/>
      <c r="B779" s="5" t="inlineStr"/>
      <c r="C779" s="5">
        <f>IF($B779="","",VLOOKUP($B779,Jogos!$A$2:$K$105,8,FALSE))</f>
        <v/>
      </c>
      <c r="D779" s="5">
        <f>IF($B779="","",VLOOKUP($B779,Jogos!$A$2:$K$105,10,FALSE))</f>
        <v/>
      </c>
      <c r="E779" s="5" t="inlineStr"/>
      <c r="F779" s="5" t="inlineStr"/>
      <c r="G779" s="8">
        <f>IF($B779="","",VLOOKUP($B779,Jogos!$A$2:$K$105,9,FALSE))</f>
        <v/>
      </c>
      <c r="H779" s="8">
        <f>IF($B779="","",VLOOKUP($B779,Jogos!$A$2:$K$105,11,FALSE))</f>
        <v/>
      </c>
      <c r="I779" s="5">
        <f>IF(OR($A779="", $B779="", $E779="", $F779="", $G779="", $H779=""), "",IF(AND($E779=$G779, $F779=$H779), 3, IF(SIGN($E779-$F779)=SIGN($G779-$H779), 1, 0))))</f>
        <v/>
      </c>
    </row>
    <row r="780">
      <c r="A780" s="5" t="inlineStr"/>
      <c r="B780" s="5" t="inlineStr"/>
      <c r="C780" s="5">
        <f>IF($B780="","",VLOOKUP($B780,Jogos!$A$2:$K$105,8,FALSE))</f>
        <v/>
      </c>
      <c r="D780" s="5">
        <f>IF($B780="","",VLOOKUP($B780,Jogos!$A$2:$K$105,10,FALSE))</f>
        <v/>
      </c>
      <c r="E780" s="5" t="inlineStr"/>
      <c r="F780" s="5" t="inlineStr"/>
      <c r="G780" s="8">
        <f>IF($B780="","",VLOOKUP($B780,Jogos!$A$2:$K$105,9,FALSE))</f>
        <v/>
      </c>
      <c r="H780" s="8">
        <f>IF($B780="","",VLOOKUP($B780,Jogos!$A$2:$K$105,11,FALSE))</f>
        <v/>
      </c>
      <c r="I780" s="5">
        <f>IF(OR($A780="", $B780="", $E780="", $F780="", $G780="", $H780=""), "",IF(AND($E780=$G780, $F780=$H780), 3, IF(SIGN($E780-$F780)=SIGN($G780-$H780), 1, 0))))</f>
        <v/>
      </c>
    </row>
    <row r="781">
      <c r="A781" s="5" t="inlineStr"/>
      <c r="B781" s="5" t="inlineStr"/>
      <c r="C781" s="5">
        <f>IF($B781="","",VLOOKUP($B781,Jogos!$A$2:$K$105,8,FALSE))</f>
        <v/>
      </c>
      <c r="D781" s="5">
        <f>IF($B781="","",VLOOKUP($B781,Jogos!$A$2:$K$105,10,FALSE))</f>
        <v/>
      </c>
      <c r="E781" s="5" t="inlineStr"/>
      <c r="F781" s="5" t="inlineStr"/>
      <c r="G781" s="8">
        <f>IF($B781="","",VLOOKUP($B781,Jogos!$A$2:$K$105,9,FALSE))</f>
        <v/>
      </c>
      <c r="H781" s="8">
        <f>IF($B781="","",VLOOKUP($B781,Jogos!$A$2:$K$105,11,FALSE))</f>
        <v/>
      </c>
      <c r="I781" s="5">
        <f>IF(OR($A781="", $B781="", $E781="", $F781="", $G781="", $H781=""), "",IF(AND($E781=$G781, $F781=$H781), 3, IF(SIGN($E781-$F781)=SIGN($G781-$H781), 1, 0))))</f>
        <v/>
      </c>
    </row>
    <row r="782">
      <c r="A782" s="5" t="inlineStr"/>
      <c r="B782" s="5" t="inlineStr"/>
      <c r="C782" s="5">
        <f>IF($B782="","",VLOOKUP($B782,Jogos!$A$2:$K$105,8,FALSE))</f>
        <v/>
      </c>
      <c r="D782" s="5">
        <f>IF($B782="","",VLOOKUP($B782,Jogos!$A$2:$K$105,10,FALSE))</f>
        <v/>
      </c>
      <c r="E782" s="5" t="inlineStr"/>
      <c r="F782" s="5" t="inlineStr"/>
      <c r="G782" s="8">
        <f>IF($B782="","",VLOOKUP($B782,Jogos!$A$2:$K$105,9,FALSE))</f>
        <v/>
      </c>
      <c r="H782" s="8">
        <f>IF($B782="","",VLOOKUP($B782,Jogos!$A$2:$K$105,11,FALSE))</f>
        <v/>
      </c>
      <c r="I782" s="5">
        <f>IF(OR($A782="", $B782="", $E782="", $F782="", $G782="", $H782=""), "",IF(AND($E782=$G782, $F782=$H782), 3, IF(SIGN($E782-$F782)=SIGN($G782-$H782), 1, 0))))</f>
        <v/>
      </c>
    </row>
    <row r="783">
      <c r="A783" s="5" t="inlineStr"/>
      <c r="B783" s="5" t="inlineStr"/>
      <c r="C783" s="5">
        <f>IF($B783="","",VLOOKUP($B783,Jogos!$A$2:$K$105,8,FALSE))</f>
        <v/>
      </c>
      <c r="D783" s="5">
        <f>IF($B783="","",VLOOKUP($B783,Jogos!$A$2:$K$105,10,FALSE))</f>
        <v/>
      </c>
      <c r="E783" s="5" t="inlineStr"/>
      <c r="F783" s="5" t="inlineStr"/>
      <c r="G783" s="8">
        <f>IF($B783="","",VLOOKUP($B783,Jogos!$A$2:$K$105,9,FALSE))</f>
        <v/>
      </c>
      <c r="H783" s="8">
        <f>IF($B783="","",VLOOKUP($B783,Jogos!$A$2:$K$105,11,FALSE))</f>
        <v/>
      </c>
      <c r="I783" s="5">
        <f>IF(OR($A783="", $B783="", $E783="", $F783="", $G783="", $H783=""), "",IF(AND($E783=$G783, $F783=$H783), 3, IF(SIGN($E783-$F783)=SIGN($G783-$H783), 1, 0))))</f>
        <v/>
      </c>
    </row>
    <row r="784">
      <c r="A784" s="5" t="inlineStr"/>
      <c r="B784" s="5" t="inlineStr"/>
      <c r="C784" s="5">
        <f>IF($B784="","",VLOOKUP($B784,Jogos!$A$2:$K$105,8,FALSE))</f>
        <v/>
      </c>
      <c r="D784" s="5">
        <f>IF($B784="","",VLOOKUP($B784,Jogos!$A$2:$K$105,10,FALSE))</f>
        <v/>
      </c>
      <c r="E784" s="5" t="inlineStr"/>
      <c r="F784" s="5" t="inlineStr"/>
      <c r="G784" s="8">
        <f>IF($B784="","",VLOOKUP($B784,Jogos!$A$2:$K$105,9,FALSE))</f>
        <v/>
      </c>
      <c r="H784" s="8">
        <f>IF($B784="","",VLOOKUP($B784,Jogos!$A$2:$K$105,11,FALSE))</f>
        <v/>
      </c>
      <c r="I784" s="5">
        <f>IF(OR($A784="", $B784="", $E784="", $F784="", $G784="", $H784=""), "",IF(AND($E784=$G784, $F784=$H784), 3, IF(SIGN($E784-$F784)=SIGN($G784-$H784), 1, 0))))</f>
        <v/>
      </c>
    </row>
    <row r="785">
      <c r="A785" s="5" t="inlineStr"/>
      <c r="B785" s="5" t="inlineStr"/>
      <c r="C785" s="5">
        <f>IF($B785="","",VLOOKUP($B785,Jogos!$A$2:$K$105,8,FALSE))</f>
        <v/>
      </c>
      <c r="D785" s="5">
        <f>IF($B785="","",VLOOKUP($B785,Jogos!$A$2:$K$105,10,FALSE))</f>
        <v/>
      </c>
      <c r="E785" s="5" t="inlineStr"/>
      <c r="F785" s="5" t="inlineStr"/>
      <c r="G785" s="8">
        <f>IF($B785="","",VLOOKUP($B785,Jogos!$A$2:$K$105,9,FALSE))</f>
        <v/>
      </c>
      <c r="H785" s="8">
        <f>IF($B785="","",VLOOKUP($B785,Jogos!$A$2:$K$105,11,FALSE))</f>
        <v/>
      </c>
      <c r="I785" s="5">
        <f>IF(OR($A785="", $B785="", $E785="", $F785="", $G785="", $H785=""), "",IF(AND($E785=$G785, $F785=$H785), 3, IF(SIGN($E785-$F785)=SIGN($G785-$H785), 1, 0))))</f>
        <v/>
      </c>
    </row>
    <row r="786">
      <c r="A786" s="5" t="inlineStr"/>
      <c r="B786" s="5" t="inlineStr"/>
      <c r="C786" s="5">
        <f>IF($B786="","",VLOOKUP($B786,Jogos!$A$2:$K$105,8,FALSE))</f>
        <v/>
      </c>
      <c r="D786" s="5">
        <f>IF($B786="","",VLOOKUP($B786,Jogos!$A$2:$K$105,10,FALSE))</f>
        <v/>
      </c>
      <c r="E786" s="5" t="inlineStr"/>
      <c r="F786" s="5" t="inlineStr"/>
      <c r="G786" s="8">
        <f>IF($B786="","",VLOOKUP($B786,Jogos!$A$2:$K$105,9,FALSE))</f>
        <v/>
      </c>
      <c r="H786" s="8">
        <f>IF($B786="","",VLOOKUP($B786,Jogos!$A$2:$K$105,11,FALSE))</f>
        <v/>
      </c>
      <c r="I786" s="5">
        <f>IF(OR($A786="", $B786="", $E786="", $F786="", $G786="", $H786=""), "",IF(AND($E786=$G786, $F786=$H786), 3, IF(SIGN($E786-$F786)=SIGN($G786-$H786), 1, 0))))</f>
        <v/>
      </c>
    </row>
    <row r="787">
      <c r="A787" s="5" t="inlineStr"/>
      <c r="B787" s="5" t="inlineStr"/>
      <c r="C787" s="5">
        <f>IF($B787="","",VLOOKUP($B787,Jogos!$A$2:$K$105,8,FALSE))</f>
        <v/>
      </c>
      <c r="D787" s="5">
        <f>IF($B787="","",VLOOKUP($B787,Jogos!$A$2:$K$105,10,FALSE))</f>
        <v/>
      </c>
      <c r="E787" s="5" t="inlineStr"/>
      <c r="F787" s="5" t="inlineStr"/>
      <c r="G787" s="8">
        <f>IF($B787="","",VLOOKUP($B787,Jogos!$A$2:$K$105,9,FALSE))</f>
        <v/>
      </c>
      <c r="H787" s="8">
        <f>IF($B787="","",VLOOKUP($B787,Jogos!$A$2:$K$105,11,FALSE))</f>
        <v/>
      </c>
      <c r="I787" s="5">
        <f>IF(OR($A787="", $B787="", $E787="", $F787="", $G787="", $H787=""), "",IF(AND($E787=$G787, $F787=$H787), 3, IF(SIGN($E787-$F787)=SIGN($G787-$H787), 1, 0))))</f>
        <v/>
      </c>
    </row>
    <row r="788">
      <c r="A788" s="5" t="inlineStr"/>
      <c r="B788" s="5" t="inlineStr"/>
      <c r="C788" s="5">
        <f>IF($B788="","",VLOOKUP($B788,Jogos!$A$2:$K$105,8,FALSE))</f>
        <v/>
      </c>
      <c r="D788" s="5">
        <f>IF($B788="","",VLOOKUP($B788,Jogos!$A$2:$K$105,10,FALSE))</f>
        <v/>
      </c>
      <c r="E788" s="5" t="inlineStr"/>
      <c r="F788" s="5" t="inlineStr"/>
      <c r="G788" s="8">
        <f>IF($B788="","",VLOOKUP($B788,Jogos!$A$2:$K$105,9,FALSE))</f>
        <v/>
      </c>
      <c r="H788" s="8">
        <f>IF($B788="","",VLOOKUP($B788,Jogos!$A$2:$K$105,11,FALSE))</f>
        <v/>
      </c>
      <c r="I788" s="5">
        <f>IF(OR($A788="", $B788="", $E788="", $F788="", $G788="", $H788=""), "",IF(AND($E788=$G788, $F788=$H788), 3, IF(SIGN($E788-$F788)=SIGN($G788-$H788), 1, 0))))</f>
        <v/>
      </c>
    </row>
    <row r="789">
      <c r="A789" s="5" t="inlineStr"/>
      <c r="B789" s="5" t="inlineStr"/>
      <c r="C789" s="5">
        <f>IF($B789="","",VLOOKUP($B789,Jogos!$A$2:$K$105,8,FALSE))</f>
        <v/>
      </c>
      <c r="D789" s="5">
        <f>IF($B789="","",VLOOKUP($B789,Jogos!$A$2:$K$105,10,FALSE))</f>
        <v/>
      </c>
      <c r="E789" s="5" t="inlineStr"/>
      <c r="F789" s="5" t="inlineStr"/>
      <c r="G789" s="8">
        <f>IF($B789="","",VLOOKUP($B789,Jogos!$A$2:$K$105,9,FALSE))</f>
        <v/>
      </c>
      <c r="H789" s="8">
        <f>IF($B789="","",VLOOKUP($B789,Jogos!$A$2:$K$105,11,FALSE))</f>
        <v/>
      </c>
      <c r="I789" s="5">
        <f>IF(OR($A789="", $B789="", $E789="", $F789="", $G789="", $H789=""), "",IF(AND($E789=$G789, $F789=$H789), 3, IF(SIGN($E789-$F789)=SIGN($G789-$H789), 1, 0))))</f>
        <v/>
      </c>
    </row>
    <row r="790">
      <c r="A790" s="5" t="inlineStr"/>
      <c r="B790" s="5" t="inlineStr"/>
      <c r="C790" s="5">
        <f>IF($B790="","",VLOOKUP($B790,Jogos!$A$2:$K$105,8,FALSE))</f>
        <v/>
      </c>
      <c r="D790" s="5">
        <f>IF($B790="","",VLOOKUP($B790,Jogos!$A$2:$K$105,10,FALSE))</f>
        <v/>
      </c>
      <c r="E790" s="5" t="inlineStr"/>
      <c r="F790" s="5" t="inlineStr"/>
      <c r="G790" s="8">
        <f>IF($B790="","",VLOOKUP($B790,Jogos!$A$2:$K$105,9,FALSE))</f>
        <v/>
      </c>
      <c r="H790" s="8">
        <f>IF($B790="","",VLOOKUP($B790,Jogos!$A$2:$K$105,11,FALSE))</f>
        <v/>
      </c>
      <c r="I790" s="5">
        <f>IF(OR($A790="", $B790="", $E790="", $F790="", $G790="", $H790=""), "",IF(AND($E790=$G790, $F790=$H790), 3, IF(SIGN($E790-$F790)=SIGN($G790-$H790), 1, 0))))</f>
        <v/>
      </c>
    </row>
    <row r="791">
      <c r="A791" s="5" t="inlineStr"/>
      <c r="B791" s="5" t="inlineStr"/>
      <c r="C791" s="5">
        <f>IF($B791="","",VLOOKUP($B791,Jogos!$A$2:$K$105,8,FALSE))</f>
        <v/>
      </c>
      <c r="D791" s="5">
        <f>IF($B791="","",VLOOKUP($B791,Jogos!$A$2:$K$105,10,FALSE))</f>
        <v/>
      </c>
      <c r="E791" s="5" t="inlineStr"/>
      <c r="F791" s="5" t="inlineStr"/>
      <c r="G791" s="8">
        <f>IF($B791="","",VLOOKUP($B791,Jogos!$A$2:$K$105,9,FALSE))</f>
        <v/>
      </c>
      <c r="H791" s="8">
        <f>IF($B791="","",VLOOKUP($B791,Jogos!$A$2:$K$105,11,FALSE))</f>
        <v/>
      </c>
      <c r="I791" s="5">
        <f>IF(OR($A791="", $B791="", $E791="", $F791="", $G791="", $H791=""), "",IF(AND($E791=$G791, $F791=$H791), 3, IF(SIGN($E791-$F791)=SIGN($G791-$H791), 1, 0))))</f>
        <v/>
      </c>
    </row>
    <row r="792">
      <c r="A792" s="5" t="inlineStr"/>
      <c r="B792" s="5" t="inlineStr"/>
      <c r="C792" s="5">
        <f>IF($B792="","",VLOOKUP($B792,Jogos!$A$2:$K$105,8,FALSE))</f>
        <v/>
      </c>
      <c r="D792" s="5">
        <f>IF($B792="","",VLOOKUP($B792,Jogos!$A$2:$K$105,10,FALSE))</f>
        <v/>
      </c>
      <c r="E792" s="5" t="inlineStr"/>
      <c r="F792" s="5" t="inlineStr"/>
      <c r="G792" s="8">
        <f>IF($B792="","",VLOOKUP($B792,Jogos!$A$2:$K$105,9,FALSE))</f>
        <v/>
      </c>
      <c r="H792" s="8">
        <f>IF($B792="","",VLOOKUP($B792,Jogos!$A$2:$K$105,11,FALSE))</f>
        <v/>
      </c>
      <c r="I792" s="5">
        <f>IF(OR($A792="", $B792="", $E792="", $F792="", $G792="", $H792=""), "",IF(AND($E792=$G792, $F792=$H792), 3, IF(SIGN($E792-$F792)=SIGN($G792-$H792), 1, 0))))</f>
        <v/>
      </c>
    </row>
    <row r="793">
      <c r="A793" s="5" t="inlineStr"/>
      <c r="B793" s="5" t="inlineStr"/>
      <c r="C793" s="5">
        <f>IF($B793="","",VLOOKUP($B793,Jogos!$A$2:$K$105,8,FALSE))</f>
        <v/>
      </c>
      <c r="D793" s="5">
        <f>IF($B793="","",VLOOKUP($B793,Jogos!$A$2:$K$105,10,FALSE))</f>
        <v/>
      </c>
      <c r="E793" s="5" t="inlineStr"/>
      <c r="F793" s="5" t="inlineStr"/>
      <c r="G793" s="8">
        <f>IF($B793="","",VLOOKUP($B793,Jogos!$A$2:$K$105,9,FALSE))</f>
        <v/>
      </c>
      <c r="H793" s="8">
        <f>IF($B793="","",VLOOKUP($B793,Jogos!$A$2:$K$105,11,FALSE))</f>
        <v/>
      </c>
      <c r="I793" s="5">
        <f>IF(OR($A793="", $B793="", $E793="", $F793="", $G793="", $H793=""), "",IF(AND($E793=$G793, $F793=$H793), 3, IF(SIGN($E793-$F793)=SIGN($G793-$H793), 1, 0))))</f>
        <v/>
      </c>
    </row>
    <row r="794">
      <c r="A794" s="5" t="inlineStr"/>
      <c r="B794" s="5" t="inlineStr"/>
      <c r="C794" s="5">
        <f>IF($B794="","",VLOOKUP($B794,Jogos!$A$2:$K$105,8,FALSE))</f>
        <v/>
      </c>
      <c r="D794" s="5">
        <f>IF($B794="","",VLOOKUP($B794,Jogos!$A$2:$K$105,10,FALSE))</f>
        <v/>
      </c>
      <c r="E794" s="5" t="inlineStr"/>
      <c r="F794" s="5" t="inlineStr"/>
      <c r="G794" s="8">
        <f>IF($B794="","",VLOOKUP($B794,Jogos!$A$2:$K$105,9,FALSE))</f>
        <v/>
      </c>
      <c r="H794" s="8">
        <f>IF($B794="","",VLOOKUP($B794,Jogos!$A$2:$K$105,11,FALSE))</f>
        <v/>
      </c>
      <c r="I794" s="5">
        <f>IF(OR($A794="", $B794="", $E794="", $F794="", $G794="", $H794=""), "",IF(AND($E794=$G794, $F794=$H794), 3, IF(SIGN($E794-$F794)=SIGN($G794-$H794), 1, 0))))</f>
        <v/>
      </c>
    </row>
    <row r="795">
      <c r="A795" s="5" t="inlineStr"/>
      <c r="B795" s="5" t="inlineStr"/>
      <c r="C795" s="5">
        <f>IF($B795="","",VLOOKUP($B795,Jogos!$A$2:$K$105,8,FALSE))</f>
        <v/>
      </c>
      <c r="D795" s="5">
        <f>IF($B795="","",VLOOKUP($B795,Jogos!$A$2:$K$105,10,FALSE))</f>
        <v/>
      </c>
      <c r="E795" s="5" t="inlineStr"/>
      <c r="F795" s="5" t="inlineStr"/>
      <c r="G795" s="8">
        <f>IF($B795="","",VLOOKUP($B795,Jogos!$A$2:$K$105,9,FALSE))</f>
        <v/>
      </c>
      <c r="H795" s="8">
        <f>IF($B795="","",VLOOKUP($B795,Jogos!$A$2:$K$105,11,FALSE))</f>
        <v/>
      </c>
      <c r="I795" s="5">
        <f>IF(OR($A795="", $B795="", $E795="", $F795="", $G795="", $H795=""), "",IF(AND($E795=$G795, $F795=$H795), 3, IF(SIGN($E795-$F795)=SIGN($G795-$H795), 1, 0))))</f>
        <v/>
      </c>
    </row>
    <row r="796">
      <c r="A796" s="5" t="inlineStr"/>
      <c r="B796" s="5" t="inlineStr"/>
      <c r="C796" s="5">
        <f>IF($B796="","",VLOOKUP($B796,Jogos!$A$2:$K$105,8,FALSE))</f>
        <v/>
      </c>
      <c r="D796" s="5">
        <f>IF($B796="","",VLOOKUP($B796,Jogos!$A$2:$K$105,10,FALSE))</f>
        <v/>
      </c>
      <c r="E796" s="5" t="inlineStr"/>
      <c r="F796" s="5" t="inlineStr"/>
      <c r="G796" s="8">
        <f>IF($B796="","",VLOOKUP($B796,Jogos!$A$2:$K$105,9,FALSE))</f>
        <v/>
      </c>
      <c r="H796" s="8">
        <f>IF($B796="","",VLOOKUP($B796,Jogos!$A$2:$K$105,11,FALSE))</f>
        <v/>
      </c>
      <c r="I796" s="5">
        <f>IF(OR($A796="", $B796="", $E796="", $F796="", $G796="", $H796=""), "",IF(AND($E796=$G796, $F796=$H796), 3, IF(SIGN($E796-$F796)=SIGN($G796-$H796), 1, 0))))</f>
        <v/>
      </c>
    </row>
    <row r="797">
      <c r="A797" s="5" t="inlineStr"/>
      <c r="B797" s="5" t="inlineStr"/>
      <c r="C797" s="5">
        <f>IF($B797="","",VLOOKUP($B797,Jogos!$A$2:$K$105,8,FALSE))</f>
        <v/>
      </c>
      <c r="D797" s="5">
        <f>IF($B797="","",VLOOKUP($B797,Jogos!$A$2:$K$105,10,FALSE))</f>
        <v/>
      </c>
      <c r="E797" s="5" t="inlineStr"/>
      <c r="F797" s="5" t="inlineStr"/>
      <c r="G797" s="8">
        <f>IF($B797="","",VLOOKUP($B797,Jogos!$A$2:$K$105,9,FALSE))</f>
        <v/>
      </c>
      <c r="H797" s="8">
        <f>IF($B797="","",VLOOKUP($B797,Jogos!$A$2:$K$105,11,FALSE))</f>
        <v/>
      </c>
      <c r="I797" s="5">
        <f>IF(OR($A797="", $B797="", $E797="", $F797="", $G797="", $H797=""), "",IF(AND($E797=$G797, $F797=$H797), 3, IF(SIGN($E797-$F797)=SIGN($G797-$H797), 1, 0))))</f>
        <v/>
      </c>
    </row>
    <row r="798">
      <c r="A798" s="5" t="inlineStr"/>
      <c r="B798" s="5" t="inlineStr"/>
      <c r="C798" s="5">
        <f>IF($B798="","",VLOOKUP($B798,Jogos!$A$2:$K$105,8,FALSE))</f>
        <v/>
      </c>
      <c r="D798" s="5">
        <f>IF($B798="","",VLOOKUP($B798,Jogos!$A$2:$K$105,10,FALSE))</f>
        <v/>
      </c>
      <c r="E798" s="5" t="inlineStr"/>
      <c r="F798" s="5" t="inlineStr"/>
      <c r="G798" s="8">
        <f>IF($B798="","",VLOOKUP($B798,Jogos!$A$2:$K$105,9,FALSE))</f>
        <v/>
      </c>
      <c r="H798" s="8">
        <f>IF($B798="","",VLOOKUP($B798,Jogos!$A$2:$K$105,11,FALSE))</f>
        <v/>
      </c>
      <c r="I798" s="5">
        <f>IF(OR($A798="", $B798="", $E798="", $F798="", $G798="", $H798=""), "",IF(AND($E798=$G798, $F798=$H798), 3, IF(SIGN($E798-$F798)=SIGN($G798-$H798), 1, 0))))</f>
        <v/>
      </c>
    </row>
    <row r="799">
      <c r="A799" s="5" t="inlineStr"/>
      <c r="B799" s="5" t="inlineStr"/>
      <c r="C799" s="5">
        <f>IF($B799="","",VLOOKUP($B799,Jogos!$A$2:$K$105,8,FALSE))</f>
        <v/>
      </c>
      <c r="D799" s="5">
        <f>IF($B799="","",VLOOKUP($B799,Jogos!$A$2:$K$105,10,FALSE))</f>
        <v/>
      </c>
      <c r="E799" s="5" t="inlineStr"/>
      <c r="F799" s="5" t="inlineStr"/>
      <c r="G799" s="8">
        <f>IF($B799="","",VLOOKUP($B799,Jogos!$A$2:$K$105,9,FALSE))</f>
        <v/>
      </c>
      <c r="H799" s="8">
        <f>IF($B799="","",VLOOKUP($B799,Jogos!$A$2:$K$105,11,FALSE))</f>
        <v/>
      </c>
      <c r="I799" s="5">
        <f>IF(OR($A799="", $B799="", $E799="", $F799="", $G799="", $H799=""), "",IF(AND($E799=$G799, $F799=$H799), 3, IF(SIGN($E799-$F799)=SIGN($G799-$H799), 1, 0))))</f>
        <v/>
      </c>
    </row>
    <row r="800">
      <c r="A800" s="5" t="inlineStr"/>
      <c r="B800" s="5" t="inlineStr"/>
      <c r="C800" s="5">
        <f>IF($B800="","",VLOOKUP($B800,Jogos!$A$2:$K$105,8,FALSE))</f>
        <v/>
      </c>
      <c r="D800" s="5">
        <f>IF($B800="","",VLOOKUP($B800,Jogos!$A$2:$K$105,10,FALSE))</f>
        <v/>
      </c>
      <c r="E800" s="5" t="inlineStr"/>
      <c r="F800" s="5" t="inlineStr"/>
      <c r="G800" s="8">
        <f>IF($B800="","",VLOOKUP($B800,Jogos!$A$2:$K$105,9,FALSE))</f>
        <v/>
      </c>
      <c r="H800" s="8">
        <f>IF($B800="","",VLOOKUP($B800,Jogos!$A$2:$K$105,11,FALSE))</f>
        <v/>
      </c>
      <c r="I800" s="5">
        <f>IF(OR($A800="", $B800="", $E800="", $F800="", $G800="", $H800=""), "",IF(AND($E800=$G800, $F800=$H800), 3, IF(SIGN($E800-$F800)=SIGN($G800-$H800), 1, 0))))</f>
        <v/>
      </c>
    </row>
    <row r="801">
      <c r="A801" s="5" t="inlineStr"/>
      <c r="B801" s="5" t="inlineStr"/>
      <c r="C801" s="5">
        <f>IF($B801="","",VLOOKUP($B801,Jogos!$A$2:$K$105,8,FALSE))</f>
        <v/>
      </c>
      <c r="D801" s="5">
        <f>IF($B801="","",VLOOKUP($B801,Jogos!$A$2:$K$105,10,FALSE))</f>
        <v/>
      </c>
      <c r="E801" s="5" t="inlineStr"/>
      <c r="F801" s="5" t="inlineStr"/>
      <c r="G801" s="8">
        <f>IF($B801="","",VLOOKUP($B801,Jogos!$A$2:$K$105,9,FALSE))</f>
        <v/>
      </c>
      <c r="H801" s="8">
        <f>IF($B801="","",VLOOKUP($B801,Jogos!$A$2:$K$105,11,FALSE))</f>
        <v/>
      </c>
      <c r="I801" s="5">
        <f>IF(OR($A801="", $B801="", $E801="", $F801="", $G801="", $H801=""), "",IF(AND($E801=$G801, $F801=$H801), 3, IF(SIGN($E801-$F801)=SIGN($G801-$H801), 1, 0))))</f>
        <v/>
      </c>
    </row>
    <row r="802">
      <c r="A802" s="5" t="inlineStr"/>
      <c r="B802" s="5" t="inlineStr"/>
      <c r="C802" s="5">
        <f>IF($B802="","",VLOOKUP($B802,Jogos!$A$2:$K$105,8,FALSE))</f>
        <v/>
      </c>
      <c r="D802" s="5">
        <f>IF($B802="","",VLOOKUP($B802,Jogos!$A$2:$K$105,10,FALSE))</f>
        <v/>
      </c>
      <c r="E802" s="5" t="inlineStr"/>
      <c r="F802" s="5" t="inlineStr"/>
      <c r="G802" s="8">
        <f>IF($B802="","",VLOOKUP($B802,Jogos!$A$2:$K$105,9,FALSE))</f>
        <v/>
      </c>
      <c r="H802" s="8">
        <f>IF($B802="","",VLOOKUP($B802,Jogos!$A$2:$K$105,11,FALSE))</f>
        <v/>
      </c>
      <c r="I802" s="5">
        <f>IF(OR($A802="", $B802="", $E802="", $F802="", $G802="", $H802=""), "",IF(AND($E802=$G802, $F802=$H802), 3, IF(SIGN($E802-$F802)=SIGN($G802-$H802), 1, 0))))</f>
        <v/>
      </c>
    </row>
    <row r="803">
      <c r="A803" s="5" t="inlineStr"/>
      <c r="B803" s="5" t="inlineStr"/>
      <c r="C803" s="5">
        <f>IF($B803="","",VLOOKUP($B803,Jogos!$A$2:$K$105,8,FALSE))</f>
        <v/>
      </c>
      <c r="D803" s="5">
        <f>IF($B803="","",VLOOKUP($B803,Jogos!$A$2:$K$105,10,FALSE))</f>
        <v/>
      </c>
      <c r="E803" s="5" t="inlineStr"/>
      <c r="F803" s="5" t="inlineStr"/>
      <c r="G803" s="8">
        <f>IF($B803="","",VLOOKUP($B803,Jogos!$A$2:$K$105,9,FALSE))</f>
        <v/>
      </c>
      <c r="H803" s="8">
        <f>IF($B803="","",VLOOKUP($B803,Jogos!$A$2:$K$105,11,FALSE))</f>
        <v/>
      </c>
      <c r="I803" s="5">
        <f>IF(OR($A803="", $B803="", $E803="", $F803="", $G803="", $H803=""), "",IF(AND($E803=$G803, $F803=$H803), 3, IF(SIGN($E803-$F803)=SIGN($G803-$H803), 1, 0))))</f>
        <v/>
      </c>
    </row>
    <row r="804">
      <c r="A804" s="5" t="inlineStr"/>
      <c r="B804" s="5" t="inlineStr"/>
      <c r="C804" s="5">
        <f>IF($B804="","",VLOOKUP($B804,Jogos!$A$2:$K$105,8,FALSE))</f>
        <v/>
      </c>
      <c r="D804" s="5">
        <f>IF($B804="","",VLOOKUP($B804,Jogos!$A$2:$K$105,10,FALSE))</f>
        <v/>
      </c>
      <c r="E804" s="5" t="inlineStr"/>
      <c r="F804" s="5" t="inlineStr"/>
      <c r="G804" s="8">
        <f>IF($B804="","",VLOOKUP($B804,Jogos!$A$2:$K$105,9,FALSE))</f>
        <v/>
      </c>
      <c r="H804" s="8">
        <f>IF($B804="","",VLOOKUP($B804,Jogos!$A$2:$K$105,11,FALSE))</f>
        <v/>
      </c>
      <c r="I804" s="5">
        <f>IF(OR($A804="", $B804="", $E804="", $F804="", $G804="", $H804=""), "",IF(AND($E804=$G804, $F804=$H804), 3, IF(SIGN($E804-$F804)=SIGN($G804-$H804), 1, 0))))</f>
        <v/>
      </c>
    </row>
    <row r="805">
      <c r="A805" s="5" t="inlineStr"/>
      <c r="B805" s="5" t="inlineStr"/>
      <c r="C805" s="5">
        <f>IF($B805="","",VLOOKUP($B805,Jogos!$A$2:$K$105,8,FALSE))</f>
        <v/>
      </c>
      <c r="D805" s="5">
        <f>IF($B805="","",VLOOKUP($B805,Jogos!$A$2:$K$105,10,FALSE))</f>
        <v/>
      </c>
      <c r="E805" s="5" t="inlineStr"/>
      <c r="F805" s="5" t="inlineStr"/>
      <c r="G805" s="8">
        <f>IF($B805="","",VLOOKUP($B805,Jogos!$A$2:$K$105,9,FALSE))</f>
        <v/>
      </c>
      <c r="H805" s="8">
        <f>IF($B805="","",VLOOKUP($B805,Jogos!$A$2:$K$105,11,FALSE))</f>
        <v/>
      </c>
      <c r="I805" s="5">
        <f>IF(OR($A805="", $B805="", $E805="", $F805="", $G805="", $H805=""), "",IF(AND($E805=$G805, $F805=$H805), 3, IF(SIGN($E805-$F805)=SIGN($G805-$H805), 1, 0))))</f>
        <v/>
      </c>
    </row>
    <row r="806">
      <c r="A806" s="5" t="inlineStr"/>
      <c r="B806" s="5" t="inlineStr"/>
      <c r="C806" s="5">
        <f>IF($B806="","",VLOOKUP($B806,Jogos!$A$2:$K$105,8,FALSE))</f>
        <v/>
      </c>
      <c r="D806" s="5">
        <f>IF($B806="","",VLOOKUP($B806,Jogos!$A$2:$K$105,10,FALSE))</f>
        <v/>
      </c>
      <c r="E806" s="5" t="inlineStr"/>
      <c r="F806" s="5" t="inlineStr"/>
      <c r="G806" s="8">
        <f>IF($B806="","",VLOOKUP($B806,Jogos!$A$2:$K$105,9,FALSE))</f>
        <v/>
      </c>
      <c r="H806" s="8">
        <f>IF($B806="","",VLOOKUP($B806,Jogos!$A$2:$K$105,11,FALSE))</f>
        <v/>
      </c>
      <c r="I806" s="5">
        <f>IF(OR($A806="", $B806="", $E806="", $F806="", $G806="", $H806=""), "",IF(AND($E806=$G806, $F806=$H806), 3, IF(SIGN($E806-$F806)=SIGN($G806-$H806), 1, 0))))</f>
        <v/>
      </c>
    </row>
    <row r="807">
      <c r="A807" s="5" t="inlineStr"/>
      <c r="B807" s="5" t="inlineStr"/>
      <c r="C807" s="5">
        <f>IF($B807="","",VLOOKUP($B807,Jogos!$A$2:$K$105,8,FALSE))</f>
        <v/>
      </c>
      <c r="D807" s="5">
        <f>IF($B807="","",VLOOKUP($B807,Jogos!$A$2:$K$105,10,FALSE))</f>
        <v/>
      </c>
      <c r="E807" s="5" t="inlineStr"/>
      <c r="F807" s="5" t="inlineStr"/>
      <c r="G807" s="8">
        <f>IF($B807="","",VLOOKUP($B807,Jogos!$A$2:$K$105,9,FALSE))</f>
        <v/>
      </c>
      <c r="H807" s="8">
        <f>IF($B807="","",VLOOKUP($B807,Jogos!$A$2:$K$105,11,FALSE))</f>
        <v/>
      </c>
      <c r="I807" s="5">
        <f>IF(OR($A807="", $B807="", $E807="", $F807="", $G807="", $H807=""), "",IF(AND($E807=$G807, $F807=$H807), 3, IF(SIGN($E807-$F807)=SIGN($G807-$H807), 1, 0))))</f>
        <v/>
      </c>
    </row>
    <row r="808">
      <c r="A808" s="5" t="inlineStr"/>
      <c r="B808" s="5" t="inlineStr"/>
      <c r="C808" s="5">
        <f>IF($B808="","",VLOOKUP($B808,Jogos!$A$2:$K$105,8,FALSE))</f>
        <v/>
      </c>
      <c r="D808" s="5">
        <f>IF($B808="","",VLOOKUP($B808,Jogos!$A$2:$K$105,10,FALSE))</f>
        <v/>
      </c>
      <c r="E808" s="5" t="inlineStr"/>
      <c r="F808" s="5" t="inlineStr"/>
      <c r="G808" s="8">
        <f>IF($B808="","",VLOOKUP($B808,Jogos!$A$2:$K$105,9,FALSE))</f>
        <v/>
      </c>
      <c r="H808" s="8">
        <f>IF($B808="","",VLOOKUP($B808,Jogos!$A$2:$K$105,11,FALSE))</f>
        <v/>
      </c>
      <c r="I808" s="5">
        <f>IF(OR($A808="", $B808="", $E808="", $F808="", $G808="", $H808=""), "",IF(AND($E808=$G808, $F808=$H808), 3, IF(SIGN($E808-$F808)=SIGN($G808-$H808), 1, 0))))</f>
        <v/>
      </c>
    </row>
    <row r="809">
      <c r="A809" s="5" t="inlineStr"/>
      <c r="B809" s="5" t="inlineStr"/>
      <c r="C809" s="5">
        <f>IF($B809="","",VLOOKUP($B809,Jogos!$A$2:$K$105,8,FALSE))</f>
        <v/>
      </c>
      <c r="D809" s="5">
        <f>IF($B809="","",VLOOKUP($B809,Jogos!$A$2:$K$105,10,FALSE))</f>
        <v/>
      </c>
      <c r="E809" s="5" t="inlineStr"/>
      <c r="F809" s="5" t="inlineStr"/>
      <c r="G809" s="8">
        <f>IF($B809="","",VLOOKUP($B809,Jogos!$A$2:$K$105,9,FALSE))</f>
        <v/>
      </c>
      <c r="H809" s="8">
        <f>IF($B809="","",VLOOKUP($B809,Jogos!$A$2:$K$105,11,FALSE))</f>
        <v/>
      </c>
      <c r="I809" s="5">
        <f>IF(OR($A809="", $B809="", $E809="", $F809="", $G809="", $H809=""), "",IF(AND($E809=$G809, $F809=$H809), 3, IF(SIGN($E809-$F809)=SIGN($G809-$H809), 1, 0))))</f>
        <v/>
      </c>
    </row>
    <row r="810">
      <c r="A810" s="5" t="inlineStr"/>
      <c r="B810" s="5" t="inlineStr"/>
      <c r="C810" s="5">
        <f>IF($B810="","",VLOOKUP($B810,Jogos!$A$2:$K$105,8,FALSE))</f>
        <v/>
      </c>
      <c r="D810" s="5">
        <f>IF($B810="","",VLOOKUP($B810,Jogos!$A$2:$K$105,10,FALSE))</f>
        <v/>
      </c>
      <c r="E810" s="5" t="inlineStr"/>
      <c r="F810" s="5" t="inlineStr"/>
      <c r="G810" s="8">
        <f>IF($B810="","",VLOOKUP($B810,Jogos!$A$2:$K$105,9,FALSE))</f>
        <v/>
      </c>
      <c r="H810" s="8">
        <f>IF($B810="","",VLOOKUP($B810,Jogos!$A$2:$K$105,11,FALSE))</f>
        <v/>
      </c>
      <c r="I810" s="5">
        <f>IF(OR($A810="", $B810="", $E810="", $F810="", $G810="", $H810=""), "",IF(AND($E810=$G810, $F810=$H810), 3, IF(SIGN($E810-$F810)=SIGN($G810-$H810), 1, 0))))</f>
        <v/>
      </c>
    </row>
    <row r="811">
      <c r="A811" s="5" t="inlineStr"/>
      <c r="B811" s="5" t="inlineStr"/>
      <c r="C811" s="5">
        <f>IF($B811="","",VLOOKUP($B811,Jogos!$A$2:$K$105,8,FALSE))</f>
        <v/>
      </c>
      <c r="D811" s="5">
        <f>IF($B811="","",VLOOKUP($B811,Jogos!$A$2:$K$105,10,FALSE))</f>
        <v/>
      </c>
      <c r="E811" s="5" t="inlineStr"/>
      <c r="F811" s="5" t="inlineStr"/>
      <c r="G811" s="8">
        <f>IF($B811="","",VLOOKUP($B811,Jogos!$A$2:$K$105,9,FALSE))</f>
        <v/>
      </c>
      <c r="H811" s="8">
        <f>IF($B811="","",VLOOKUP($B811,Jogos!$A$2:$K$105,11,FALSE))</f>
        <v/>
      </c>
      <c r="I811" s="5">
        <f>IF(OR($A811="", $B811="", $E811="", $F811="", $G811="", $H811=""), "",IF(AND($E811=$G811, $F811=$H811), 3, IF(SIGN($E811-$F811)=SIGN($G811-$H811), 1, 0))))</f>
        <v/>
      </c>
    </row>
    <row r="812">
      <c r="A812" s="5" t="inlineStr"/>
      <c r="B812" s="5" t="inlineStr"/>
      <c r="C812" s="5">
        <f>IF($B812="","",VLOOKUP($B812,Jogos!$A$2:$K$105,8,FALSE))</f>
        <v/>
      </c>
      <c r="D812" s="5">
        <f>IF($B812="","",VLOOKUP($B812,Jogos!$A$2:$K$105,10,FALSE))</f>
        <v/>
      </c>
      <c r="E812" s="5" t="inlineStr"/>
      <c r="F812" s="5" t="inlineStr"/>
      <c r="G812" s="8">
        <f>IF($B812="","",VLOOKUP($B812,Jogos!$A$2:$K$105,9,FALSE))</f>
        <v/>
      </c>
      <c r="H812" s="8">
        <f>IF($B812="","",VLOOKUP($B812,Jogos!$A$2:$K$105,11,FALSE))</f>
        <v/>
      </c>
      <c r="I812" s="5">
        <f>IF(OR($A812="", $B812="", $E812="", $F812="", $G812="", $H812=""), "",IF(AND($E812=$G812, $F812=$H812), 3, IF(SIGN($E812-$F812)=SIGN($G812-$H812), 1, 0))))</f>
        <v/>
      </c>
    </row>
    <row r="813">
      <c r="A813" s="5" t="inlineStr"/>
      <c r="B813" s="5" t="inlineStr"/>
      <c r="C813" s="5">
        <f>IF($B813="","",VLOOKUP($B813,Jogos!$A$2:$K$105,8,FALSE))</f>
        <v/>
      </c>
      <c r="D813" s="5">
        <f>IF($B813="","",VLOOKUP($B813,Jogos!$A$2:$K$105,10,FALSE))</f>
        <v/>
      </c>
      <c r="E813" s="5" t="inlineStr"/>
      <c r="F813" s="5" t="inlineStr"/>
      <c r="G813" s="8">
        <f>IF($B813="","",VLOOKUP($B813,Jogos!$A$2:$K$105,9,FALSE))</f>
        <v/>
      </c>
      <c r="H813" s="8">
        <f>IF($B813="","",VLOOKUP($B813,Jogos!$A$2:$K$105,11,FALSE))</f>
        <v/>
      </c>
      <c r="I813" s="5">
        <f>IF(OR($A813="", $B813="", $E813="", $F813="", $G813="", $H813=""), "",IF(AND($E813=$G813, $F813=$H813), 3, IF(SIGN($E813-$F813)=SIGN($G813-$H813), 1, 0))))</f>
        <v/>
      </c>
    </row>
    <row r="814">
      <c r="A814" s="5" t="inlineStr"/>
      <c r="B814" s="5" t="inlineStr"/>
      <c r="C814" s="5">
        <f>IF($B814="","",VLOOKUP($B814,Jogos!$A$2:$K$105,8,FALSE))</f>
        <v/>
      </c>
      <c r="D814" s="5">
        <f>IF($B814="","",VLOOKUP($B814,Jogos!$A$2:$K$105,10,FALSE))</f>
        <v/>
      </c>
      <c r="E814" s="5" t="inlineStr"/>
      <c r="F814" s="5" t="inlineStr"/>
      <c r="G814" s="8">
        <f>IF($B814="","",VLOOKUP($B814,Jogos!$A$2:$K$105,9,FALSE))</f>
        <v/>
      </c>
      <c r="H814" s="8">
        <f>IF($B814="","",VLOOKUP($B814,Jogos!$A$2:$K$105,11,FALSE))</f>
        <v/>
      </c>
      <c r="I814" s="5">
        <f>IF(OR($A814="", $B814="", $E814="", $F814="", $G814="", $H814=""), "",IF(AND($E814=$G814, $F814=$H814), 3, IF(SIGN($E814-$F814)=SIGN($G814-$H814), 1, 0))))</f>
        <v/>
      </c>
    </row>
    <row r="815">
      <c r="A815" s="5" t="inlineStr"/>
      <c r="B815" s="5" t="inlineStr"/>
      <c r="C815" s="5">
        <f>IF($B815="","",VLOOKUP($B815,Jogos!$A$2:$K$105,8,FALSE))</f>
        <v/>
      </c>
      <c r="D815" s="5">
        <f>IF($B815="","",VLOOKUP($B815,Jogos!$A$2:$K$105,10,FALSE))</f>
        <v/>
      </c>
      <c r="E815" s="5" t="inlineStr"/>
      <c r="F815" s="5" t="inlineStr"/>
      <c r="G815" s="8">
        <f>IF($B815="","",VLOOKUP($B815,Jogos!$A$2:$K$105,9,FALSE))</f>
        <v/>
      </c>
      <c r="H815" s="8">
        <f>IF($B815="","",VLOOKUP($B815,Jogos!$A$2:$K$105,11,FALSE))</f>
        <v/>
      </c>
      <c r="I815" s="5">
        <f>IF(OR($A815="", $B815="", $E815="", $F815="", $G815="", $H815=""), "",IF(AND($E815=$G815, $F815=$H815), 3, IF(SIGN($E815-$F815)=SIGN($G815-$H815), 1, 0))))</f>
        <v/>
      </c>
    </row>
    <row r="816">
      <c r="A816" s="5" t="inlineStr"/>
      <c r="B816" s="5" t="inlineStr"/>
      <c r="C816" s="5">
        <f>IF($B816="","",VLOOKUP($B816,Jogos!$A$2:$K$105,8,FALSE))</f>
        <v/>
      </c>
      <c r="D816" s="5">
        <f>IF($B816="","",VLOOKUP($B816,Jogos!$A$2:$K$105,10,FALSE))</f>
        <v/>
      </c>
      <c r="E816" s="5" t="inlineStr"/>
      <c r="F816" s="5" t="inlineStr"/>
      <c r="G816" s="8">
        <f>IF($B816="","",VLOOKUP($B816,Jogos!$A$2:$K$105,9,FALSE))</f>
        <v/>
      </c>
      <c r="H816" s="8">
        <f>IF($B816="","",VLOOKUP($B816,Jogos!$A$2:$K$105,11,FALSE))</f>
        <v/>
      </c>
      <c r="I816" s="5">
        <f>IF(OR($A816="", $B816="", $E816="", $F816="", $G816="", $H816=""), "",IF(AND($E816=$G816, $F816=$H816), 3, IF(SIGN($E816-$F816)=SIGN($G816-$H816), 1, 0))))</f>
        <v/>
      </c>
    </row>
    <row r="817">
      <c r="A817" s="5" t="inlineStr"/>
      <c r="B817" s="5" t="inlineStr"/>
      <c r="C817" s="5">
        <f>IF($B817="","",VLOOKUP($B817,Jogos!$A$2:$K$105,8,FALSE))</f>
        <v/>
      </c>
      <c r="D817" s="5">
        <f>IF($B817="","",VLOOKUP($B817,Jogos!$A$2:$K$105,10,FALSE))</f>
        <v/>
      </c>
      <c r="E817" s="5" t="inlineStr"/>
      <c r="F817" s="5" t="inlineStr"/>
      <c r="G817" s="8">
        <f>IF($B817="","",VLOOKUP($B817,Jogos!$A$2:$K$105,9,FALSE))</f>
        <v/>
      </c>
      <c r="H817" s="8">
        <f>IF($B817="","",VLOOKUP($B817,Jogos!$A$2:$K$105,11,FALSE))</f>
        <v/>
      </c>
      <c r="I817" s="5">
        <f>IF(OR($A817="", $B817="", $E817="", $F817="", $G817="", $H817=""), "",IF(AND($E817=$G817, $F817=$H817), 3, IF(SIGN($E817-$F817)=SIGN($G817-$H817), 1, 0))))</f>
        <v/>
      </c>
    </row>
    <row r="818">
      <c r="A818" s="5" t="inlineStr"/>
      <c r="B818" s="5" t="inlineStr"/>
      <c r="C818" s="5">
        <f>IF($B818="","",VLOOKUP($B818,Jogos!$A$2:$K$105,8,FALSE))</f>
        <v/>
      </c>
      <c r="D818" s="5">
        <f>IF($B818="","",VLOOKUP($B818,Jogos!$A$2:$K$105,10,FALSE))</f>
        <v/>
      </c>
      <c r="E818" s="5" t="inlineStr"/>
      <c r="F818" s="5" t="inlineStr"/>
      <c r="G818" s="8">
        <f>IF($B818="","",VLOOKUP($B818,Jogos!$A$2:$K$105,9,FALSE))</f>
        <v/>
      </c>
      <c r="H818" s="8">
        <f>IF($B818="","",VLOOKUP($B818,Jogos!$A$2:$K$105,11,FALSE))</f>
        <v/>
      </c>
      <c r="I818" s="5">
        <f>IF(OR($A818="", $B818="", $E818="", $F818="", $G818="", $H818=""), "",IF(AND($E818=$G818, $F818=$H818), 3, IF(SIGN($E818-$F818)=SIGN($G818-$H818), 1, 0))))</f>
        <v/>
      </c>
    </row>
    <row r="819">
      <c r="A819" s="5" t="inlineStr"/>
      <c r="B819" s="5" t="inlineStr"/>
      <c r="C819" s="5">
        <f>IF($B819="","",VLOOKUP($B819,Jogos!$A$2:$K$105,8,FALSE))</f>
        <v/>
      </c>
      <c r="D819" s="5">
        <f>IF($B819="","",VLOOKUP($B819,Jogos!$A$2:$K$105,10,FALSE))</f>
        <v/>
      </c>
      <c r="E819" s="5" t="inlineStr"/>
      <c r="F819" s="5" t="inlineStr"/>
      <c r="G819" s="8">
        <f>IF($B819="","",VLOOKUP($B819,Jogos!$A$2:$K$105,9,FALSE))</f>
        <v/>
      </c>
      <c r="H819" s="8">
        <f>IF($B819="","",VLOOKUP($B819,Jogos!$A$2:$K$105,11,FALSE))</f>
        <v/>
      </c>
      <c r="I819" s="5">
        <f>IF(OR($A819="", $B819="", $E819="", $F819="", $G819="", $H819=""), "",IF(AND($E819=$G819, $F819=$H819), 3, IF(SIGN($E819-$F819)=SIGN($G819-$H819), 1, 0))))</f>
        <v/>
      </c>
    </row>
    <row r="820">
      <c r="A820" s="5" t="inlineStr"/>
      <c r="B820" s="5" t="inlineStr"/>
      <c r="C820" s="5">
        <f>IF($B820="","",VLOOKUP($B820,Jogos!$A$2:$K$105,8,FALSE))</f>
        <v/>
      </c>
      <c r="D820" s="5">
        <f>IF($B820="","",VLOOKUP($B820,Jogos!$A$2:$K$105,10,FALSE))</f>
        <v/>
      </c>
      <c r="E820" s="5" t="inlineStr"/>
      <c r="F820" s="5" t="inlineStr"/>
      <c r="G820" s="8">
        <f>IF($B820="","",VLOOKUP($B820,Jogos!$A$2:$K$105,9,FALSE))</f>
        <v/>
      </c>
      <c r="H820" s="8">
        <f>IF($B820="","",VLOOKUP($B820,Jogos!$A$2:$K$105,11,FALSE))</f>
        <v/>
      </c>
      <c r="I820" s="5">
        <f>IF(OR($A820="", $B820="", $E820="", $F820="", $G820="", $H820=""), "",IF(AND($E820=$G820, $F820=$H820), 3, IF(SIGN($E820-$F820)=SIGN($G820-$H820), 1, 0))))</f>
        <v/>
      </c>
    </row>
    <row r="821">
      <c r="A821" s="5" t="inlineStr"/>
      <c r="B821" s="5" t="inlineStr"/>
      <c r="C821" s="5">
        <f>IF($B821="","",VLOOKUP($B821,Jogos!$A$2:$K$105,8,FALSE))</f>
        <v/>
      </c>
      <c r="D821" s="5">
        <f>IF($B821="","",VLOOKUP($B821,Jogos!$A$2:$K$105,10,FALSE))</f>
        <v/>
      </c>
      <c r="E821" s="5" t="inlineStr"/>
      <c r="F821" s="5" t="inlineStr"/>
      <c r="G821" s="8">
        <f>IF($B821="","",VLOOKUP($B821,Jogos!$A$2:$K$105,9,FALSE))</f>
        <v/>
      </c>
      <c r="H821" s="8">
        <f>IF($B821="","",VLOOKUP($B821,Jogos!$A$2:$K$105,11,FALSE))</f>
        <v/>
      </c>
      <c r="I821" s="5">
        <f>IF(OR($A821="", $B821="", $E821="", $F821="", $G821="", $H821=""), "",IF(AND($E821=$G821, $F821=$H821), 3, IF(SIGN($E821-$F821)=SIGN($G821-$H821), 1, 0))))</f>
        <v/>
      </c>
    </row>
    <row r="822">
      <c r="A822" s="5" t="inlineStr"/>
      <c r="B822" s="5" t="inlineStr"/>
      <c r="C822" s="5">
        <f>IF($B822="","",VLOOKUP($B822,Jogos!$A$2:$K$105,8,FALSE))</f>
        <v/>
      </c>
      <c r="D822" s="5">
        <f>IF($B822="","",VLOOKUP($B822,Jogos!$A$2:$K$105,10,FALSE))</f>
        <v/>
      </c>
      <c r="E822" s="5" t="inlineStr"/>
      <c r="F822" s="5" t="inlineStr"/>
      <c r="G822" s="8">
        <f>IF($B822="","",VLOOKUP($B822,Jogos!$A$2:$K$105,9,FALSE))</f>
        <v/>
      </c>
      <c r="H822" s="8">
        <f>IF($B822="","",VLOOKUP($B822,Jogos!$A$2:$K$105,11,FALSE))</f>
        <v/>
      </c>
      <c r="I822" s="5">
        <f>IF(OR($A822="", $B822="", $E822="", $F822="", $G822="", $H822=""), "",IF(AND($E822=$G822, $F822=$H822), 3, IF(SIGN($E822-$F822)=SIGN($G822-$H822), 1, 0))))</f>
        <v/>
      </c>
    </row>
    <row r="823">
      <c r="A823" s="5" t="inlineStr"/>
      <c r="B823" s="5" t="inlineStr"/>
      <c r="C823" s="5">
        <f>IF($B823="","",VLOOKUP($B823,Jogos!$A$2:$K$105,8,FALSE))</f>
        <v/>
      </c>
      <c r="D823" s="5">
        <f>IF($B823="","",VLOOKUP($B823,Jogos!$A$2:$K$105,10,FALSE))</f>
        <v/>
      </c>
      <c r="E823" s="5" t="inlineStr"/>
      <c r="F823" s="5" t="inlineStr"/>
      <c r="G823" s="8">
        <f>IF($B823="","",VLOOKUP($B823,Jogos!$A$2:$K$105,9,FALSE))</f>
        <v/>
      </c>
      <c r="H823" s="8">
        <f>IF($B823="","",VLOOKUP($B823,Jogos!$A$2:$K$105,11,FALSE))</f>
        <v/>
      </c>
      <c r="I823" s="5">
        <f>IF(OR($A823="", $B823="", $E823="", $F823="", $G823="", $H823=""), "",IF(AND($E823=$G823, $F823=$H823), 3, IF(SIGN($E823-$F823)=SIGN($G823-$H823), 1, 0))))</f>
        <v/>
      </c>
    </row>
    <row r="824">
      <c r="A824" s="5" t="inlineStr"/>
      <c r="B824" s="5" t="inlineStr"/>
      <c r="C824" s="5">
        <f>IF($B824="","",VLOOKUP($B824,Jogos!$A$2:$K$105,8,FALSE))</f>
        <v/>
      </c>
      <c r="D824" s="5">
        <f>IF($B824="","",VLOOKUP($B824,Jogos!$A$2:$K$105,10,FALSE))</f>
        <v/>
      </c>
      <c r="E824" s="5" t="inlineStr"/>
      <c r="F824" s="5" t="inlineStr"/>
      <c r="G824" s="8">
        <f>IF($B824="","",VLOOKUP($B824,Jogos!$A$2:$K$105,9,FALSE))</f>
        <v/>
      </c>
      <c r="H824" s="8">
        <f>IF($B824="","",VLOOKUP($B824,Jogos!$A$2:$K$105,11,FALSE))</f>
        <v/>
      </c>
      <c r="I824" s="5">
        <f>IF(OR($A824="", $B824="", $E824="", $F824="", $G824="", $H824=""), "",IF(AND($E824=$G824, $F824=$H824), 3, IF(SIGN($E824-$F824)=SIGN($G824-$H824), 1, 0))))</f>
        <v/>
      </c>
    </row>
    <row r="825">
      <c r="A825" s="5" t="inlineStr"/>
      <c r="B825" s="5" t="inlineStr"/>
      <c r="C825" s="5">
        <f>IF($B825="","",VLOOKUP($B825,Jogos!$A$2:$K$105,8,FALSE))</f>
        <v/>
      </c>
      <c r="D825" s="5">
        <f>IF($B825="","",VLOOKUP($B825,Jogos!$A$2:$K$105,10,FALSE))</f>
        <v/>
      </c>
      <c r="E825" s="5" t="inlineStr"/>
      <c r="F825" s="5" t="inlineStr"/>
      <c r="G825" s="8">
        <f>IF($B825="","",VLOOKUP($B825,Jogos!$A$2:$K$105,9,FALSE))</f>
        <v/>
      </c>
      <c r="H825" s="8">
        <f>IF($B825="","",VLOOKUP($B825,Jogos!$A$2:$K$105,11,FALSE))</f>
        <v/>
      </c>
      <c r="I825" s="5">
        <f>IF(OR($A825="", $B825="", $E825="", $F825="", $G825="", $H825=""), "",IF(AND($E825=$G825, $F825=$H825), 3, IF(SIGN($E825-$F825)=SIGN($G825-$H825), 1, 0))))</f>
        <v/>
      </c>
    </row>
    <row r="826">
      <c r="A826" s="5" t="inlineStr"/>
      <c r="B826" s="5" t="inlineStr"/>
      <c r="C826" s="5">
        <f>IF($B826="","",VLOOKUP($B826,Jogos!$A$2:$K$105,8,FALSE))</f>
        <v/>
      </c>
      <c r="D826" s="5">
        <f>IF($B826="","",VLOOKUP($B826,Jogos!$A$2:$K$105,10,FALSE))</f>
        <v/>
      </c>
      <c r="E826" s="5" t="inlineStr"/>
      <c r="F826" s="5" t="inlineStr"/>
      <c r="G826" s="8">
        <f>IF($B826="","",VLOOKUP($B826,Jogos!$A$2:$K$105,9,FALSE))</f>
        <v/>
      </c>
      <c r="H826" s="8">
        <f>IF($B826="","",VLOOKUP($B826,Jogos!$A$2:$K$105,11,FALSE))</f>
        <v/>
      </c>
      <c r="I826" s="5">
        <f>IF(OR($A826="", $B826="", $E826="", $F826="", $G826="", $H826=""), "",IF(AND($E826=$G826, $F826=$H826), 3, IF(SIGN($E826-$F826)=SIGN($G826-$H826), 1, 0))))</f>
        <v/>
      </c>
    </row>
    <row r="827">
      <c r="A827" s="5" t="inlineStr"/>
      <c r="B827" s="5" t="inlineStr"/>
      <c r="C827" s="5">
        <f>IF($B827="","",VLOOKUP($B827,Jogos!$A$2:$K$105,8,FALSE))</f>
        <v/>
      </c>
      <c r="D827" s="5">
        <f>IF($B827="","",VLOOKUP($B827,Jogos!$A$2:$K$105,10,FALSE))</f>
        <v/>
      </c>
      <c r="E827" s="5" t="inlineStr"/>
      <c r="F827" s="5" t="inlineStr"/>
      <c r="G827" s="8">
        <f>IF($B827="","",VLOOKUP($B827,Jogos!$A$2:$K$105,9,FALSE))</f>
        <v/>
      </c>
      <c r="H827" s="8">
        <f>IF($B827="","",VLOOKUP($B827,Jogos!$A$2:$K$105,11,FALSE))</f>
        <v/>
      </c>
      <c r="I827" s="5">
        <f>IF(OR($A827="", $B827="", $E827="", $F827="", $G827="", $H827=""), "",IF(AND($E827=$G827, $F827=$H827), 3, IF(SIGN($E827-$F827)=SIGN($G827-$H827), 1, 0))))</f>
        <v/>
      </c>
    </row>
    <row r="828">
      <c r="A828" s="5" t="inlineStr"/>
      <c r="B828" s="5" t="inlineStr"/>
      <c r="C828" s="5">
        <f>IF($B828="","",VLOOKUP($B828,Jogos!$A$2:$K$105,8,FALSE))</f>
        <v/>
      </c>
      <c r="D828" s="5">
        <f>IF($B828="","",VLOOKUP($B828,Jogos!$A$2:$K$105,10,FALSE))</f>
        <v/>
      </c>
      <c r="E828" s="5" t="inlineStr"/>
      <c r="F828" s="5" t="inlineStr"/>
      <c r="G828" s="8">
        <f>IF($B828="","",VLOOKUP($B828,Jogos!$A$2:$K$105,9,FALSE))</f>
        <v/>
      </c>
      <c r="H828" s="8">
        <f>IF($B828="","",VLOOKUP($B828,Jogos!$A$2:$K$105,11,FALSE))</f>
        <v/>
      </c>
      <c r="I828" s="5">
        <f>IF(OR($A828="", $B828="", $E828="", $F828="", $G828="", $H828=""), "",IF(AND($E828=$G828, $F828=$H828), 3, IF(SIGN($E828-$F828)=SIGN($G828-$H828), 1, 0))))</f>
        <v/>
      </c>
    </row>
    <row r="829">
      <c r="A829" s="5" t="inlineStr"/>
      <c r="B829" s="5" t="inlineStr"/>
      <c r="C829" s="5">
        <f>IF($B829="","",VLOOKUP($B829,Jogos!$A$2:$K$105,8,FALSE))</f>
        <v/>
      </c>
      <c r="D829" s="5">
        <f>IF($B829="","",VLOOKUP($B829,Jogos!$A$2:$K$105,10,FALSE))</f>
        <v/>
      </c>
      <c r="E829" s="5" t="inlineStr"/>
      <c r="F829" s="5" t="inlineStr"/>
      <c r="G829" s="8">
        <f>IF($B829="","",VLOOKUP($B829,Jogos!$A$2:$K$105,9,FALSE))</f>
        <v/>
      </c>
      <c r="H829" s="8">
        <f>IF($B829="","",VLOOKUP($B829,Jogos!$A$2:$K$105,11,FALSE))</f>
        <v/>
      </c>
      <c r="I829" s="5">
        <f>IF(OR($A829="", $B829="", $E829="", $F829="", $G829="", $H829=""), "",IF(AND($E829=$G829, $F829=$H829), 3, IF(SIGN($E829-$F829)=SIGN($G829-$H829), 1, 0))))</f>
        <v/>
      </c>
    </row>
    <row r="830">
      <c r="A830" s="5" t="inlineStr"/>
      <c r="B830" s="5" t="inlineStr"/>
      <c r="C830" s="5">
        <f>IF($B830="","",VLOOKUP($B830,Jogos!$A$2:$K$105,8,FALSE))</f>
        <v/>
      </c>
      <c r="D830" s="5">
        <f>IF($B830="","",VLOOKUP($B830,Jogos!$A$2:$K$105,10,FALSE))</f>
        <v/>
      </c>
      <c r="E830" s="5" t="inlineStr"/>
      <c r="F830" s="5" t="inlineStr"/>
      <c r="G830" s="8">
        <f>IF($B830="","",VLOOKUP($B830,Jogos!$A$2:$K$105,9,FALSE))</f>
        <v/>
      </c>
      <c r="H830" s="8">
        <f>IF($B830="","",VLOOKUP($B830,Jogos!$A$2:$K$105,11,FALSE))</f>
        <v/>
      </c>
      <c r="I830" s="5">
        <f>IF(OR($A830="", $B830="", $E830="", $F830="", $G830="", $H830=""), "",IF(AND($E830=$G830, $F830=$H830), 3, IF(SIGN($E830-$F830)=SIGN($G830-$H830), 1, 0))))</f>
        <v/>
      </c>
    </row>
    <row r="831">
      <c r="A831" s="5" t="inlineStr"/>
      <c r="B831" s="5" t="inlineStr"/>
      <c r="C831" s="5">
        <f>IF($B831="","",VLOOKUP($B831,Jogos!$A$2:$K$105,8,FALSE))</f>
        <v/>
      </c>
      <c r="D831" s="5">
        <f>IF($B831="","",VLOOKUP($B831,Jogos!$A$2:$K$105,10,FALSE))</f>
        <v/>
      </c>
      <c r="E831" s="5" t="inlineStr"/>
      <c r="F831" s="5" t="inlineStr"/>
      <c r="G831" s="8">
        <f>IF($B831="","",VLOOKUP($B831,Jogos!$A$2:$K$105,9,FALSE))</f>
        <v/>
      </c>
      <c r="H831" s="8">
        <f>IF($B831="","",VLOOKUP($B831,Jogos!$A$2:$K$105,11,FALSE))</f>
        <v/>
      </c>
      <c r="I831" s="5">
        <f>IF(OR($A831="", $B831="", $E831="", $F831="", $G831="", $H831=""), "",IF(AND($E831=$G831, $F831=$H831), 3, IF(SIGN($E831-$F831)=SIGN($G831-$H831), 1, 0))))</f>
        <v/>
      </c>
    </row>
    <row r="832">
      <c r="A832" s="5" t="inlineStr"/>
      <c r="B832" s="5" t="inlineStr"/>
      <c r="C832" s="5">
        <f>IF($B832="","",VLOOKUP($B832,Jogos!$A$2:$K$105,8,FALSE))</f>
        <v/>
      </c>
      <c r="D832" s="5">
        <f>IF($B832="","",VLOOKUP($B832,Jogos!$A$2:$K$105,10,FALSE))</f>
        <v/>
      </c>
      <c r="E832" s="5" t="inlineStr"/>
      <c r="F832" s="5" t="inlineStr"/>
      <c r="G832" s="8">
        <f>IF($B832="","",VLOOKUP($B832,Jogos!$A$2:$K$105,9,FALSE))</f>
        <v/>
      </c>
      <c r="H832" s="8">
        <f>IF($B832="","",VLOOKUP($B832,Jogos!$A$2:$K$105,11,FALSE))</f>
        <v/>
      </c>
      <c r="I832" s="5">
        <f>IF(OR($A832="", $B832="", $E832="", $F832="", $G832="", $H832=""), "",IF(AND($E832=$G832, $F832=$H832), 3, IF(SIGN($E832-$F832)=SIGN($G832-$H832), 1, 0))))</f>
        <v/>
      </c>
    </row>
    <row r="833">
      <c r="A833" s="5" t="inlineStr"/>
      <c r="B833" s="5" t="inlineStr"/>
      <c r="C833" s="5">
        <f>IF($B833="","",VLOOKUP($B833,Jogos!$A$2:$K$105,8,FALSE))</f>
        <v/>
      </c>
      <c r="D833" s="5">
        <f>IF($B833="","",VLOOKUP($B833,Jogos!$A$2:$K$105,10,FALSE))</f>
        <v/>
      </c>
      <c r="E833" s="5" t="inlineStr"/>
      <c r="F833" s="5" t="inlineStr"/>
      <c r="G833" s="8">
        <f>IF($B833="","",VLOOKUP($B833,Jogos!$A$2:$K$105,9,FALSE))</f>
        <v/>
      </c>
      <c r="H833" s="8">
        <f>IF($B833="","",VLOOKUP($B833,Jogos!$A$2:$K$105,11,FALSE))</f>
        <v/>
      </c>
      <c r="I833" s="5">
        <f>IF(OR($A833="", $B833="", $E833="", $F833="", $G833="", $H833=""), "",IF(AND($E833=$G833, $F833=$H833), 3, IF(SIGN($E833-$F833)=SIGN($G833-$H833), 1, 0))))</f>
        <v/>
      </c>
    </row>
    <row r="834">
      <c r="A834" s="5" t="inlineStr"/>
      <c r="B834" s="5" t="inlineStr"/>
      <c r="C834" s="5">
        <f>IF($B834="","",VLOOKUP($B834,Jogos!$A$2:$K$105,8,FALSE))</f>
        <v/>
      </c>
      <c r="D834" s="5">
        <f>IF($B834="","",VLOOKUP($B834,Jogos!$A$2:$K$105,10,FALSE))</f>
        <v/>
      </c>
      <c r="E834" s="5" t="inlineStr"/>
      <c r="F834" s="5" t="inlineStr"/>
      <c r="G834" s="8">
        <f>IF($B834="","",VLOOKUP($B834,Jogos!$A$2:$K$105,9,FALSE))</f>
        <v/>
      </c>
      <c r="H834" s="8">
        <f>IF($B834="","",VLOOKUP($B834,Jogos!$A$2:$K$105,11,FALSE))</f>
        <v/>
      </c>
      <c r="I834" s="5">
        <f>IF(OR($A834="", $B834="", $E834="", $F834="", $G834="", $H834=""), "",IF(AND($E834=$G834, $F834=$H834), 3, IF(SIGN($E834-$F834)=SIGN($G834-$H834), 1, 0))))</f>
        <v/>
      </c>
    </row>
    <row r="835">
      <c r="A835" s="5" t="inlineStr"/>
      <c r="B835" s="5" t="inlineStr"/>
      <c r="C835" s="5">
        <f>IF($B835="","",VLOOKUP($B835,Jogos!$A$2:$K$105,8,FALSE))</f>
        <v/>
      </c>
      <c r="D835" s="5">
        <f>IF($B835="","",VLOOKUP($B835,Jogos!$A$2:$K$105,10,FALSE))</f>
        <v/>
      </c>
      <c r="E835" s="5" t="inlineStr"/>
      <c r="F835" s="5" t="inlineStr"/>
      <c r="G835" s="8">
        <f>IF($B835="","",VLOOKUP($B835,Jogos!$A$2:$K$105,9,FALSE))</f>
        <v/>
      </c>
      <c r="H835" s="8">
        <f>IF($B835="","",VLOOKUP($B835,Jogos!$A$2:$K$105,11,FALSE))</f>
        <v/>
      </c>
      <c r="I835" s="5">
        <f>IF(OR($A835="", $B835="", $E835="", $F835="", $G835="", $H835=""), "",IF(AND($E835=$G835, $F835=$H835), 3, IF(SIGN($E835-$F835)=SIGN($G835-$H835), 1, 0))))</f>
        <v/>
      </c>
    </row>
    <row r="836">
      <c r="A836" s="5" t="inlineStr"/>
      <c r="B836" s="5" t="inlineStr"/>
      <c r="C836" s="5">
        <f>IF($B836="","",VLOOKUP($B836,Jogos!$A$2:$K$105,8,FALSE))</f>
        <v/>
      </c>
      <c r="D836" s="5">
        <f>IF($B836="","",VLOOKUP($B836,Jogos!$A$2:$K$105,10,FALSE))</f>
        <v/>
      </c>
      <c r="E836" s="5" t="inlineStr"/>
      <c r="F836" s="5" t="inlineStr"/>
      <c r="G836" s="8">
        <f>IF($B836="","",VLOOKUP($B836,Jogos!$A$2:$K$105,9,FALSE))</f>
        <v/>
      </c>
      <c r="H836" s="8">
        <f>IF($B836="","",VLOOKUP($B836,Jogos!$A$2:$K$105,11,FALSE))</f>
        <v/>
      </c>
      <c r="I836" s="5">
        <f>IF(OR($A836="", $B836="", $E836="", $F836="", $G836="", $H836=""), "",IF(AND($E836=$G836, $F836=$H836), 3, IF(SIGN($E836-$F836)=SIGN($G836-$H836), 1, 0))))</f>
        <v/>
      </c>
    </row>
    <row r="837">
      <c r="A837" s="5" t="inlineStr"/>
      <c r="B837" s="5" t="inlineStr"/>
      <c r="C837" s="5">
        <f>IF($B837="","",VLOOKUP($B837,Jogos!$A$2:$K$105,8,FALSE))</f>
        <v/>
      </c>
      <c r="D837" s="5">
        <f>IF($B837="","",VLOOKUP($B837,Jogos!$A$2:$K$105,10,FALSE))</f>
        <v/>
      </c>
      <c r="E837" s="5" t="inlineStr"/>
      <c r="F837" s="5" t="inlineStr"/>
      <c r="G837" s="8">
        <f>IF($B837="","",VLOOKUP($B837,Jogos!$A$2:$K$105,9,FALSE))</f>
        <v/>
      </c>
      <c r="H837" s="8">
        <f>IF($B837="","",VLOOKUP($B837,Jogos!$A$2:$K$105,11,FALSE))</f>
        <v/>
      </c>
      <c r="I837" s="5">
        <f>IF(OR($A837="", $B837="", $E837="", $F837="", $G837="", $H837=""), "",IF(AND($E837=$G837, $F837=$H837), 3, IF(SIGN($E837-$F837)=SIGN($G837-$H837), 1, 0))))</f>
        <v/>
      </c>
    </row>
    <row r="838">
      <c r="A838" s="5" t="inlineStr"/>
      <c r="B838" s="5" t="inlineStr"/>
      <c r="C838" s="5">
        <f>IF($B838="","",VLOOKUP($B838,Jogos!$A$2:$K$105,8,FALSE))</f>
        <v/>
      </c>
      <c r="D838" s="5">
        <f>IF($B838="","",VLOOKUP($B838,Jogos!$A$2:$K$105,10,FALSE))</f>
        <v/>
      </c>
      <c r="E838" s="5" t="inlineStr"/>
      <c r="F838" s="5" t="inlineStr"/>
      <c r="G838" s="8">
        <f>IF($B838="","",VLOOKUP($B838,Jogos!$A$2:$K$105,9,FALSE))</f>
        <v/>
      </c>
      <c r="H838" s="8">
        <f>IF($B838="","",VLOOKUP($B838,Jogos!$A$2:$K$105,11,FALSE))</f>
        <v/>
      </c>
      <c r="I838" s="5">
        <f>IF(OR($A838="", $B838="", $E838="", $F838="", $G838="", $H838=""), "",IF(AND($E838=$G838, $F838=$H838), 3, IF(SIGN($E838-$F838)=SIGN($G838-$H838), 1, 0))))</f>
        <v/>
      </c>
    </row>
    <row r="839">
      <c r="A839" s="5" t="inlineStr"/>
      <c r="B839" s="5" t="inlineStr"/>
      <c r="C839" s="5">
        <f>IF($B839="","",VLOOKUP($B839,Jogos!$A$2:$K$105,8,FALSE))</f>
        <v/>
      </c>
      <c r="D839" s="5">
        <f>IF($B839="","",VLOOKUP($B839,Jogos!$A$2:$K$105,10,FALSE))</f>
        <v/>
      </c>
      <c r="E839" s="5" t="inlineStr"/>
      <c r="F839" s="5" t="inlineStr"/>
      <c r="G839" s="8">
        <f>IF($B839="","",VLOOKUP($B839,Jogos!$A$2:$K$105,9,FALSE))</f>
        <v/>
      </c>
      <c r="H839" s="8">
        <f>IF($B839="","",VLOOKUP($B839,Jogos!$A$2:$K$105,11,FALSE))</f>
        <v/>
      </c>
      <c r="I839" s="5">
        <f>IF(OR($A839="", $B839="", $E839="", $F839="", $G839="", $H839=""), "",IF(AND($E839=$G839, $F839=$H839), 3, IF(SIGN($E839-$F839)=SIGN($G839-$H839), 1, 0))))</f>
        <v/>
      </c>
    </row>
    <row r="840">
      <c r="A840" s="5" t="inlineStr"/>
      <c r="B840" s="5" t="inlineStr"/>
      <c r="C840" s="5">
        <f>IF($B840="","",VLOOKUP($B840,Jogos!$A$2:$K$105,8,FALSE))</f>
        <v/>
      </c>
      <c r="D840" s="5">
        <f>IF($B840="","",VLOOKUP($B840,Jogos!$A$2:$K$105,10,FALSE))</f>
        <v/>
      </c>
      <c r="E840" s="5" t="inlineStr"/>
      <c r="F840" s="5" t="inlineStr"/>
      <c r="G840" s="8">
        <f>IF($B840="","",VLOOKUP($B840,Jogos!$A$2:$K$105,9,FALSE))</f>
        <v/>
      </c>
      <c r="H840" s="8">
        <f>IF($B840="","",VLOOKUP($B840,Jogos!$A$2:$K$105,11,FALSE))</f>
        <v/>
      </c>
      <c r="I840" s="5">
        <f>IF(OR($A840="", $B840="", $E840="", $F840="", $G840="", $H840=""), "",IF(AND($E840=$G840, $F840=$H840), 3, IF(SIGN($E840-$F840)=SIGN($G840-$H840), 1, 0))))</f>
        <v/>
      </c>
    </row>
    <row r="841">
      <c r="A841" s="5" t="inlineStr"/>
      <c r="B841" s="5" t="inlineStr"/>
      <c r="C841" s="5">
        <f>IF($B841="","",VLOOKUP($B841,Jogos!$A$2:$K$105,8,FALSE))</f>
        <v/>
      </c>
      <c r="D841" s="5">
        <f>IF($B841="","",VLOOKUP($B841,Jogos!$A$2:$K$105,10,FALSE))</f>
        <v/>
      </c>
      <c r="E841" s="5" t="inlineStr"/>
      <c r="F841" s="5" t="inlineStr"/>
      <c r="G841" s="8">
        <f>IF($B841="","",VLOOKUP($B841,Jogos!$A$2:$K$105,9,FALSE))</f>
        <v/>
      </c>
      <c r="H841" s="8">
        <f>IF($B841="","",VLOOKUP($B841,Jogos!$A$2:$K$105,11,FALSE))</f>
        <v/>
      </c>
      <c r="I841" s="5">
        <f>IF(OR($A841="", $B841="", $E841="", $F841="", $G841="", $H841=""), "",IF(AND($E841=$G841, $F841=$H841), 3, IF(SIGN($E841-$F841)=SIGN($G841-$H841), 1, 0))))</f>
        <v/>
      </c>
    </row>
    <row r="842">
      <c r="A842" s="5" t="inlineStr"/>
      <c r="B842" s="5" t="inlineStr"/>
      <c r="C842" s="5">
        <f>IF($B842="","",VLOOKUP($B842,Jogos!$A$2:$K$105,8,FALSE))</f>
        <v/>
      </c>
      <c r="D842" s="5">
        <f>IF($B842="","",VLOOKUP($B842,Jogos!$A$2:$K$105,10,FALSE))</f>
        <v/>
      </c>
      <c r="E842" s="5" t="inlineStr"/>
      <c r="F842" s="5" t="inlineStr"/>
      <c r="G842" s="8">
        <f>IF($B842="","",VLOOKUP($B842,Jogos!$A$2:$K$105,9,FALSE))</f>
        <v/>
      </c>
      <c r="H842" s="8">
        <f>IF($B842="","",VLOOKUP($B842,Jogos!$A$2:$K$105,11,FALSE))</f>
        <v/>
      </c>
      <c r="I842" s="5">
        <f>IF(OR($A842="", $B842="", $E842="", $F842="", $G842="", $H842=""), "",IF(AND($E842=$G842, $F842=$H842), 3, IF(SIGN($E842-$F842)=SIGN($G842-$H842), 1, 0))))</f>
        <v/>
      </c>
    </row>
    <row r="843">
      <c r="A843" s="5" t="inlineStr"/>
      <c r="B843" s="5" t="inlineStr"/>
      <c r="C843" s="5">
        <f>IF($B843="","",VLOOKUP($B843,Jogos!$A$2:$K$105,8,FALSE))</f>
        <v/>
      </c>
      <c r="D843" s="5">
        <f>IF($B843="","",VLOOKUP($B843,Jogos!$A$2:$K$105,10,FALSE))</f>
        <v/>
      </c>
      <c r="E843" s="5" t="inlineStr"/>
      <c r="F843" s="5" t="inlineStr"/>
      <c r="G843" s="8">
        <f>IF($B843="","",VLOOKUP($B843,Jogos!$A$2:$K$105,9,FALSE))</f>
        <v/>
      </c>
      <c r="H843" s="8">
        <f>IF($B843="","",VLOOKUP($B843,Jogos!$A$2:$K$105,11,FALSE))</f>
        <v/>
      </c>
      <c r="I843" s="5">
        <f>IF(OR($A843="", $B843="", $E843="", $F843="", $G843="", $H843=""), "",IF(AND($E843=$G843, $F843=$H843), 3, IF(SIGN($E843-$F843)=SIGN($G843-$H843), 1, 0))))</f>
        <v/>
      </c>
    </row>
    <row r="844">
      <c r="A844" s="5" t="inlineStr"/>
      <c r="B844" s="5" t="inlineStr"/>
      <c r="C844" s="5">
        <f>IF($B844="","",VLOOKUP($B844,Jogos!$A$2:$K$105,8,FALSE))</f>
        <v/>
      </c>
      <c r="D844" s="5">
        <f>IF($B844="","",VLOOKUP($B844,Jogos!$A$2:$K$105,10,FALSE))</f>
        <v/>
      </c>
      <c r="E844" s="5" t="inlineStr"/>
      <c r="F844" s="5" t="inlineStr"/>
      <c r="G844" s="8">
        <f>IF($B844="","",VLOOKUP($B844,Jogos!$A$2:$K$105,9,FALSE))</f>
        <v/>
      </c>
      <c r="H844" s="8">
        <f>IF($B844="","",VLOOKUP($B844,Jogos!$A$2:$K$105,11,FALSE))</f>
        <v/>
      </c>
      <c r="I844" s="5">
        <f>IF(OR($A844="", $B844="", $E844="", $F844="", $G844="", $H844=""), "",IF(AND($E844=$G844, $F844=$H844), 3, IF(SIGN($E844-$F844)=SIGN($G844-$H844), 1, 0))))</f>
        <v/>
      </c>
    </row>
    <row r="845">
      <c r="A845" s="5" t="inlineStr"/>
      <c r="B845" s="5" t="inlineStr"/>
      <c r="C845" s="5">
        <f>IF($B845="","",VLOOKUP($B845,Jogos!$A$2:$K$105,8,FALSE))</f>
        <v/>
      </c>
      <c r="D845" s="5">
        <f>IF($B845="","",VLOOKUP($B845,Jogos!$A$2:$K$105,10,FALSE))</f>
        <v/>
      </c>
      <c r="E845" s="5" t="inlineStr"/>
      <c r="F845" s="5" t="inlineStr"/>
      <c r="G845" s="8">
        <f>IF($B845="","",VLOOKUP($B845,Jogos!$A$2:$K$105,9,FALSE))</f>
        <v/>
      </c>
      <c r="H845" s="8">
        <f>IF($B845="","",VLOOKUP($B845,Jogos!$A$2:$K$105,11,FALSE))</f>
        <v/>
      </c>
      <c r="I845" s="5">
        <f>IF(OR($A845="", $B845="", $E845="", $F845="", $G845="", $H845=""), "",IF(AND($E845=$G845, $F845=$H845), 3, IF(SIGN($E845-$F845)=SIGN($G845-$H845), 1, 0))))</f>
        <v/>
      </c>
    </row>
    <row r="846">
      <c r="A846" s="5" t="inlineStr"/>
      <c r="B846" s="5" t="inlineStr"/>
      <c r="C846" s="5">
        <f>IF($B846="","",VLOOKUP($B846,Jogos!$A$2:$K$105,8,FALSE))</f>
        <v/>
      </c>
      <c r="D846" s="5">
        <f>IF($B846="","",VLOOKUP($B846,Jogos!$A$2:$K$105,10,FALSE))</f>
        <v/>
      </c>
      <c r="E846" s="5" t="inlineStr"/>
      <c r="F846" s="5" t="inlineStr"/>
      <c r="G846" s="8">
        <f>IF($B846="","",VLOOKUP($B846,Jogos!$A$2:$K$105,9,FALSE))</f>
        <v/>
      </c>
      <c r="H846" s="8">
        <f>IF($B846="","",VLOOKUP($B846,Jogos!$A$2:$K$105,11,FALSE))</f>
        <v/>
      </c>
      <c r="I846" s="5">
        <f>IF(OR($A846="", $B846="", $E846="", $F846="", $G846="", $H846=""), "",IF(AND($E846=$G846, $F846=$H846), 3, IF(SIGN($E846-$F846)=SIGN($G846-$H846), 1, 0))))</f>
        <v/>
      </c>
    </row>
    <row r="847">
      <c r="A847" s="5" t="inlineStr"/>
      <c r="B847" s="5" t="inlineStr"/>
      <c r="C847" s="5">
        <f>IF($B847="","",VLOOKUP($B847,Jogos!$A$2:$K$105,8,FALSE))</f>
        <v/>
      </c>
      <c r="D847" s="5">
        <f>IF($B847="","",VLOOKUP($B847,Jogos!$A$2:$K$105,10,FALSE))</f>
        <v/>
      </c>
      <c r="E847" s="5" t="inlineStr"/>
      <c r="F847" s="5" t="inlineStr"/>
      <c r="G847" s="8">
        <f>IF($B847="","",VLOOKUP($B847,Jogos!$A$2:$K$105,9,FALSE))</f>
        <v/>
      </c>
      <c r="H847" s="8">
        <f>IF($B847="","",VLOOKUP($B847,Jogos!$A$2:$K$105,11,FALSE))</f>
        <v/>
      </c>
      <c r="I847" s="5">
        <f>IF(OR($A847="", $B847="", $E847="", $F847="", $G847="", $H847=""), "",IF(AND($E847=$G847, $F847=$H847), 3, IF(SIGN($E847-$F847)=SIGN($G847-$H847), 1, 0))))</f>
        <v/>
      </c>
    </row>
    <row r="848">
      <c r="A848" s="5" t="inlineStr"/>
      <c r="B848" s="5" t="inlineStr"/>
      <c r="C848" s="5">
        <f>IF($B848="","",VLOOKUP($B848,Jogos!$A$2:$K$105,8,FALSE))</f>
        <v/>
      </c>
      <c r="D848" s="5">
        <f>IF($B848="","",VLOOKUP($B848,Jogos!$A$2:$K$105,10,FALSE))</f>
        <v/>
      </c>
      <c r="E848" s="5" t="inlineStr"/>
      <c r="F848" s="5" t="inlineStr"/>
      <c r="G848" s="8">
        <f>IF($B848="","",VLOOKUP($B848,Jogos!$A$2:$K$105,9,FALSE))</f>
        <v/>
      </c>
      <c r="H848" s="8">
        <f>IF($B848="","",VLOOKUP($B848,Jogos!$A$2:$K$105,11,FALSE))</f>
        <v/>
      </c>
      <c r="I848" s="5">
        <f>IF(OR($A848="", $B848="", $E848="", $F848="", $G848="", $H848=""), "",IF(AND($E848=$G848, $F848=$H848), 3, IF(SIGN($E848-$F848)=SIGN($G848-$H848), 1, 0))))</f>
        <v/>
      </c>
    </row>
    <row r="849">
      <c r="A849" s="5" t="inlineStr"/>
      <c r="B849" s="5" t="inlineStr"/>
      <c r="C849" s="5">
        <f>IF($B849="","",VLOOKUP($B849,Jogos!$A$2:$K$105,8,FALSE))</f>
        <v/>
      </c>
      <c r="D849" s="5">
        <f>IF($B849="","",VLOOKUP($B849,Jogos!$A$2:$K$105,10,FALSE))</f>
        <v/>
      </c>
      <c r="E849" s="5" t="inlineStr"/>
      <c r="F849" s="5" t="inlineStr"/>
      <c r="G849" s="8">
        <f>IF($B849="","",VLOOKUP($B849,Jogos!$A$2:$K$105,9,FALSE))</f>
        <v/>
      </c>
      <c r="H849" s="8">
        <f>IF($B849="","",VLOOKUP($B849,Jogos!$A$2:$K$105,11,FALSE))</f>
        <v/>
      </c>
      <c r="I849" s="5">
        <f>IF(OR($A849="", $B849="", $E849="", $F849="", $G849="", $H849=""), "",IF(AND($E849=$G849, $F849=$H849), 3, IF(SIGN($E849-$F849)=SIGN($G849-$H849), 1, 0))))</f>
        <v/>
      </c>
    </row>
    <row r="850">
      <c r="A850" s="5" t="inlineStr"/>
      <c r="B850" s="5" t="inlineStr"/>
      <c r="C850" s="5">
        <f>IF($B850="","",VLOOKUP($B850,Jogos!$A$2:$K$105,8,FALSE))</f>
        <v/>
      </c>
      <c r="D850" s="5">
        <f>IF($B850="","",VLOOKUP($B850,Jogos!$A$2:$K$105,10,FALSE))</f>
        <v/>
      </c>
      <c r="E850" s="5" t="inlineStr"/>
      <c r="F850" s="5" t="inlineStr"/>
      <c r="G850" s="8">
        <f>IF($B850="","",VLOOKUP($B850,Jogos!$A$2:$K$105,9,FALSE))</f>
        <v/>
      </c>
      <c r="H850" s="8">
        <f>IF($B850="","",VLOOKUP($B850,Jogos!$A$2:$K$105,11,FALSE))</f>
        <v/>
      </c>
      <c r="I850" s="5">
        <f>IF(OR($A850="", $B850="", $E850="", $F850="", $G850="", $H850=""), "",IF(AND($E850=$G850, $F850=$H850), 3, IF(SIGN($E850-$F850)=SIGN($G850-$H850), 1, 0))))</f>
        <v/>
      </c>
    </row>
    <row r="851">
      <c r="A851" s="5" t="inlineStr"/>
      <c r="B851" s="5" t="inlineStr"/>
      <c r="C851" s="5">
        <f>IF($B851="","",VLOOKUP($B851,Jogos!$A$2:$K$105,8,FALSE))</f>
        <v/>
      </c>
      <c r="D851" s="5">
        <f>IF($B851="","",VLOOKUP($B851,Jogos!$A$2:$K$105,10,FALSE))</f>
        <v/>
      </c>
      <c r="E851" s="5" t="inlineStr"/>
      <c r="F851" s="5" t="inlineStr"/>
      <c r="G851" s="8">
        <f>IF($B851="","",VLOOKUP($B851,Jogos!$A$2:$K$105,9,FALSE))</f>
        <v/>
      </c>
      <c r="H851" s="8">
        <f>IF($B851="","",VLOOKUP($B851,Jogos!$A$2:$K$105,11,FALSE))</f>
        <v/>
      </c>
      <c r="I851" s="5">
        <f>IF(OR($A851="", $B851="", $E851="", $F851="", $G851="", $H851=""), "",IF(AND($E851=$G851, $F851=$H851), 3, IF(SIGN($E851-$F851)=SIGN($G851-$H851), 1, 0))))</f>
        <v/>
      </c>
    </row>
    <row r="852">
      <c r="A852" s="5" t="inlineStr"/>
      <c r="B852" s="5" t="inlineStr"/>
      <c r="C852" s="5">
        <f>IF($B852="","",VLOOKUP($B852,Jogos!$A$2:$K$105,8,FALSE))</f>
        <v/>
      </c>
      <c r="D852" s="5">
        <f>IF($B852="","",VLOOKUP($B852,Jogos!$A$2:$K$105,10,FALSE))</f>
        <v/>
      </c>
      <c r="E852" s="5" t="inlineStr"/>
      <c r="F852" s="5" t="inlineStr"/>
      <c r="G852" s="8">
        <f>IF($B852="","",VLOOKUP($B852,Jogos!$A$2:$K$105,9,FALSE))</f>
        <v/>
      </c>
      <c r="H852" s="8">
        <f>IF($B852="","",VLOOKUP($B852,Jogos!$A$2:$K$105,11,FALSE))</f>
        <v/>
      </c>
      <c r="I852" s="5">
        <f>IF(OR($A852="", $B852="", $E852="", $F852="", $G852="", $H852=""), "",IF(AND($E852=$G852, $F852=$H852), 3, IF(SIGN($E852-$F852)=SIGN($G852-$H852), 1, 0))))</f>
        <v/>
      </c>
    </row>
    <row r="853">
      <c r="A853" s="5" t="inlineStr"/>
      <c r="B853" s="5" t="inlineStr"/>
      <c r="C853" s="5">
        <f>IF($B853="","",VLOOKUP($B853,Jogos!$A$2:$K$105,8,FALSE))</f>
        <v/>
      </c>
      <c r="D853" s="5">
        <f>IF($B853="","",VLOOKUP($B853,Jogos!$A$2:$K$105,10,FALSE))</f>
        <v/>
      </c>
      <c r="E853" s="5" t="inlineStr"/>
      <c r="F853" s="5" t="inlineStr"/>
      <c r="G853" s="8">
        <f>IF($B853="","",VLOOKUP($B853,Jogos!$A$2:$K$105,9,FALSE))</f>
        <v/>
      </c>
      <c r="H853" s="8">
        <f>IF($B853="","",VLOOKUP($B853,Jogos!$A$2:$K$105,11,FALSE))</f>
        <v/>
      </c>
      <c r="I853" s="5">
        <f>IF(OR($A853="", $B853="", $E853="", $F853="", $G853="", $H853=""), "",IF(AND($E853=$G853, $F853=$H853), 3, IF(SIGN($E853-$F853)=SIGN($G853-$H853), 1, 0))))</f>
        <v/>
      </c>
    </row>
    <row r="854">
      <c r="A854" s="5" t="inlineStr"/>
      <c r="B854" s="5" t="inlineStr"/>
      <c r="C854" s="5">
        <f>IF($B854="","",VLOOKUP($B854,Jogos!$A$2:$K$105,8,FALSE))</f>
        <v/>
      </c>
      <c r="D854" s="5">
        <f>IF($B854="","",VLOOKUP($B854,Jogos!$A$2:$K$105,10,FALSE))</f>
        <v/>
      </c>
      <c r="E854" s="5" t="inlineStr"/>
      <c r="F854" s="5" t="inlineStr"/>
      <c r="G854" s="8">
        <f>IF($B854="","",VLOOKUP($B854,Jogos!$A$2:$K$105,9,FALSE))</f>
        <v/>
      </c>
      <c r="H854" s="8">
        <f>IF($B854="","",VLOOKUP($B854,Jogos!$A$2:$K$105,11,FALSE))</f>
        <v/>
      </c>
      <c r="I854" s="5">
        <f>IF(OR($A854="", $B854="", $E854="", $F854="", $G854="", $H854=""), "",IF(AND($E854=$G854, $F854=$H854), 3, IF(SIGN($E854-$F854)=SIGN($G854-$H854), 1, 0))))</f>
        <v/>
      </c>
    </row>
    <row r="855">
      <c r="A855" s="5" t="inlineStr"/>
      <c r="B855" s="5" t="inlineStr"/>
      <c r="C855" s="5">
        <f>IF($B855="","",VLOOKUP($B855,Jogos!$A$2:$K$105,8,FALSE))</f>
        <v/>
      </c>
      <c r="D855" s="5">
        <f>IF($B855="","",VLOOKUP($B855,Jogos!$A$2:$K$105,10,FALSE))</f>
        <v/>
      </c>
      <c r="E855" s="5" t="inlineStr"/>
      <c r="F855" s="5" t="inlineStr"/>
      <c r="G855" s="8">
        <f>IF($B855="","",VLOOKUP($B855,Jogos!$A$2:$K$105,9,FALSE))</f>
        <v/>
      </c>
      <c r="H855" s="8">
        <f>IF($B855="","",VLOOKUP($B855,Jogos!$A$2:$K$105,11,FALSE))</f>
        <v/>
      </c>
      <c r="I855" s="5">
        <f>IF(OR($A855="", $B855="", $E855="", $F855="", $G855="", $H855=""), "",IF(AND($E855=$G855, $F855=$H855), 3, IF(SIGN($E855-$F855)=SIGN($G855-$H855), 1, 0))))</f>
        <v/>
      </c>
    </row>
    <row r="856">
      <c r="A856" s="5" t="inlineStr"/>
      <c r="B856" s="5" t="inlineStr"/>
      <c r="C856" s="5">
        <f>IF($B856="","",VLOOKUP($B856,Jogos!$A$2:$K$105,8,FALSE))</f>
        <v/>
      </c>
      <c r="D856" s="5">
        <f>IF($B856="","",VLOOKUP($B856,Jogos!$A$2:$K$105,10,FALSE))</f>
        <v/>
      </c>
      <c r="E856" s="5" t="inlineStr"/>
      <c r="F856" s="5" t="inlineStr"/>
      <c r="G856" s="8">
        <f>IF($B856="","",VLOOKUP($B856,Jogos!$A$2:$K$105,9,FALSE))</f>
        <v/>
      </c>
      <c r="H856" s="8">
        <f>IF($B856="","",VLOOKUP($B856,Jogos!$A$2:$K$105,11,FALSE))</f>
        <v/>
      </c>
      <c r="I856" s="5">
        <f>IF(OR($A856="", $B856="", $E856="", $F856="", $G856="", $H856=""), "",IF(AND($E856=$G856, $F856=$H856), 3, IF(SIGN($E856-$F856)=SIGN($G856-$H856), 1, 0))))</f>
        <v/>
      </c>
    </row>
    <row r="857">
      <c r="A857" s="5" t="inlineStr"/>
      <c r="B857" s="5" t="inlineStr"/>
      <c r="C857" s="5">
        <f>IF($B857="","",VLOOKUP($B857,Jogos!$A$2:$K$105,8,FALSE))</f>
        <v/>
      </c>
      <c r="D857" s="5">
        <f>IF($B857="","",VLOOKUP($B857,Jogos!$A$2:$K$105,10,FALSE))</f>
        <v/>
      </c>
      <c r="E857" s="5" t="inlineStr"/>
      <c r="F857" s="5" t="inlineStr"/>
      <c r="G857" s="8">
        <f>IF($B857="","",VLOOKUP($B857,Jogos!$A$2:$K$105,9,FALSE))</f>
        <v/>
      </c>
      <c r="H857" s="8">
        <f>IF($B857="","",VLOOKUP($B857,Jogos!$A$2:$K$105,11,FALSE))</f>
        <v/>
      </c>
      <c r="I857" s="5">
        <f>IF(OR($A857="", $B857="", $E857="", $F857="", $G857="", $H857=""), "",IF(AND($E857=$G857, $F857=$H857), 3, IF(SIGN($E857-$F857)=SIGN($G857-$H857), 1, 0))))</f>
        <v/>
      </c>
    </row>
    <row r="858">
      <c r="A858" s="5" t="inlineStr"/>
      <c r="B858" s="5" t="inlineStr"/>
      <c r="C858" s="5">
        <f>IF($B858="","",VLOOKUP($B858,Jogos!$A$2:$K$105,8,FALSE))</f>
        <v/>
      </c>
      <c r="D858" s="5">
        <f>IF($B858="","",VLOOKUP($B858,Jogos!$A$2:$K$105,10,FALSE))</f>
        <v/>
      </c>
      <c r="E858" s="5" t="inlineStr"/>
      <c r="F858" s="5" t="inlineStr"/>
      <c r="G858" s="8">
        <f>IF($B858="","",VLOOKUP($B858,Jogos!$A$2:$K$105,9,FALSE))</f>
        <v/>
      </c>
      <c r="H858" s="8">
        <f>IF($B858="","",VLOOKUP($B858,Jogos!$A$2:$K$105,11,FALSE))</f>
        <v/>
      </c>
      <c r="I858" s="5">
        <f>IF(OR($A858="", $B858="", $E858="", $F858="", $G858="", $H858=""), "",IF(AND($E858=$G858, $F858=$H858), 3, IF(SIGN($E858-$F858)=SIGN($G858-$H858), 1, 0))))</f>
        <v/>
      </c>
    </row>
    <row r="859">
      <c r="A859" s="5" t="inlineStr"/>
      <c r="B859" s="5" t="inlineStr"/>
      <c r="C859" s="5">
        <f>IF($B859="","",VLOOKUP($B859,Jogos!$A$2:$K$105,8,FALSE))</f>
        <v/>
      </c>
      <c r="D859" s="5">
        <f>IF($B859="","",VLOOKUP($B859,Jogos!$A$2:$K$105,10,FALSE))</f>
        <v/>
      </c>
      <c r="E859" s="5" t="inlineStr"/>
      <c r="F859" s="5" t="inlineStr"/>
      <c r="G859" s="8">
        <f>IF($B859="","",VLOOKUP($B859,Jogos!$A$2:$K$105,9,FALSE))</f>
        <v/>
      </c>
      <c r="H859" s="8">
        <f>IF($B859="","",VLOOKUP($B859,Jogos!$A$2:$K$105,11,FALSE))</f>
        <v/>
      </c>
      <c r="I859" s="5">
        <f>IF(OR($A859="", $B859="", $E859="", $F859="", $G859="", $H859=""), "",IF(AND($E859=$G859, $F859=$H859), 3, IF(SIGN($E859-$F859)=SIGN($G859-$H859), 1, 0))))</f>
        <v/>
      </c>
    </row>
    <row r="860">
      <c r="A860" s="5" t="inlineStr"/>
      <c r="B860" s="5" t="inlineStr"/>
      <c r="C860" s="5">
        <f>IF($B860="","",VLOOKUP($B860,Jogos!$A$2:$K$105,8,FALSE))</f>
        <v/>
      </c>
      <c r="D860" s="5">
        <f>IF($B860="","",VLOOKUP($B860,Jogos!$A$2:$K$105,10,FALSE))</f>
        <v/>
      </c>
      <c r="E860" s="5" t="inlineStr"/>
      <c r="F860" s="5" t="inlineStr"/>
      <c r="G860" s="8">
        <f>IF($B860="","",VLOOKUP($B860,Jogos!$A$2:$K$105,9,FALSE))</f>
        <v/>
      </c>
      <c r="H860" s="8">
        <f>IF($B860="","",VLOOKUP($B860,Jogos!$A$2:$K$105,11,FALSE))</f>
        <v/>
      </c>
      <c r="I860" s="5">
        <f>IF(OR($A860="", $B860="", $E860="", $F860="", $G860="", $H860=""), "",IF(AND($E860=$G860, $F860=$H860), 3, IF(SIGN($E860-$F860)=SIGN($G860-$H860), 1, 0))))</f>
        <v/>
      </c>
    </row>
    <row r="861">
      <c r="A861" s="5" t="inlineStr"/>
      <c r="B861" s="5" t="inlineStr"/>
      <c r="C861" s="5">
        <f>IF($B861="","",VLOOKUP($B861,Jogos!$A$2:$K$105,8,FALSE))</f>
        <v/>
      </c>
      <c r="D861" s="5">
        <f>IF($B861="","",VLOOKUP($B861,Jogos!$A$2:$K$105,10,FALSE))</f>
        <v/>
      </c>
      <c r="E861" s="5" t="inlineStr"/>
      <c r="F861" s="5" t="inlineStr"/>
      <c r="G861" s="8">
        <f>IF($B861="","",VLOOKUP($B861,Jogos!$A$2:$K$105,9,FALSE))</f>
        <v/>
      </c>
      <c r="H861" s="8">
        <f>IF($B861="","",VLOOKUP($B861,Jogos!$A$2:$K$105,11,FALSE))</f>
        <v/>
      </c>
      <c r="I861" s="5">
        <f>IF(OR($A861="", $B861="", $E861="", $F861="", $G861="", $H861=""), "",IF(AND($E861=$G861, $F861=$H861), 3, IF(SIGN($E861-$F861)=SIGN($G861-$H861), 1, 0))))</f>
        <v/>
      </c>
    </row>
    <row r="862">
      <c r="A862" s="5" t="inlineStr"/>
      <c r="B862" s="5" t="inlineStr"/>
      <c r="C862" s="5">
        <f>IF($B862="","",VLOOKUP($B862,Jogos!$A$2:$K$105,8,FALSE))</f>
        <v/>
      </c>
      <c r="D862" s="5">
        <f>IF($B862="","",VLOOKUP($B862,Jogos!$A$2:$K$105,10,FALSE))</f>
        <v/>
      </c>
      <c r="E862" s="5" t="inlineStr"/>
      <c r="F862" s="5" t="inlineStr"/>
      <c r="G862" s="8">
        <f>IF($B862="","",VLOOKUP($B862,Jogos!$A$2:$K$105,9,FALSE))</f>
        <v/>
      </c>
      <c r="H862" s="8">
        <f>IF($B862="","",VLOOKUP($B862,Jogos!$A$2:$K$105,11,FALSE))</f>
        <v/>
      </c>
      <c r="I862" s="5">
        <f>IF(OR($A862="", $B862="", $E862="", $F862="", $G862="", $H862=""), "",IF(AND($E862=$G862, $F862=$H862), 3, IF(SIGN($E862-$F862)=SIGN($G862-$H862), 1, 0))))</f>
        <v/>
      </c>
    </row>
    <row r="863">
      <c r="A863" s="5" t="inlineStr"/>
      <c r="B863" s="5" t="inlineStr"/>
      <c r="C863" s="5">
        <f>IF($B863="","",VLOOKUP($B863,Jogos!$A$2:$K$105,8,FALSE))</f>
        <v/>
      </c>
      <c r="D863" s="5">
        <f>IF($B863="","",VLOOKUP($B863,Jogos!$A$2:$K$105,10,FALSE))</f>
        <v/>
      </c>
      <c r="E863" s="5" t="inlineStr"/>
      <c r="F863" s="5" t="inlineStr"/>
      <c r="G863" s="8">
        <f>IF($B863="","",VLOOKUP($B863,Jogos!$A$2:$K$105,9,FALSE))</f>
        <v/>
      </c>
      <c r="H863" s="8">
        <f>IF($B863="","",VLOOKUP($B863,Jogos!$A$2:$K$105,11,FALSE))</f>
        <v/>
      </c>
      <c r="I863" s="5">
        <f>IF(OR($A863="", $B863="", $E863="", $F863="", $G863="", $H863=""), "",IF(AND($E863=$G863, $F863=$H863), 3, IF(SIGN($E863-$F863)=SIGN($G863-$H863), 1, 0))))</f>
        <v/>
      </c>
    </row>
    <row r="864">
      <c r="A864" s="5" t="inlineStr"/>
      <c r="B864" s="5" t="inlineStr"/>
      <c r="C864" s="5">
        <f>IF($B864="","",VLOOKUP($B864,Jogos!$A$2:$K$105,8,FALSE))</f>
        <v/>
      </c>
      <c r="D864" s="5">
        <f>IF($B864="","",VLOOKUP($B864,Jogos!$A$2:$K$105,10,FALSE))</f>
        <v/>
      </c>
      <c r="E864" s="5" t="inlineStr"/>
      <c r="F864" s="5" t="inlineStr"/>
      <c r="G864" s="8">
        <f>IF($B864="","",VLOOKUP($B864,Jogos!$A$2:$K$105,9,FALSE))</f>
        <v/>
      </c>
      <c r="H864" s="8">
        <f>IF($B864="","",VLOOKUP($B864,Jogos!$A$2:$K$105,11,FALSE))</f>
        <v/>
      </c>
      <c r="I864" s="5">
        <f>IF(OR($A864="", $B864="", $E864="", $F864="", $G864="", $H864=""), "",IF(AND($E864=$G864, $F864=$H864), 3, IF(SIGN($E864-$F864)=SIGN($G864-$H864), 1, 0))))</f>
        <v/>
      </c>
    </row>
    <row r="865">
      <c r="A865" s="5" t="inlineStr"/>
      <c r="B865" s="5" t="inlineStr"/>
      <c r="C865" s="5">
        <f>IF($B865="","",VLOOKUP($B865,Jogos!$A$2:$K$105,8,FALSE))</f>
        <v/>
      </c>
      <c r="D865" s="5">
        <f>IF($B865="","",VLOOKUP($B865,Jogos!$A$2:$K$105,10,FALSE))</f>
        <v/>
      </c>
      <c r="E865" s="5" t="inlineStr"/>
      <c r="F865" s="5" t="inlineStr"/>
      <c r="G865" s="8">
        <f>IF($B865="","",VLOOKUP($B865,Jogos!$A$2:$K$105,9,FALSE))</f>
        <v/>
      </c>
      <c r="H865" s="8">
        <f>IF($B865="","",VLOOKUP($B865,Jogos!$A$2:$K$105,11,FALSE))</f>
        <v/>
      </c>
      <c r="I865" s="5">
        <f>IF(OR($A865="", $B865="", $E865="", $F865="", $G865="", $H865=""), "",IF(AND($E865=$G865, $F865=$H865), 3, IF(SIGN($E865-$F865)=SIGN($G865-$H865), 1, 0))))</f>
        <v/>
      </c>
    </row>
    <row r="866">
      <c r="A866" s="5" t="inlineStr"/>
      <c r="B866" s="5" t="inlineStr"/>
      <c r="C866" s="5">
        <f>IF($B866="","",VLOOKUP($B866,Jogos!$A$2:$K$105,8,FALSE))</f>
        <v/>
      </c>
      <c r="D866" s="5">
        <f>IF($B866="","",VLOOKUP($B866,Jogos!$A$2:$K$105,10,FALSE))</f>
        <v/>
      </c>
      <c r="E866" s="5" t="inlineStr"/>
      <c r="F866" s="5" t="inlineStr"/>
      <c r="G866" s="8">
        <f>IF($B866="","",VLOOKUP($B866,Jogos!$A$2:$K$105,9,FALSE))</f>
        <v/>
      </c>
      <c r="H866" s="8">
        <f>IF($B866="","",VLOOKUP($B866,Jogos!$A$2:$K$105,11,FALSE))</f>
        <v/>
      </c>
      <c r="I866" s="5">
        <f>IF(OR($A866="", $B866="", $E866="", $F866="", $G866="", $H866=""), "",IF(AND($E866=$G866, $F866=$H866), 3, IF(SIGN($E866-$F866)=SIGN($G866-$H866), 1, 0))))</f>
        <v/>
      </c>
    </row>
    <row r="867">
      <c r="A867" s="5" t="inlineStr"/>
      <c r="B867" s="5" t="inlineStr"/>
      <c r="C867" s="5">
        <f>IF($B867="","",VLOOKUP($B867,Jogos!$A$2:$K$105,8,FALSE))</f>
        <v/>
      </c>
      <c r="D867" s="5">
        <f>IF($B867="","",VLOOKUP($B867,Jogos!$A$2:$K$105,10,FALSE))</f>
        <v/>
      </c>
      <c r="E867" s="5" t="inlineStr"/>
      <c r="F867" s="5" t="inlineStr"/>
      <c r="G867" s="8">
        <f>IF($B867="","",VLOOKUP($B867,Jogos!$A$2:$K$105,9,FALSE))</f>
        <v/>
      </c>
      <c r="H867" s="8">
        <f>IF($B867="","",VLOOKUP($B867,Jogos!$A$2:$K$105,11,FALSE))</f>
        <v/>
      </c>
      <c r="I867" s="5">
        <f>IF(OR($A867="", $B867="", $E867="", $F867="", $G867="", $H867=""), "",IF(AND($E867=$G867, $F867=$H867), 3, IF(SIGN($E867-$F867)=SIGN($G867-$H867), 1, 0))))</f>
        <v/>
      </c>
    </row>
    <row r="868">
      <c r="A868" s="5" t="inlineStr"/>
      <c r="B868" s="5" t="inlineStr"/>
      <c r="C868" s="5">
        <f>IF($B868="","",VLOOKUP($B868,Jogos!$A$2:$K$105,8,FALSE))</f>
        <v/>
      </c>
      <c r="D868" s="5">
        <f>IF($B868="","",VLOOKUP($B868,Jogos!$A$2:$K$105,10,FALSE))</f>
        <v/>
      </c>
      <c r="E868" s="5" t="inlineStr"/>
      <c r="F868" s="5" t="inlineStr"/>
      <c r="G868" s="8">
        <f>IF($B868="","",VLOOKUP($B868,Jogos!$A$2:$K$105,9,FALSE))</f>
        <v/>
      </c>
      <c r="H868" s="8">
        <f>IF($B868="","",VLOOKUP($B868,Jogos!$A$2:$K$105,11,FALSE))</f>
        <v/>
      </c>
      <c r="I868" s="5">
        <f>IF(OR($A868="", $B868="", $E868="", $F868="", $G868="", $H868=""), "",IF(AND($E868=$G868, $F868=$H868), 3, IF(SIGN($E868-$F868)=SIGN($G868-$H868), 1, 0))))</f>
        <v/>
      </c>
    </row>
    <row r="869">
      <c r="A869" s="5" t="inlineStr"/>
      <c r="B869" s="5" t="inlineStr"/>
      <c r="C869" s="5">
        <f>IF($B869="","",VLOOKUP($B869,Jogos!$A$2:$K$105,8,FALSE))</f>
        <v/>
      </c>
      <c r="D869" s="5">
        <f>IF($B869="","",VLOOKUP($B869,Jogos!$A$2:$K$105,10,FALSE))</f>
        <v/>
      </c>
      <c r="E869" s="5" t="inlineStr"/>
      <c r="F869" s="5" t="inlineStr"/>
      <c r="G869" s="8">
        <f>IF($B869="","",VLOOKUP($B869,Jogos!$A$2:$K$105,9,FALSE))</f>
        <v/>
      </c>
      <c r="H869" s="8">
        <f>IF($B869="","",VLOOKUP($B869,Jogos!$A$2:$K$105,11,FALSE))</f>
        <v/>
      </c>
      <c r="I869" s="5">
        <f>IF(OR($A869="", $B869="", $E869="", $F869="", $G869="", $H869=""), "",IF(AND($E869=$G869, $F869=$H869), 3, IF(SIGN($E869-$F869)=SIGN($G869-$H869), 1, 0))))</f>
        <v/>
      </c>
    </row>
    <row r="870">
      <c r="A870" s="5" t="inlineStr"/>
      <c r="B870" s="5" t="inlineStr"/>
      <c r="C870" s="5">
        <f>IF($B870="","",VLOOKUP($B870,Jogos!$A$2:$K$105,8,FALSE))</f>
        <v/>
      </c>
      <c r="D870" s="5">
        <f>IF($B870="","",VLOOKUP($B870,Jogos!$A$2:$K$105,10,FALSE))</f>
        <v/>
      </c>
      <c r="E870" s="5" t="inlineStr"/>
      <c r="F870" s="5" t="inlineStr"/>
      <c r="G870" s="8">
        <f>IF($B870="","",VLOOKUP($B870,Jogos!$A$2:$K$105,9,FALSE))</f>
        <v/>
      </c>
      <c r="H870" s="8">
        <f>IF($B870="","",VLOOKUP($B870,Jogos!$A$2:$K$105,11,FALSE))</f>
        <v/>
      </c>
      <c r="I870" s="5">
        <f>IF(OR($A870="", $B870="", $E870="", $F870="", $G870="", $H870=""), "",IF(AND($E870=$G870, $F870=$H870), 3, IF(SIGN($E870-$F870)=SIGN($G870-$H870), 1, 0))))</f>
        <v/>
      </c>
    </row>
    <row r="871">
      <c r="A871" s="5" t="inlineStr"/>
      <c r="B871" s="5" t="inlineStr"/>
      <c r="C871" s="5">
        <f>IF($B871="","",VLOOKUP($B871,Jogos!$A$2:$K$105,8,FALSE))</f>
        <v/>
      </c>
      <c r="D871" s="5">
        <f>IF($B871="","",VLOOKUP($B871,Jogos!$A$2:$K$105,10,FALSE))</f>
        <v/>
      </c>
      <c r="E871" s="5" t="inlineStr"/>
      <c r="F871" s="5" t="inlineStr"/>
      <c r="G871" s="8">
        <f>IF($B871="","",VLOOKUP($B871,Jogos!$A$2:$K$105,9,FALSE))</f>
        <v/>
      </c>
      <c r="H871" s="8">
        <f>IF($B871="","",VLOOKUP($B871,Jogos!$A$2:$K$105,11,FALSE))</f>
        <v/>
      </c>
      <c r="I871" s="5">
        <f>IF(OR($A871="", $B871="", $E871="", $F871="", $G871="", $H871=""), "",IF(AND($E871=$G871, $F871=$H871), 3, IF(SIGN($E871-$F871)=SIGN($G871-$H871), 1, 0))))</f>
        <v/>
      </c>
    </row>
    <row r="872">
      <c r="A872" s="5" t="inlineStr"/>
      <c r="B872" s="5" t="inlineStr"/>
      <c r="C872" s="5">
        <f>IF($B872="","",VLOOKUP($B872,Jogos!$A$2:$K$105,8,FALSE))</f>
        <v/>
      </c>
      <c r="D872" s="5">
        <f>IF($B872="","",VLOOKUP($B872,Jogos!$A$2:$K$105,10,FALSE))</f>
        <v/>
      </c>
      <c r="E872" s="5" t="inlineStr"/>
      <c r="F872" s="5" t="inlineStr"/>
      <c r="G872" s="8">
        <f>IF($B872="","",VLOOKUP($B872,Jogos!$A$2:$K$105,9,FALSE))</f>
        <v/>
      </c>
      <c r="H872" s="8">
        <f>IF($B872="","",VLOOKUP($B872,Jogos!$A$2:$K$105,11,FALSE))</f>
        <v/>
      </c>
      <c r="I872" s="5">
        <f>IF(OR($A872="", $B872="", $E872="", $F872="", $G872="", $H872=""), "",IF(AND($E872=$G872, $F872=$H872), 3, IF(SIGN($E872-$F872)=SIGN($G872-$H872), 1, 0))))</f>
        <v/>
      </c>
    </row>
    <row r="873">
      <c r="A873" s="5" t="inlineStr"/>
      <c r="B873" s="5" t="inlineStr"/>
      <c r="C873" s="5">
        <f>IF($B873="","",VLOOKUP($B873,Jogos!$A$2:$K$105,8,FALSE))</f>
        <v/>
      </c>
      <c r="D873" s="5">
        <f>IF($B873="","",VLOOKUP($B873,Jogos!$A$2:$K$105,10,FALSE))</f>
        <v/>
      </c>
      <c r="E873" s="5" t="inlineStr"/>
      <c r="F873" s="5" t="inlineStr"/>
      <c r="G873" s="8">
        <f>IF($B873="","",VLOOKUP($B873,Jogos!$A$2:$K$105,9,FALSE))</f>
        <v/>
      </c>
      <c r="H873" s="8">
        <f>IF($B873="","",VLOOKUP($B873,Jogos!$A$2:$K$105,11,FALSE))</f>
        <v/>
      </c>
      <c r="I873" s="5">
        <f>IF(OR($A873="", $B873="", $E873="", $F873="", $G873="", $H873=""), "",IF(AND($E873=$G873, $F873=$H873), 3, IF(SIGN($E873-$F873)=SIGN($G873-$H873), 1, 0))))</f>
        <v/>
      </c>
    </row>
    <row r="874">
      <c r="A874" s="5" t="inlineStr"/>
      <c r="B874" s="5" t="inlineStr"/>
      <c r="C874" s="5">
        <f>IF($B874="","",VLOOKUP($B874,Jogos!$A$2:$K$105,8,FALSE))</f>
        <v/>
      </c>
      <c r="D874" s="5">
        <f>IF($B874="","",VLOOKUP($B874,Jogos!$A$2:$K$105,10,FALSE))</f>
        <v/>
      </c>
      <c r="E874" s="5" t="inlineStr"/>
      <c r="F874" s="5" t="inlineStr"/>
      <c r="G874" s="8">
        <f>IF($B874="","",VLOOKUP($B874,Jogos!$A$2:$K$105,9,FALSE))</f>
        <v/>
      </c>
      <c r="H874" s="8">
        <f>IF($B874="","",VLOOKUP($B874,Jogos!$A$2:$K$105,11,FALSE))</f>
        <v/>
      </c>
      <c r="I874" s="5">
        <f>IF(OR($A874="", $B874="", $E874="", $F874="", $G874="", $H874=""), "",IF(AND($E874=$G874, $F874=$H874), 3, IF(SIGN($E874-$F874)=SIGN($G874-$H874), 1, 0))))</f>
        <v/>
      </c>
    </row>
    <row r="875">
      <c r="A875" s="5" t="inlineStr"/>
      <c r="B875" s="5" t="inlineStr"/>
      <c r="C875" s="5">
        <f>IF($B875="","",VLOOKUP($B875,Jogos!$A$2:$K$105,8,FALSE))</f>
        <v/>
      </c>
      <c r="D875" s="5">
        <f>IF($B875="","",VLOOKUP($B875,Jogos!$A$2:$K$105,10,FALSE))</f>
        <v/>
      </c>
      <c r="E875" s="5" t="inlineStr"/>
      <c r="F875" s="5" t="inlineStr"/>
      <c r="G875" s="8">
        <f>IF($B875="","",VLOOKUP($B875,Jogos!$A$2:$K$105,9,FALSE))</f>
        <v/>
      </c>
      <c r="H875" s="8">
        <f>IF($B875="","",VLOOKUP($B875,Jogos!$A$2:$K$105,11,FALSE))</f>
        <v/>
      </c>
      <c r="I875" s="5">
        <f>IF(OR($A875="", $B875="", $E875="", $F875="", $G875="", $H875=""), "",IF(AND($E875=$G875, $F875=$H875), 3, IF(SIGN($E875-$F875)=SIGN($G875-$H875), 1, 0))))</f>
        <v/>
      </c>
    </row>
    <row r="876">
      <c r="A876" s="5" t="inlineStr"/>
      <c r="B876" s="5" t="inlineStr"/>
      <c r="C876" s="5">
        <f>IF($B876="","",VLOOKUP($B876,Jogos!$A$2:$K$105,8,FALSE))</f>
        <v/>
      </c>
      <c r="D876" s="5">
        <f>IF($B876="","",VLOOKUP($B876,Jogos!$A$2:$K$105,10,FALSE))</f>
        <v/>
      </c>
      <c r="E876" s="5" t="inlineStr"/>
      <c r="F876" s="5" t="inlineStr"/>
      <c r="G876" s="8">
        <f>IF($B876="","",VLOOKUP($B876,Jogos!$A$2:$K$105,9,FALSE))</f>
        <v/>
      </c>
      <c r="H876" s="8">
        <f>IF($B876="","",VLOOKUP($B876,Jogos!$A$2:$K$105,11,FALSE))</f>
        <v/>
      </c>
      <c r="I876" s="5">
        <f>IF(OR($A876="", $B876="", $E876="", $F876="", $G876="", $H876=""), "",IF(AND($E876=$G876, $F876=$H876), 3, IF(SIGN($E876-$F876)=SIGN($G876-$H876), 1, 0))))</f>
        <v/>
      </c>
    </row>
    <row r="877">
      <c r="A877" s="5" t="inlineStr"/>
      <c r="B877" s="5" t="inlineStr"/>
      <c r="C877" s="5">
        <f>IF($B877="","",VLOOKUP($B877,Jogos!$A$2:$K$105,8,FALSE))</f>
        <v/>
      </c>
      <c r="D877" s="5">
        <f>IF($B877="","",VLOOKUP($B877,Jogos!$A$2:$K$105,10,FALSE))</f>
        <v/>
      </c>
      <c r="E877" s="5" t="inlineStr"/>
      <c r="F877" s="5" t="inlineStr"/>
      <c r="G877" s="8">
        <f>IF($B877="","",VLOOKUP($B877,Jogos!$A$2:$K$105,9,FALSE))</f>
        <v/>
      </c>
      <c r="H877" s="8">
        <f>IF($B877="","",VLOOKUP($B877,Jogos!$A$2:$K$105,11,FALSE))</f>
        <v/>
      </c>
      <c r="I877" s="5">
        <f>IF(OR($A877="", $B877="", $E877="", $F877="", $G877="", $H877=""), "",IF(AND($E877=$G877, $F877=$H877), 3, IF(SIGN($E877-$F877)=SIGN($G877-$H877), 1, 0))))</f>
        <v/>
      </c>
    </row>
    <row r="878">
      <c r="A878" s="5" t="inlineStr"/>
      <c r="B878" s="5" t="inlineStr"/>
      <c r="C878" s="5">
        <f>IF($B878="","",VLOOKUP($B878,Jogos!$A$2:$K$105,8,FALSE))</f>
        <v/>
      </c>
      <c r="D878" s="5">
        <f>IF($B878="","",VLOOKUP($B878,Jogos!$A$2:$K$105,10,FALSE))</f>
        <v/>
      </c>
      <c r="E878" s="5" t="inlineStr"/>
      <c r="F878" s="5" t="inlineStr"/>
      <c r="G878" s="8">
        <f>IF($B878="","",VLOOKUP($B878,Jogos!$A$2:$K$105,9,FALSE))</f>
        <v/>
      </c>
      <c r="H878" s="8">
        <f>IF($B878="","",VLOOKUP($B878,Jogos!$A$2:$K$105,11,FALSE))</f>
        <v/>
      </c>
      <c r="I878" s="5">
        <f>IF(OR($A878="", $B878="", $E878="", $F878="", $G878="", $H878=""), "",IF(AND($E878=$G878, $F878=$H878), 3, IF(SIGN($E878-$F878)=SIGN($G878-$H878), 1, 0))))</f>
        <v/>
      </c>
    </row>
    <row r="879">
      <c r="A879" s="5" t="inlineStr"/>
      <c r="B879" s="5" t="inlineStr"/>
      <c r="C879" s="5">
        <f>IF($B879="","",VLOOKUP($B879,Jogos!$A$2:$K$105,8,FALSE))</f>
        <v/>
      </c>
      <c r="D879" s="5">
        <f>IF($B879="","",VLOOKUP($B879,Jogos!$A$2:$K$105,10,FALSE))</f>
        <v/>
      </c>
      <c r="E879" s="5" t="inlineStr"/>
      <c r="F879" s="5" t="inlineStr"/>
      <c r="G879" s="8">
        <f>IF($B879="","",VLOOKUP($B879,Jogos!$A$2:$K$105,9,FALSE))</f>
        <v/>
      </c>
      <c r="H879" s="8">
        <f>IF($B879="","",VLOOKUP($B879,Jogos!$A$2:$K$105,11,FALSE))</f>
        <v/>
      </c>
      <c r="I879" s="5">
        <f>IF(OR($A879="", $B879="", $E879="", $F879="", $G879="", $H879=""), "",IF(AND($E879=$G879, $F879=$H879), 3, IF(SIGN($E879-$F879)=SIGN($G879-$H879), 1, 0))))</f>
        <v/>
      </c>
    </row>
    <row r="880">
      <c r="A880" s="5" t="inlineStr"/>
      <c r="B880" s="5" t="inlineStr"/>
      <c r="C880" s="5">
        <f>IF($B880="","",VLOOKUP($B880,Jogos!$A$2:$K$105,8,FALSE))</f>
        <v/>
      </c>
      <c r="D880" s="5">
        <f>IF($B880="","",VLOOKUP($B880,Jogos!$A$2:$K$105,10,FALSE))</f>
        <v/>
      </c>
      <c r="E880" s="5" t="inlineStr"/>
      <c r="F880" s="5" t="inlineStr"/>
      <c r="G880" s="8">
        <f>IF($B880="","",VLOOKUP($B880,Jogos!$A$2:$K$105,9,FALSE))</f>
        <v/>
      </c>
      <c r="H880" s="8">
        <f>IF($B880="","",VLOOKUP($B880,Jogos!$A$2:$K$105,11,FALSE))</f>
        <v/>
      </c>
      <c r="I880" s="5">
        <f>IF(OR($A880="", $B880="", $E880="", $F880="", $G880="", $H880=""), "",IF(AND($E880=$G880, $F880=$H880), 3, IF(SIGN($E880-$F880)=SIGN($G880-$H880), 1, 0))))</f>
        <v/>
      </c>
    </row>
    <row r="881">
      <c r="A881" s="5" t="inlineStr"/>
      <c r="B881" s="5" t="inlineStr"/>
      <c r="C881" s="5">
        <f>IF($B881="","",VLOOKUP($B881,Jogos!$A$2:$K$105,8,FALSE))</f>
        <v/>
      </c>
      <c r="D881" s="5">
        <f>IF($B881="","",VLOOKUP($B881,Jogos!$A$2:$K$105,10,FALSE))</f>
        <v/>
      </c>
      <c r="E881" s="5" t="inlineStr"/>
      <c r="F881" s="5" t="inlineStr"/>
      <c r="G881" s="8">
        <f>IF($B881="","",VLOOKUP($B881,Jogos!$A$2:$K$105,9,FALSE))</f>
        <v/>
      </c>
      <c r="H881" s="8">
        <f>IF($B881="","",VLOOKUP($B881,Jogos!$A$2:$K$105,11,FALSE))</f>
        <v/>
      </c>
      <c r="I881" s="5">
        <f>IF(OR($A881="", $B881="", $E881="", $F881="", $G881="", $H881=""), "",IF(AND($E881=$G881, $F881=$H881), 3, IF(SIGN($E881-$F881)=SIGN($G881-$H881), 1, 0))))</f>
        <v/>
      </c>
    </row>
    <row r="882">
      <c r="A882" s="5" t="inlineStr"/>
      <c r="B882" s="5" t="inlineStr"/>
      <c r="C882" s="5">
        <f>IF($B882="","",VLOOKUP($B882,Jogos!$A$2:$K$105,8,FALSE))</f>
        <v/>
      </c>
      <c r="D882" s="5">
        <f>IF($B882="","",VLOOKUP($B882,Jogos!$A$2:$K$105,10,FALSE))</f>
        <v/>
      </c>
      <c r="E882" s="5" t="inlineStr"/>
      <c r="F882" s="5" t="inlineStr"/>
      <c r="G882" s="8">
        <f>IF($B882="","",VLOOKUP($B882,Jogos!$A$2:$K$105,9,FALSE))</f>
        <v/>
      </c>
      <c r="H882" s="8">
        <f>IF($B882="","",VLOOKUP($B882,Jogos!$A$2:$K$105,11,FALSE))</f>
        <v/>
      </c>
      <c r="I882" s="5">
        <f>IF(OR($A882="", $B882="", $E882="", $F882="", $G882="", $H882=""), "",IF(AND($E882=$G882, $F882=$H882), 3, IF(SIGN($E882-$F882)=SIGN($G882-$H882), 1, 0))))</f>
        <v/>
      </c>
    </row>
    <row r="883">
      <c r="A883" s="5" t="inlineStr"/>
      <c r="B883" s="5" t="inlineStr"/>
      <c r="C883" s="5">
        <f>IF($B883="","",VLOOKUP($B883,Jogos!$A$2:$K$105,8,FALSE))</f>
        <v/>
      </c>
      <c r="D883" s="5">
        <f>IF($B883="","",VLOOKUP($B883,Jogos!$A$2:$K$105,10,FALSE))</f>
        <v/>
      </c>
      <c r="E883" s="5" t="inlineStr"/>
      <c r="F883" s="5" t="inlineStr"/>
      <c r="G883" s="8">
        <f>IF($B883="","",VLOOKUP($B883,Jogos!$A$2:$K$105,9,FALSE))</f>
        <v/>
      </c>
      <c r="H883" s="8">
        <f>IF($B883="","",VLOOKUP($B883,Jogos!$A$2:$K$105,11,FALSE))</f>
        <v/>
      </c>
      <c r="I883" s="5">
        <f>IF(OR($A883="", $B883="", $E883="", $F883="", $G883="", $H883=""), "",IF(AND($E883=$G883, $F883=$H883), 3, IF(SIGN($E883-$F883)=SIGN($G883-$H883), 1, 0))))</f>
        <v/>
      </c>
    </row>
    <row r="884">
      <c r="A884" s="5" t="inlineStr"/>
      <c r="B884" s="5" t="inlineStr"/>
      <c r="C884" s="5">
        <f>IF($B884="","",VLOOKUP($B884,Jogos!$A$2:$K$105,8,FALSE))</f>
        <v/>
      </c>
      <c r="D884" s="5">
        <f>IF($B884="","",VLOOKUP($B884,Jogos!$A$2:$K$105,10,FALSE))</f>
        <v/>
      </c>
      <c r="E884" s="5" t="inlineStr"/>
      <c r="F884" s="5" t="inlineStr"/>
      <c r="G884" s="8">
        <f>IF($B884="","",VLOOKUP($B884,Jogos!$A$2:$K$105,9,FALSE))</f>
        <v/>
      </c>
      <c r="H884" s="8">
        <f>IF($B884="","",VLOOKUP($B884,Jogos!$A$2:$K$105,11,FALSE))</f>
        <v/>
      </c>
      <c r="I884" s="5">
        <f>IF(OR($A884="", $B884="", $E884="", $F884="", $G884="", $H884=""), "",IF(AND($E884=$G884, $F884=$H884), 3, IF(SIGN($E884-$F884)=SIGN($G884-$H884), 1, 0))))</f>
        <v/>
      </c>
    </row>
    <row r="885">
      <c r="A885" s="5" t="inlineStr"/>
      <c r="B885" s="5" t="inlineStr"/>
      <c r="C885" s="5">
        <f>IF($B885="","",VLOOKUP($B885,Jogos!$A$2:$K$105,8,FALSE))</f>
        <v/>
      </c>
      <c r="D885" s="5">
        <f>IF($B885="","",VLOOKUP($B885,Jogos!$A$2:$K$105,10,FALSE))</f>
        <v/>
      </c>
      <c r="E885" s="5" t="inlineStr"/>
      <c r="F885" s="5" t="inlineStr"/>
      <c r="G885" s="8">
        <f>IF($B885="","",VLOOKUP($B885,Jogos!$A$2:$K$105,9,FALSE))</f>
        <v/>
      </c>
      <c r="H885" s="8">
        <f>IF($B885="","",VLOOKUP($B885,Jogos!$A$2:$K$105,11,FALSE))</f>
        <v/>
      </c>
      <c r="I885" s="5">
        <f>IF(OR($A885="", $B885="", $E885="", $F885="", $G885="", $H885=""), "",IF(AND($E885=$G885, $F885=$H885), 3, IF(SIGN($E885-$F885)=SIGN($G885-$H885), 1, 0))))</f>
        <v/>
      </c>
    </row>
    <row r="886">
      <c r="A886" s="5" t="inlineStr"/>
      <c r="B886" s="5" t="inlineStr"/>
      <c r="C886" s="5">
        <f>IF($B886="","",VLOOKUP($B886,Jogos!$A$2:$K$105,8,FALSE))</f>
        <v/>
      </c>
      <c r="D886" s="5">
        <f>IF($B886="","",VLOOKUP($B886,Jogos!$A$2:$K$105,10,FALSE))</f>
        <v/>
      </c>
      <c r="E886" s="5" t="inlineStr"/>
      <c r="F886" s="5" t="inlineStr"/>
      <c r="G886" s="8">
        <f>IF($B886="","",VLOOKUP($B886,Jogos!$A$2:$K$105,9,FALSE))</f>
        <v/>
      </c>
      <c r="H886" s="8">
        <f>IF($B886="","",VLOOKUP($B886,Jogos!$A$2:$K$105,11,FALSE))</f>
        <v/>
      </c>
      <c r="I886" s="5">
        <f>IF(OR($A886="", $B886="", $E886="", $F886="", $G886="", $H886=""), "",IF(AND($E886=$G886, $F886=$H886), 3, IF(SIGN($E886-$F886)=SIGN($G886-$H886), 1, 0))))</f>
        <v/>
      </c>
    </row>
    <row r="887">
      <c r="A887" s="5" t="inlineStr"/>
      <c r="B887" s="5" t="inlineStr"/>
      <c r="C887" s="5">
        <f>IF($B887="","",VLOOKUP($B887,Jogos!$A$2:$K$105,8,FALSE))</f>
        <v/>
      </c>
      <c r="D887" s="5">
        <f>IF($B887="","",VLOOKUP($B887,Jogos!$A$2:$K$105,10,FALSE))</f>
        <v/>
      </c>
      <c r="E887" s="5" t="inlineStr"/>
      <c r="F887" s="5" t="inlineStr"/>
      <c r="G887" s="8">
        <f>IF($B887="","",VLOOKUP($B887,Jogos!$A$2:$K$105,9,FALSE))</f>
        <v/>
      </c>
      <c r="H887" s="8">
        <f>IF($B887="","",VLOOKUP($B887,Jogos!$A$2:$K$105,11,FALSE))</f>
        <v/>
      </c>
      <c r="I887" s="5">
        <f>IF(OR($A887="", $B887="", $E887="", $F887="", $G887="", $H887=""), "",IF(AND($E887=$G887, $F887=$H887), 3, IF(SIGN($E887-$F887)=SIGN($G887-$H887), 1, 0))))</f>
        <v/>
      </c>
    </row>
    <row r="888">
      <c r="A888" s="5" t="inlineStr"/>
      <c r="B888" s="5" t="inlineStr"/>
      <c r="C888" s="5">
        <f>IF($B888="","",VLOOKUP($B888,Jogos!$A$2:$K$105,8,FALSE))</f>
        <v/>
      </c>
      <c r="D888" s="5">
        <f>IF($B888="","",VLOOKUP($B888,Jogos!$A$2:$K$105,10,FALSE))</f>
        <v/>
      </c>
      <c r="E888" s="5" t="inlineStr"/>
      <c r="F888" s="5" t="inlineStr"/>
      <c r="G888" s="8">
        <f>IF($B888="","",VLOOKUP($B888,Jogos!$A$2:$K$105,9,FALSE))</f>
        <v/>
      </c>
      <c r="H888" s="8">
        <f>IF($B888="","",VLOOKUP($B888,Jogos!$A$2:$K$105,11,FALSE))</f>
        <v/>
      </c>
      <c r="I888" s="5">
        <f>IF(OR($A888="", $B888="", $E888="", $F888="", $G888="", $H888=""), "",IF(AND($E888=$G888, $F888=$H888), 3, IF(SIGN($E888-$F888)=SIGN($G888-$H888), 1, 0))))</f>
        <v/>
      </c>
    </row>
    <row r="889">
      <c r="A889" s="5" t="inlineStr"/>
      <c r="B889" s="5" t="inlineStr"/>
      <c r="C889" s="5">
        <f>IF($B889="","",VLOOKUP($B889,Jogos!$A$2:$K$105,8,FALSE))</f>
        <v/>
      </c>
      <c r="D889" s="5">
        <f>IF($B889="","",VLOOKUP($B889,Jogos!$A$2:$K$105,10,FALSE))</f>
        <v/>
      </c>
      <c r="E889" s="5" t="inlineStr"/>
      <c r="F889" s="5" t="inlineStr"/>
      <c r="G889" s="8">
        <f>IF($B889="","",VLOOKUP($B889,Jogos!$A$2:$K$105,9,FALSE))</f>
        <v/>
      </c>
      <c r="H889" s="8">
        <f>IF($B889="","",VLOOKUP($B889,Jogos!$A$2:$K$105,11,FALSE))</f>
        <v/>
      </c>
      <c r="I889" s="5">
        <f>IF(OR($A889="", $B889="", $E889="", $F889="", $G889="", $H889=""), "",IF(AND($E889=$G889, $F889=$H889), 3, IF(SIGN($E889-$F889)=SIGN($G889-$H889), 1, 0))))</f>
        <v/>
      </c>
    </row>
    <row r="890">
      <c r="A890" s="5" t="inlineStr"/>
      <c r="B890" s="5" t="inlineStr"/>
      <c r="C890" s="5">
        <f>IF($B890="","",VLOOKUP($B890,Jogos!$A$2:$K$105,8,FALSE))</f>
        <v/>
      </c>
      <c r="D890" s="5">
        <f>IF($B890="","",VLOOKUP($B890,Jogos!$A$2:$K$105,10,FALSE))</f>
        <v/>
      </c>
      <c r="E890" s="5" t="inlineStr"/>
      <c r="F890" s="5" t="inlineStr"/>
      <c r="G890" s="8">
        <f>IF($B890="","",VLOOKUP($B890,Jogos!$A$2:$K$105,9,FALSE))</f>
        <v/>
      </c>
      <c r="H890" s="8">
        <f>IF($B890="","",VLOOKUP($B890,Jogos!$A$2:$K$105,11,FALSE))</f>
        <v/>
      </c>
      <c r="I890" s="5">
        <f>IF(OR($A890="", $B890="", $E890="", $F890="", $G890="", $H890=""), "",IF(AND($E890=$G890, $F890=$H890), 3, IF(SIGN($E890-$F890)=SIGN($G890-$H890), 1, 0))))</f>
        <v/>
      </c>
    </row>
    <row r="891">
      <c r="A891" s="5" t="inlineStr"/>
      <c r="B891" s="5" t="inlineStr"/>
      <c r="C891" s="5">
        <f>IF($B891="","",VLOOKUP($B891,Jogos!$A$2:$K$105,8,FALSE))</f>
        <v/>
      </c>
      <c r="D891" s="5">
        <f>IF($B891="","",VLOOKUP($B891,Jogos!$A$2:$K$105,10,FALSE))</f>
        <v/>
      </c>
      <c r="E891" s="5" t="inlineStr"/>
      <c r="F891" s="5" t="inlineStr"/>
      <c r="G891" s="8">
        <f>IF($B891="","",VLOOKUP($B891,Jogos!$A$2:$K$105,9,FALSE))</f>
        <v/>
      </c>
      <c r="H891" s="8">
        <f>IF($B891="","",VLOOKUP($B891,Jogos!$A$2:$K$105,11,FALSE))</f>
        <v/>
      </c>
      <c r="I891" s="5">
        <f>IF(OR($A891="", $B891="", $E891="", $F891="", $G891="", $H891=""), "",IF(AND($E891=$G891, $F891=$H891), 3, IF(SIGN($E891-$F891)=SIGN($G891-$H891), 1, 0))))</f>
        <v/>
      </c>
    </row>
    <row r="892">
      <c r="A892" s="5" t="inlineStr"/>
      <c r="B892" s="5" t="inlineStr"/>
      <c r="C892" s="5">
        <f>IF($B892="","",VLOOKUP($B892,Jogos!$A$2:$K$105,8,FALSE))</f>
        <v/>
      </c>
      <c r="D892" s="5">
        <f>IF($B892="","",VLOOKUP($B892,Jogos!$A$2:$K$105,10,FALSE))</f>
        <v/>
      </c>
      <c r="E892" s="5" t="inlineStr"/>
      <c r="F892" s="5" t="inlineStr"/>
      <c r="G892" s="8">
        <f>IF($B892="","",VLOOKUP($B892,Jogos!$A$2:$K$105,9,FALSE))</f>
        <v/>
      </c>
      <c r="H892" s="8">
        <f>IF($B892="","",VLOOKUP($B892,Jogos!$A$2:$K$105,11,FALSE))</f>
        <v/>
      </c>
      <c r="I892" s="5">
        <f>IF(OR($A892="", $B892="", $E892="", $F892="", $G892="", $H892=""), "",IF(AND($E892=$G892, $F892=$H892), 3, IF(SIGN($E892-$F892)=SIGN($G892-$H892), 1, 0))))</f>
        <v/>
      </c>
    </row>
    <row r="893">
      <c r="A893" s="5" t="inlineStr"/>
      <c r="B893" s="5" t="inlineStr"/>
      <c r="C893" s="5">
        <f>IF($B893="","",VLOOKUP($B893,Jogos!$A$2:$K$105,8,FALSE))</f>
        <v/>
      </c>
      <c r="D893" s="5">
        <f>IF($B893="","",VLOOKUP($B893,Jogos!$A$2:$K$105,10,FALSE))</f>
        <v/>
      </c>
      <c r="E893" s="5" t="inlineStr"/>
      <c r="F893" s="5" t="inlineStr"/>
      <c r="G893" s="8">
        <f>IF($B893="","",VLOOKUP($B893,Jogos!$A$2:$K$105,9,FALSE))</f>
        <v/>
      </c>
      <c r="H893" s="8">
        <f>IF($B893="","",VLOOKUP($B893,Jogos!$A$2:$K$105,11,FALSE))</f>
        <v/>
      </c>
      <c r="I893" s="5">
        <f>IF(OR($A893="", $B893="", $E893="", $F893="", $G893="", $H893=""), "",IF(AND($E893=$G893, $F893=$H893), 3, IF(SIGN($E893-$F893)=SIGN($G893-$H893), 1, 0))))</f>
        <v/>
      </c>
    </row>
    <row r="894">
      <c r="A894" s="5" t="inlineStr"/>
      <c r="B894" s="5" t="inlineStr"/>
      <c r="C894" s="5">
        <f>IF($B894="","",VLOOKUP($B894,Jogos!$A$2:$K$105,8,FALSE))</f>
        <v/>
      </c>
      <c r="D894" s="5">
        <f>IF($B894="","",VLOOKUP($B894,Jogos!$A$2:$K$105,10,FALSE))</f>
        <v/>
      </c>
      <c r="E894" s="5" t="inlineStr"/>
      <c r="F894" s="5" t="inlineStr"/>
      <c r="G894" s="8">
        <f>IF($B894="","",VLOOKUP($B894,Jogos!$A$2:$K$105,9,FALSE))</f>
        <v/>
      </c>
      <c r="H894" s="8">
        <f>IF($B894="","",VLOOKUP($B894,Jogos!$A$2:$K$105,11,FALSE))</f>
        <v/>
      </c>
      <c r="I894" s="5">
        <f>IF(OR($A894="", $B894="", $E894="", $F894="", $G894="", $H894=""), "",IF(AND($E894=$G894, $F894=$H894), 3, IF(SIGN($E894-$F894)=SIGN($G894-$H894), 1, 0))))</f>
        <v/>
      </c>
    </row>
    <row r="895">
      <c r="A895" s="5" t="inlineStr"/>
      <c r="B895" s="5" t="inlineStr"/>
      <c r="C895" s="5">
        <f>IF($B895="","",VLOOKUP($B895,Jogos!$A$2:$K$105,8,FALSE))</f>
        <v/>
      </c>
      <c r="D895" s="5">
        <f>IF($B895="","",VLOOKUP($B895,Jogos!$A$2:$K$105,10,FALSE))</f>
        <v/>
      </c>
      <c r="E895" s="5" t="inlineStr"/>
      <c r="F895" s="5" t="inlineStr"/>
      <c r="G895" s="8">
        <f>IF($B895="","",VLOOKUP($B895,Jogos!$A$2:$K$105,9,FALSE))</f>
        <v/>
      </c>
      <c r="H895" s="8">
        <f>IF($B895="","",VLOOKUP($B895,Jogos!$A$2:$K$105,11,FALSE))</f>
        <v/>
      </c>
      <c r="I895" s="5">
        <f>IF(OR($A895="", $B895="", $E895="", $F895="", $G895="", $H895=""), "",IF(AND($E895=$G895, $F895=$H895), 3, IF(SIGN($E895-$F895)=SIGN($G895-$H895), 1, 0))))</f>
        <v/>
      </c>
    </row>
    <row r="896">
      <c r="A896" s="5" t="inlineStr"/>
      <c r="B896" s="5" t="inlineStr"/>
      <c r="C896" s="5">
        <f>IF($B896="","",VLOOKUP($B896,Jogos!$A$2:$K$105,8,FALSE))</f>
        <v/>
      </c>
      <c r="D896" s="5">
        <f>IF($B896="","",VLOOKUP($B896,Jogos!$A$2:$K$105,10,FALSE))</f>
        <v/>
      </c>
      <c r="E896" s="5" t="inlineStr"/>
      <c r="F896" s="5" t="inlineStr"/>
      <c r="G896" s="8">
        <f>IF($B896="","",VLOOKUP($B896,Jogos!$A$2:$K$105,9,FALSE))</f>
        <v/>
      </c>
      <c r="H896" s="8">
        <f>IF($B896="","",VLOOKUP($B896,Jogos!$A$2:$K$105,11,FALSE))</f>
        <v/>
      </c>
      <c r="I896" s="5">
        <f>IF(OR($A896="", $B896="", $E896="", $F896="", $G896="", $H896=""), "",IF(AND($E896=$G896, $F896=$H896), 3, IF(SIGN($E896-$F896)=SIGN($G896-$H896), 1, 0))))</f>
        <v/>
      </c>
    </row>
    <row r="897">
      <c r="A897" s="5" t="inlineStr"/>
      <c r="B897" s="5" t="inlineStr"/>
      <c r="C897" s="5">
        <f>IF($B897="","",VLOOKUP($B897,Jogos!$A$2:$K$105,8,FALSE))</f>
        <v/>
      </c>
      <c r="D897" s="5">
        <f>IF($B897="","",VLOOKUP($B897,Jogos!$A$2:$K$105,10,FALSE))</f>
        <v/>
      </c>
      <c r="E897" s="5" t="inlineStr"/>
      <c r="F897" s="5" t="inlineStr"/>
      <c r="G897" s="8">
        <f>IF($B897="","",VLOOKUP($B897,Jogos!$A$2:$K$105,9,FALSE))</f>
        <v/>
      </c>
      <c r="H897" s="8">
        <f>IF($B897="","",VLOOKUP($B897,Jogos!$A$2:$K$105,11,FALSE))</f>
        <v/>
      </c>
      <c r="I897" s="5">
        <f>IF(OR($A897="", $B897="", $E897="", $F897="", $G897="", $H897=""), "",IF(AND($E897=$G897, $F897=$H897), 3, IF(SIGN($E897-$F897)=SIGN($G897-$H897), 1, 0))))</f>
        <v/>
      </c>
    </row>
    <row r="898">
      <c r="A898" s="5" t="inlineStr"/>
      <c r="B898" s="5" t="inlineStr"/>
      <c r="C898" s="5">
        <f>IF($B898="","",VLOOKUP($B898,Jogos!$A$2:$K$105,8,FALSE))</f>
        <v/>
      </c>
      <c r="D898" s="5">
        <f>IF($B898="","",VLOOKUP($B898,Jogos!$A$2:$K$105,10,FALSE))</f>
        <v/>
      </c>
      <c r="E898" s="5" t="inlineStr"/>
      <c r="F898" s="5" t="inlineStr"/>
      <c r="G898" s="8">
        <f>IF($B898="","",VLOOKUP($B898,Jogos!$A$2:$K$105,9,FALSE))</f>
        <v/>
      </c>
      <c r="H898" s="8">
        <f>IF($B898="","",VLOOKUP($B898,Jogos!$A$2:$K$105,11,FALSE))</f>
        <v/>
      </c>
      <c r="I898" s="5">
        <f>IF(OR($A898="", $B898="", $E898="", $F898="", $G898="", $H898=""), "",IF(AND($E898=$G898, $F898=$H898), 3, IF(SIGN($E898-$F898)=SIGN($G898-$H898), 1, 0))))</f>
        <v/>
      </c>
    </row>
    <row r="899">
      <c r="A899" s="5" t="inlineStr"/>
      <c r="B899" s="5" t="inlineStr"/>
      <c r="C899" s="5">
        <f>IF($B899="","",VLOOKUP($B899,Jogos!$A$2:$K$105,8,FALSE))</f>
        <v/>
      </c>
      <c r="D899" s="5">
        <f>IF($B899="","",VLOOKUP($B899,Jogos!$A$2:$K$105,10,FALSE))</f>
        <v/>
      </c>
      <c r="E899" s="5" t="inlineStr"/>
      <c r="F899" s="5" t="inlineStr"/>
      <c r="G899" s="8">
        <f>IF($B899="","",VLOOKUP($B899,Jogos!$A$2:$K$105,9,FALSE))</f>
        <v/>
      </c>
      <c r="H899" s="8">
        <f>IF($B899="","",VLOOKUP($B899,Jogos!$A$2:$K$105,11,FALSE))</f>
        <v/>
      </c>
      <c r="I899" s="5">
        <f>IF(OR($A899="", $B899="", $E899="", $F899="", $G899="", $H899=""), "",IF(AND($E899=$G899, $F899=$H899), 3, IF(SIGN($E899-$F899)=SIGN($G899-$H899), 1, 0))))</f>
        <v/>
      </c>
    </row>
    <row r="900">
      <c r="A900" s="5" t="inlineStr"/>
      <c r="B900" s="5" t="inlineStr"/>
      <c r="C900" s="5">
        <f>IF($B900="","",VLOOKUP($B900,Jogos!$A$2:$K$105,8,FALSE))</f>
        <v/>
      </c>
      <c r="D900" s="5">
        <f>IF($B900="","",VLOOKUP($B900,Jogos!$A$2:$K$105,10,FALSE))</f>
        <v/>
      </c>
      <c r="E900" s="5" t="inlineStr"/>
      <c r="F900" s="5" t="inlineStr"/>
      <c r="G900" s="8">
        <f>IF($B900="","",VLOOKUP($B900,Jogos!$A$2:$K$105,9,FALSE))</f>
        <v/>
      </c>
      <c r="H900" s="8">
        <f>IF($B900="","",VLOOKUP($B900,Jogos!$A$2:$K$105,11,FALSE))</f>
        <v/>
      </c>
      <c r="I900" s="5">
        <f>IF(OR($A900="", $B900="", $E900="", $F900="", $G900="", $H900=""), "",IF(AND($E900=$G900, $F900=$H900), 3, IF(SIGN($E900-$F900)=SIGN($G900-$H900), 1, 0))))</f>
        <v/>
      </c>
    </row>
    <row r="901">
      <c r="A901" s="5" t="inlineStr"/>
      <c r="B901" s="5" t="inlineStr"/>
      <c r="C901" s="5">
        <f>IF($B901="","",VLOOKUP($B901,Jogos!$A$2:$K$105,8,FALSE))</f>
        <v/>
      </c>
      <c r="D901" s="5">
        <f>IF($B901="","",VLOOKUP($B901,Jogos!$A$2:$K$105,10,FALSE))</f>
        <v/>
      </c>
      <c r="E901" s="5" t="inlineStr"/>
      <c r="F901" s="5" t="inlineStr"/>
      <c r="G901" s="8">
        <f>IF($B901="","",VLOOKUP($B901,Jogos!$A$2:$K$105,9,FALSE))</f>
        <v/>
      </c>
      <c r="H901" s="8">
        <f>IF($B901="","",VLOOKUP($B901,Jogos!$A$2:$K$105,11,FALSE))</f>
        <v/>
      </c>
      <c r="I901" s="5">
        <f>IF(OR($A901="", $B901="", $E901="", $F901="", $G901="", $H901=""), "",IF(AND($E901=$G901, $F901=$H901), 3, IF(SIGN($E901-$F901)=SIGN($G901-$H901), 1, 0))))</f>
        <v/>
      </c>
    </row>
    <row r="902">
      <c r="A902" s="5" t="inlineStr"/>
      <c r="B902" s="5" t="inlineStr"/>
      <c r="C902" s="5">
        <f>IF($B902="","",VLOOKUP($B902,Jogos!$A$2:$K$105,8,FALSE))</f>
        <v/>
      </c>
      <c r="D902" s="5">
        <f>IF($B902="","",VLOOKUP($B902,Jogos!$A$2:$K$105,10,FALSE))</f>
        <v/>
      </c>
      <c r="E902" s="5" t="inlineStr"/>
      <c r="F902" s="5" t="inlineStr"/>
      <c r="G902" s="8">
        <f>IF($B902="","",VLOOKUP($B902,Jogos!$A$2:$K$105,9,FALSE))</f>
        <v/>
      </c>
      <c r="H902" s="8">
        <f>IF($B902="","",VLOOKUP($B902,Jogos!$A$2:$K$105,11,FALSE))</f>
        <v/>
      </c>
      <c r="I902" s="5">
        <f>IF(OR($A902="", $B902="", $E902="", $F902="", $G902="", $H902=""), "",IF(AND($E902=$G902, $F902=$H902), 3, IF(SIGN($E902-$F902)=SIGN($G902-$H902), 1, 0))))</f>
        <v/>
      </c>
    </row>
    <row r="903">
      <c r="A903" s="5" t="inlineStr"/>
      <c r="B903" s="5" t="inlineStr"/>
      <c r="C903" s="5">
        <f>IF($B903="","",VLOOKUP($B903,Jogos!$A$2:$K$105,8,FALSE))</f>
        <v/>
      </c>
      <c r="D903" s="5">
        <f>IF($B903="","",VLOOKUP($B903,Jogos!$A$2:$K$105,10,FALSE))</f>
        <v/>
      </c>
      <c r="E903" s="5" t="inlineStr"/>
      <c r="F903" s="5" t="inlineStr"/>
      <c r="G903" s="8">
        <f>IF($B903="","",VLOOKUP($B903,Jogos!$A$2:$K$105,9,FALSE))</f>
        <v/>
      </c>
      <c r="H903" s="8">
        <f>IF($B903="","",VLOOKUP($B903,Jogos!$A$2:$K$105,11,FALSE))</f>
        <v/>
      </c>
      <c r="I903" s="5">
        <f>IF(OR($A903="", $B903="", $E903="", $F903="", $G903="", $H903=""), "",IF(AND($E903=$G903, $F903=$H903), 3, IF(SIGN($E903-$F903)=SIGN($G903-$H903), 1, 0))))</f>
        <v/>
      </c>
    </row>
    <row r="904">
      <c r="A904" s="5" t="inlineStr"/>
      <c r="B904" s="5" t="inlineStr"/>
      <c r="C904" s="5">
        <f>IF($B904="","",VLOOKUP($B904,Jogos!$A$2:$K$105,8,FALSE))</f>
        <v/>
      </c>
      <c r="D904" s="5">
        <f>IF($B904="","",VLOOKUP($B904,Jogos!$A$2:$K$105,10,FALSE))</f>
        <v/>
      </c>
      <c r="E904" s="5" t="inlineStr"/>
      <c r="F904" s="5" t="inlineStr"/>
      <c r="G904" s="8">
        <f>IF($B904="","",VLOOKUP($B904,Jogos!$A$2:$K$105,9,FALSE))</f>
        <v/>
      </c>
      <c r="H904" s="8">
        <f>IF($B904="","",VLOOKUP($B904,Jogos!$A$2:$K$105,11,FALSE))</f>
        <v/>
      </c>
      <c r="I904" s="5">
        <f>IF(OR($A904="", $B904="", $E904="", $F904="", $G904="", $H904=""), "",IF(AND($E904=$G904, $F904=$H904), 3, IF(SIGN($E904-$F904)=SIGN($G904-$H904), 1, 0))))</f>
        <v/>
      </c>
    </row>
    <row r="905">
      <c r="A905" s="5" t="inlineStr"/>
      <c r="B905" s="5" t="inlineStr"/>
      <c r="C905" s="5">
        <f>IF($B905="","",VLOOKUP($B905,Jogos!$A$2:$K$105,8,FALSE))</f>
        <v/>
      </c>
      <c r="D905" s="5">
        <f>IF($B905="","",VLOOKUP($B905,Jogos!$A$2:$K$105,10,FALSE))</f>
        <v/>
      </c>
      <c r="E905" s="5" t="inlineStr"/>
      <c r="F905" s="5" t="inlineStr"/>
      <c r="G905" s="8">
        <f>IF($B905="","",VLOOKUP($B905,Jogos!$A$2:$K$105,9,FALSE))</f>
        <v/>
      </c>
      <c r="H905" s="8">
        <f>IF($B905="","",VLOOKUP($B905,Jogos!$A$2:$K$105,11,FALSE))</f>
        <v/>
      </c>
      <c r="I905" s="5">
        <f>IF(OR($A905="", $B905="", $E905="", $F905="", $G905="", $H905=""), "",IF(AND($E905=$G905, $F905=$H905), 3, IF(SIGN($E905-$F905)=SIGN($G905-$H905), 1, 0))))</f>
        <v/>
      </c>
    </row>
    <row r="906">
      <c r="A906" s="5" t="inlineStr"/>
      <c r="B906" s="5" t="inlineStr"/>
      <c r="C906" s="5">
        <f>IF($B906="","",VLOOKUP($B906,Jogos!$A$2:$K$105,8,FALSE))</f>
        <v/>
      </c>
      <c r="D906" s="5">
        <f>IF($B906="","",VLOOKUP($B906,Jogos!$A$2:$K$105,10,FALSE))</f>
        <v/>
      </c>
      <c r="E906" s="5" t="inlineStr"/>
      <c r="F906" s="5" t="inlineStr"/>
      <c r="G906" s="8">
        <f>IF($B906="","",VLOOKUP($B906,Jogos!$A$2:$K$105,9,FALSE))</f>
        <v/>
      </c>
      <c r="H906" s="8">
        <f>IF($B906="","",VLOOKUP($B906,Jogos!$A$2:$K$105,11,FALSE))</f>
        <v/>
      </c>
      <c r="I906" s="5">
        <f>IF(OR($A906="", $B906="", $E906="", $F906="", $G906="", $H906=""), "",IF(AND($E906=$G906, $F906=$H906), 3, IF(SIGN($E906-$F906)=SIGN($G906-$H906), 1, 0))))</f>
        <v/>
      </c>
    </row>
    <row r="907">
      <c r="A907" s="5" t="inlineStr"/>
      <c r="B907" s="5" t="inlineStr"/>
      <c r="C907" s="5">
        <f>IF($B907="","",VLOOKUP($B907,Jogos!$A$2:$K$105,8,FALSE))</f>
        <v/>
      </c>
      <c r="D907" s="5">
        <f>IF($B907="","",VLOOKUP($B907,Jogos!$A$2:$K$105,10,FALSE))</f>
        <v/>
      </c>
      <c r="E907" s="5" t="inlineStr"/>
      <c r="F907" s="5" t="inlineStr"/>
      <c r="G907" s="8">
        <f>IF($B907="","",VLOOKUP($B907,Jogos!$A$2:$K$105,9,FALSE))</f>
        <v/>
      </c>
      <c r="H907" s="8">
        <f>IF($B907="","",VLOOKUP($B907,Jogos!$A$2:$K$105,11,FALSE))</f>
        <v/>
      </c>
      <c r="I907" s="5">
        <f>IF(OR($A907="", $B907="", $E907="", $F907="", $G907="", $H907=""), "",IF(AND($E907=$G907, $F907=$H907), 3, IF(SIGN($E907-$F907)=SIGN($G907-$H907), 1, 0))))</f>
        <v/>
      </c>
    </row>
    <row r="908">
      <c r="A908" s="5" t="inlineStr"/>
      <c r="B908" s="5" t="inlineStr"/>
      <c r="C908" s="5">
        <f>IF($B908="","",VLOOKUP($B908,Jogos!$A$2:$K$105,8,FALSE))</f>
        <v/>
      </c>
      <c r="D908" s="5">
        <f>IF($B908="","",VLOOKUP($B908,Jogos!$A$2:$K$105,10,FALSE))</f>
        <v/>
      </c>
      <c r="E908" s="5" t="inlineStr"/>
      <c r="F908" s="5" t="inlineStr"/>
      <c r="G908" s="8">
        <f>IF($B908="","",VLOOKUP($B908,Jogos!$A$2:$K$105,9,FALSE))</f>
        <v/>
      </c>
      <c r="H908" s="8">
        <f>IF($B908="","",VLOOKUP($B908,Jogos!$A$2:$K$105,11,FALSE))</f>
        <v/>
      </c>
      <c r="I908" s="5">
        <f>IF(OR($A908="", $B908="", $E908="", $F908="", $G908="", $H908=""), "",IF(AND($E908=$G908, $F908=$H908), 3, IF(SIGN($E908-$F908)=SIGN($G908-$H908), 1, 0))))</f>
        <v/>
      </c>
    </row>
    <row r="909">
      <c r="A909" s="5" t="inlineStr"/>
      <c r="B909" s="5" t="inlineStr"/>
      <c r="C909" s="5">
        <f>IF($B909="","",VLOOKUP($B909,Jogos!$A$2:$K$105,8,FALSE))</f>
        <v/>
      </c>
      <c r="D909" s="5">
        <f>IF($B909="","",VLOOKUP($B909,Jogos!$A$2:$K$105,10,FALSE))</f>
        <v/>
      </c>
      <c r="E909" s="5" t="inlineStr"/>
      <c r="F909" s="5" t="inlineStr"/>
      <c r="G909" s="8">
        <f>IF($B909="","",VLOOKUP($B909,Jogos!$A$2:$K$105,9,FALSE))</f>
        <v/>
      </c>
      <c r="H909" s="8">
        <f>IF($B909="","",VLOOKUP($B909,Jogos!$A$2:$K$105,11,FALSE))</f>
        <v/>
      </c>
      <c r="I909" s="5">
        <f>IF(OR($A909="", $B909="", $E909="", $F909="", $G909="", $H909=""), "",IF(AND($E909=$G909, $F909=$H909), 3, IF(SIGN($E909-$F909)=SIGN($G909-$H909), 1, 0))))</f>
        <v/>
      </c>
    </row>
    <row r="910">
      <c r="A910" s="5" t="inlineStr"/>
      <c r="B910" s="5" t="inlineStr"/>
      <c r="C910" s="5">
        <f>IF($B910="","",VLOOKUP($B910,Jogos!$A$2:$K$105,8,FALSE))</f>
        <v/>
      </c>
      <c r="D910" s="5">
        <f>IF($B910="","",VLOOKUP($B910,Jogos!$A$2:$K$105,10,FALSE))</f>
        <v/>
      </c>
      <c r="E910" s="5" t="inlineStr"/>
      <c r="F910" s="5" t="inlineStr"/>
      <c r="G910" s="8">
        <f>IF($B910="","",VLOOKUP($B910,Jogos!$A$2:$K$105,9,FALSE))</f>
        <v/>
      </c>
      <c r="H910" s="8">
        <f>IF($B910="","",VLOOKUP($B910,Jogos!$A$2:$K$105,11,FALSE))</f>
        <v/>
      </c>
      <c r="I910" s="5">
        <f>IF(OR($A910="", $B910="", $E910="", $F910="", $G910="", $H910=""), "",IF(AND($E910=$G910, $F910=$H910), 3, IF(SIGN($E910-$F910)=SIGN($G910-$H910), 1, 0))))</f>
        <v/>
      </c>
    </row>
    <row r="911">
      <c r="A911" s="5" t="inlineStr"/>
      <c r="B911" s="5" t="inlineStr"/>
      <c r="C911" s="5">
        <f>IF($B911="","",VLOOKUP($B911,Jogos!$A$2:$K$105,8,FALSE))</f>
        <v/>
      </c>
      <c r="D911" s="5">
        <f>IF($B911="","",VLOOKUP($B911,Jogos!$A$2:$K$105,10,FALSE))</f>
        <v/>
      </c>
      <c r="E911" s="5" t="inlineStr"/>
      <c r="F911" s="5" t="inlineStr"/>
      <c r="G911" s="8">
        <f>IF($B911="","",VLOOKUP($B911,Jogos!$A$2:$K$105,9,FALSE))</f>
        <v/>
      </c>
      <c r="H911" s="8">
        <f>IF($B911="","",VLOOKUP($B911,Jogos!$A$2:$K$105,11,FALSE))</f>
        <v/>
      </c>
      <c r="I911" s="5">
        <f>IF(OR($A911="", $B911="", $E911="", $F911="", $G911="", $H911=""), "",IF(AND($E911=$G911, $F911=$H911), 3, IF(SIGN($E911-$F911)=SIGN($G911-$H911), 1, 0))))</f>
        <v/>
      </c>
    </row>
    <row r="912">
      <c r="A912" s="5" t="inlineStr"/>
      <c r="B912" s="5" t="inlineStr"/>
      <c r="C912" s="5">
        <f>IF($B912="","",VLOOKUP($B912,Jogos!$A$2:$K$105,8,FALSE))</f>
        <v/>
      </c>
      <c r="D912" s="5">
        <f>IF($B912="","",VLOOKUP($B912,Jogos!$A$2:$K$105,10,FALSE))</f>
        <v/>
      </c>
      <c r="E912" s="5" t="inlineStr"/>
      <c r="F912" s="5" t="inlineStr"/>
      <c r="G912" s="8">
        <f>IF($B912="","",VLOOKUP($B912,Jogos!$A$2:$K$105,9,FALSE))</f>
        <v/>
      </c>
      <c r="H912" s="8">
        <f>IF($B912="","",VLOOKUP($B912,Jogos!$A$2:$K$105,11,FALSE))</f>
        <v/>
      </c>
      <c r="I912" s="5">
        <f>IF(OR($A912="", $B912="", $E912="", $F912="", $G912="", $H912=""), "",IF(AND($E912=$G912, $F912=$H912), 3, IF(SIGN($E912-$F912)=SIGN($G912-$H912), 1, 0))))</f>
        <v/>
      </c>
    </row>
    <row r="913">
      <c r="A913" s="5" t="inlineStr"/>
      <c r="B913" s="5" t="inlineStr"/>
      <c r="C913" s="5">
        <f>IF($B913="","",VLOOKUP($B913,Jogos!$A$2:$K$105,8,FALSE))</f>
        <v/>
      </c>
      <c r="D913" s="5">
        <f>IF($B913="","",VLOOKUP($B913,Jogos!$A$2:$K$105,10,FALSE))</f>
        <v/>
      </c>
      <c r="E913" s="5" t="inlineStr"/>
      <c r="F913" s="5" t="inlineStr"/>
      <c r="G913" s="8">
        <f>IF($B913="","",VLOOKUP($B913,Jogos!$A$2:$K$105,9,FALSE))</f>
        <v/>
      </c>
      <c r="H913" s="8">
        <f>IF($B913="","",VLOOKUP($B913,Jogos!$A$2:$K$105,11,FALSE))</f>
        <v/>
      </c>
      <c r="I913" s="5">
        <f>IF(OR($A913="", $B913="", $E913="", $F913="", $G913="", $H913=""), "",IF(AND($E913=$G913, $F913=$H913), 3, IF(SIGN($E913-$F913)=SIGN($G913-$H913), 1, 0))))</f>
        <v/>
      </c>
    </row>
    <row r="914">
      <c r="A914" s="5" t="inlineStr"/>
      <c r="B914" s="5" t="inlineStr"/>
      <c r="C914" s="5">
        <f>IF($B914="","",VLOOKUP($B914,Jogos!$A$2:$K$105,8,FALSE))</f>
        <v/>
      </c>
      <c r="D914" s="5">
        <f>IF($B914="","",VLOOKUP($B914,Jogos!$A$2:$K$105,10,FALSE))</f>
        <v/>
      </c>
      <c r="E914" s="5" t="inlineStr"/>
      <c r="F914" s="5" t="inlineStr"/>
      <c r="G914" s="8">
        <f>IF($B914="","",VLOOKUP($B914,Jogos!$A$2:$K$105,9,FALSE))</f>
        <v/>
      </c>
      <c r="H914" s="8">
        <f>IF($B914="","",VLOOKUP($B914,Jogos!$A$2:$K$105,11,FALSE))</f>
        <v/>
      </c>
      <c r="I914" s="5">
        <f>IF(OR($A914="", $B914="", $E914="", $F914="", $G914="", $H914=""), "",IF(AND($E914=$G914, $F914=$H914), 3, IF(SIGN($E914-$F914)=SIGN($G914-$H914), 1, 0))))</f>
        <v/>
      </c>
    </row>
    <row r="915">
      <c r="A915" s="5" t="inlineStr"/>
      <c r="B915" s="5" t="inlineStr"/>
      <c r="C915" s="5">
        <f>IF($B915="","",VLOOKUP($B915,Jogos!$A$2:$K$105,8,FALSE))</f>
        <v/>
      </c>
      <c r="D915" s="5">
        <f>IF($B915="","",VLOOKUP($B915,Jogos!$A$2:$K$105,10,FALSE))</f>
        <v/>
      </c>
      <c r="E915" s="5" t="inlineStr"/>
      <c r="F915" s="5" t="inlineStr"/>
      <c r="G915" s="8">
        <f>IF($B915="","",VLOOKUP($B915,Jogos!$A$2:$K$105,9,FALSE))</f>
        <v/>
      </c>
      <c r="H915" s="8">
        <f>IF($B915="","",VLOOKUP($B915,Jogos!$A$2:$K$105,11,FALSE))</f>
        <v/>
      </c>
      <c r="I915" s="5">
        <f>IF(OR($A915="", $B915="", $E915="", $F915="", $G915="", $H915=""), "",IF(AND($E915=$G915, $F915=$H915), 3, IF(SIGN($E915-$F915)=SIGN($G915-$H915), 1, 0))))</f>
        <v/>
      </c>
    </row>
    <row r="916">
      <c r="A916" s="5" t="inlineStr"/>
      <c r="B916" s="5" t="inlineStr"/>
      <c r="C916" s="5">
        <f>IF($B916="","",VLOOKUP($B916,Jogos!$A$2:$K$105,8,FALSE))</f>
        <v/>
      </c>
      <c r="D916" s="5">
        <f>IF($B916="","",VLOOKUP($B916,Jogos!$A$2:$K$105,10,FALSE))</f>
        <v/>
      </c>
      <c r="E916" s="5" t="inlineStr"/>
      <c r="F916" s="5" t="inlineStr"/>
      <c r="G916" s="8">
        <f>IF($B916="","",VLOOKUP($B916,Jogos!$A$2:$K$105,9,FALSE))</f>
        <v/>
      </c>
      <c r="H916" s="8">
        <f>IF($B916="","",VLOOKUP($B916,Jogos!$A$2:$K$105,11,FALSE))</f>
        <v/>
      </c>
      <c r="I916" s="5">
        <f>IF(OR($A916="", $B916="", $E916="", $F916="", $G916="", $H916=""), "",IF(AND($E916=$G916, $F916=$H916), 3, IF(SIGN($E916-$F916)=SIGN($G916-$H916), 1, 0))))</f>
        <v/>
      </c>
    </row>
    <row r="917">
      <c r="A917" s="5" t="inlineStr"/>
      <c r="B917" s="5" t="inlineStr"/>
      <c r="C917" s="5">
        <f>IF($B917="","",VLOOKUP($B917,Jogos!$A$2:$K$105,8,FALSE))</f>
        <v/>
      </c>
      <c r="D917" s="5">
        <f>IF($B917="","",VLOOKUP($B917,Jogos!$A$2:$K$105,10,FALSE))</f>
        <v/>
      </c>
      <c r="E917" s="5" t="inlineStr"/>
      <c r="F917" s="5" t="inlineStr"/>
      <c r="G917" s="8">
        <f>IF($B917="","",VLOOKUP($B917,Jogos!$A$2:$K$105,9,FALSE))</f>
        <v/>
      </c>
      <c r="H917" s="8">
        <f>IF($B917="","",VLOOKUP($B917,Jogos!$A$2:$K$105,11,FALSE))</f>
        <v/>
      </c>
      <c r="I917" s="5">
        <f>IF(OR($A917="", $B917="", $E917="", $F917="", $G917="", $H917=""), "",IF(AND($E917=$G917, $F917=$H917), 3, IF(SIGN($E917-$F917)=SIGN($G917-$H917), 1, 0))))</f>
        <v/>
      </c>
    </row>
    <row r="918">
      <c r="A918" s="5" t="inlineStr"/>
      <c r="B918" s="5" t="inlineStr"/>
      <c r="C918" s="5">
        <f>IF($B918="","",VLOOKUP($B918,Jogos!$A$2:$K$105,8,FALSE))</f>
        <v/>
      </c>
      <c r="D918" s="5">
        <f>IF($B918="","",VLOOKUP($B918,Jogos!$A$2:$K$105,10,FALSE))</f>
        <v/>
      </c>
      <c r="E918" s="5" t="inlineStr"/>
      <c r="F918" s="5" t="inlineStr"/>
      <c r="G918" s="8">
        <f>IF($B918="","",VLOOKUP($B918,Jogos!$A$2:$K$105,9,FALSE))</f>
        <v/>
      </c>
      <c r="H918" s="8">
        <f>IF($B918="","",VLOOKUP($B918,Jogos!$A$2:$K$105,11,FALSE))</f>
        <v/>
      </c>
      <c r="I918" s="5">
        <f>IF(OR($A918="", $B918="", $E918="", $F918="", $G918="", $H918=""), "",IF(AND($E918=$G918, $F918=$H918), 3, IF(SIGN($E918-$F918)=SIGN($G918-$H918), 1, 0))))</f>
        <v/>
      </c>
    </row>
    <row r="919">
      <c r="A919" s="5" t="inlineStr"/>
      <c r="B919" s="5" t="inlineStr"/>
      <c r="C919" s="5">
        <f>IF($B919="","",VLOOKUP($B919,Jogos!$A$2:$K$105,8,FALSE))</f>
        <v/>
      </c>
      <c r="D919" s="5">
        <f>IF($B919="","",VLOOKUP($B919,Jogos!$A$2:$K$105,10,FALSE))</f>
        <v/>
      </c>
      <c r="E919" s="5" t="inlineStr"/>
      <c r="F919" s="5" t="inlineStr"/>
      <c r="G919" s="8">
        <f>IF($B919="","",VLOOKUP($B919,Jogos!$A$2:$K$105,9,FALSE))</f>
        <v/>
      </c>
      <c r="H919" s="8">
        <f>IF($B919="","",VLOOKUP($B919,Jogos!$A$2:$K$105,11,FALSE))</f>
        <v/>
      </c>
      <c r="I919" s="5">
        <f>IF(OR($A919="", $B919="", $E919="", $F919="", $G919="", $H919=""), "",IF(AND($E919=$G919, $F919=$H919), 3, IF(SIGN($E919-$F919)=SIGN($G919-$H919), 1, 0))))</f>
        <v/>
      </c>
    </row>
    <row r="920">
      <c r="A920" s="5" t="inlineStr"/>
      <c r="B920" s="5" t="inlineStr"/>
      <c r="C920" s="5">
        <f>IF($B920="","",VLOOKUP($B920,Jogos!$A$2:$K$105,8,FALSE))</f>
        <v/>
      </c>
      <c r="D920" s="5">
        <f>IF($B920="","",VLOOKUP($B920,Jogos!$A$2:$K$105,10,FALSE))</f>
        <v/>
      </c>
      <c r="E920" s="5" t="inlineStr"/>
      <c r="F920" s="5" t="inlineStr"/>
      <c r="G920" s="8">
        <f>IF($B920="","",VLOOKUP($B920,Jogos!$A$2:$K$105,9,FALSE))</f>
        <v/>
      </c>
      <c r="H920" s="8">
        <f>IF($B920="","",VLOOKUP($B920,Jogos!$A$2:$K$105,11,FALSE))</f>
        <v/>
      </c>
      <c r="I920" s="5">
        <f>IF(OR($A920="", $B920="", $E920="", $F920="", $G920="", $H920=""), "",IF(AND($E920=$G920, $F920=$H920), 3, IF(SIGN($E920-$F920)=SIGN($G920-$H920), 1, 0))))</f>
        <v/>
      </c>
    </row>
    <row r="921">
      <c r="A921" s="5" t="inlineStr"/>
      <c r="B921" s="5" t="inlineStr"/>
      <c r="C921" s="5">
        <f>IF($B921="","",VLOOKUP($B921,Jogos!$A$2:$K$105,8,FALSE))</f>
        <v/>
      </c>
      <c r="D921" s="5">
        <f>IF($B921="","",VLOOKUP($B921,Jogos!$A$2:$K$105,10,FALSE))</f>
        <v/>
      </c>
      <c r="E921" s="5" t="inlineStr"/>
      <c r="F921" s="5" t="inlineStr"/>
      <c r="G921" s="8">
        <f>IF($B921="","",VLOOKUP($B921,Jogos!$A$2:$K$105,9,FALSE))</f>
        <v/>
      </c>
      <c r="H921" s="8">
        <f>IF($B921="","",VLOOKUP($B921,Jogos!$A$2:$K$105,11,FALSE))</f>
        <v/>
      </c>
      <c r="I921" s="5">
        <f>IF(OR($A921="", $B921="", $E921="", $F921="", $G921="", $H921=""), "",IF(AND($E921=$G921, $F921=$H921), 3, IF(SIGN($E921-$F921)=SIGN($G921-$H921), 1, 0))))</f>
        <v/>
      </c>
    </row>
    <row r="922">
      <c r="A922" s="5" t="inlineStr"/>
      <c r="B922" s="5" t="inlineStr"/>
      <c r="C922" s="5">
        <f>IF($B922="","",VLOOKUP($B922,Jogos!$A$2:$K$105,8,FALSE))</f>
        <v/>
      </c>
      <c r="D922" s="5">
        <f>IF($B922="","",VLOOKUP($B922,Jogos!$A$2:$K$105,10,FALSE))</f>
        <v/>
      </c>
      <c r="E922" s="5" t="inlineStr"/>
      <c r="F922" s="5" t="inlineStr"/>
      <c r="G922" s="8">
        <f>IF($B922="","",VLOOKUP($B922,Jogos!$A$2:$K$105,9,FALSE))</f>
        <v/>
      </c>
      <c r="H922" s="8">
        <f>IF($B922="","",VLOOKUP($B922,Jogos!$A$2:$K$105,11,FALSE))</f>
        <v/>
      </c>
      <c r="I922" s="5">
        <f>IF(OR($A922="", $B922="", $E922="", $F922="", $G922="", $H922=""), "",IF(AND($E922=$G922, $F922=$H922), 3, IF(SIGN($E922-$F922)=SIGN($G922-$H922), 1, 0))))</f>
        <v/>
      </c>
    </row>
    <row r="923">
      <c r="A923" s="5" t="inlineStr"/>
      <c r="B923" s="5" t="inlineStr"/>
      <c r="C923" s="5">
        <f>IF($B923="","",VLOOKUP($B923,Jogos!$A$2:$K$105,8,FALSE))</f>
        <v/>
      </c>
      <c r="D923" s="5">
        <f>IF($B923="","",VLOOKUP($B923,Jogos!$A$2:$K$105,10,FALSE))</f>
        <v/>
      </c>
      <c r="E923" s="5" t="inlineStr"/>
      <c r="F923" s="5" t="inlineStr"/>
      <c r="G923" s="8">
        <f>IF($B923="","",VLOOKUP($B923,Jogos!$A$2:$K$105,9,FALSE))</f>
        <v/>
      </c>
      <c r="H923" s="8">
        <f>IF($B923="","",VLOOKUP($B923,Jogos!$A$2:$K$105,11,FALSE))</f>
        <v/>
      </c>
      <c r="I923" s="5">
        <f>IF(OR($A923="", $B923="", $E923="", $F923="", $G923="", $H923=""), "",IF(AND($E923=$G923, $F923=$H923), 3, IF(SIGN($E923-$F923)=SIGN($G923-$H923), 1, 0))))</f>
        <v/>
      </c>
    </row>
    <row r="924">
      <c r="A924" s="5" t="inlineStr"/>
      <c r="B924" s="5" t="inlineStr"/>
      <c r="C924" s="5">
        <f>IF($B924="","",VLOOKUP($B924,Jogos!$A$2:$K$105,8,FALSE))</f>
        <v/>
      </c>
      <c r="D924" s="5">
        <f>IF($B924="","",VLOOKUP($B924,Jogos!$A$2:$K$105,10,FALSE))</f>
        <v/>
      </c>
      <c r="E924" s="5" t="inlineStr"/>
      <c r="F924" s="5" t="inlineStr"/>
      <c r="G924" s="8">
        <f>IF($B924="","",VLOOKUP($B924,Jogos!$A$2:$K$105,9,FALSE))</f>
        <v/>
      </c>
      <c r="H924" s="8">
        <f>IF($B924="","",VLOOKUP($B924,Jogos!$A$2:$K$105,11,FALSE))</f>
        <v/>
      </c>
      <c r="I924" s="5">
        <f>IF(OR($A924="", $B924="", $E924="", $F924="", $G924="", $H924=""), "",IF(AND($E924=$G924, $F924=$H924), 3, IF(SIGN($E924-$F924)=SIGN($G924-$H924), 1, 0))))</f>
        <v/>
      </c>
    </row>
    <row r="925">
      <c r="A925" s="5" t="inlineStr"/>
      <c r="B925" s="5" t="inlineStr"/>
      <c r="C925" s="5">
        <f>IF($B925="","",VLOOKUP($B925,Jogos!$A$2:$K$105,8,FALSE))</f>
        <v/>
      </c>
      <c r="D925" s="5">
        <f>IF($B925="","",VLOOKUP($B925,Jogos!$A$2:$K$105,10,FALSE))</f>
        <v/>
      </c>
      <c r="E925" s="5" t="inlineStr"/>
      <c r="F925" s="5" t="inlineStr"/>
      <c r="G925" s="8">
        <f>IF($B925="","",VLOOKUP($B925,Jogos!$A$2:$K$105,9,FALSE))</f>
        <v/>
      </c>
      <c r="H925" s="8">
        <f>IF($B925="","",VLOOKUP($B925,Jogos!$A$2:$K$105,11,FALSE))</f>
        <v/>
      </c>
      <c r="I925" s="5">
        <f>IF(OR($A925="", $B925="", $E925="", $F925="", $G925="", $H925=""), "",IF(AND($E925=$G925, $F925=$H925), 3, IF(SIGN($E925-$F925)=SIGN($G925-$H925), 1, 0))))</f>
        <v/>
      </c>
    </row>
    <row r="926">
      <c r="A926" s="5" t="inlineStr"/>
      <c r="B926" s="5" t="inlineStr"/>
      <c r="C926" s="5">
        <f>IF($B926="","",VLOOKUP($B926,Jogos!$A$2:$K$105,8,FALSE))</f>
        <v/>
      </c>
      <c r="D926" s="5">
        <f>IF($B926="","",VLOOKUP($B926,Jogos!$A$2:$K$105,10,FALSE))</f>
        <v/>
      </c>
      <c r="E926" s="5" t="inlineStr"/>
      <c r="F926" s="5" t="inlineStr"/>
      <c r="G926" s="8">
        <f>IF($B926="","",VLOOKUP($B926,Jogos!$A$2:$K$105,9,FALSE))</f>
        <v/>
      </c>
      <c r="H926" s="8">
        <f>IF($B926="","",VLOOKUP($B926,Jogos!$A$2:$K$105,11,FALSE))</f>
        <v/>
      </c>
      <c r="I926" s="5">
        <f>IF(OR($A926="", $B926="", $E926="", $F926="", $G926="", $H926=""), "",IF(AND($E926=$G926, $F926=$H926), 3, IF(SIGN($E926-$F926)=SIGN($G926-$H926), 1, 0))))</f>
        <v/>
      </c>
    </row>
    <row r="927">
      <c r="A927" s="5" t="inlineStr"/>
      <c r="B927" s="5" t="inlineStr"/>
      <c r="C927" s="5">
        <f>IF($B927="","",VLOOKUP($B927,Jogos!$A$2:$K$105,8,FALSE))</f>
        <v/>
      </c>
      <c r="D927" s="5">
        <f>IF($B927="","",VLOOKUP($B927,Jogos!$A$2:$K$105,10,FALSE))</f>
        <v/>
      </c>
      <c r="E927" s="5" t="inlineStr"/>
      <c r="F927" s="5" t="inlineStr"/>
      <c r="G927" s="8">
        <f>IF($B927="","",VLOOKUP($B927,Jogos!$A$2:$K$105,9,FALSE))</f>
        <v/>
      </c>
      <c r="H927" s="8">
        <f>IF($B927="","",VLOOKUP($B927,Jogos!$A$2:$K$105,11,FALSE))</f>
        <v/>
      </c>
      <c r="I927" s="5">
        <f>IF(OR($A927="", $B927="", $E927="", $F927="", $G927="", $H927=""), "",IF(AND($E927=$G927, $F927=$H927), 3, IF(SIGN($E927-$F927)=SIGN($G927-$H927), 1, 0))))</f>
        <v/>
      </c>
    </row>
    <row r="928">
      <c r="A928" s="5" t="inlineStr"/>
      <c r="B928" s="5" t="inlineStr"/>
      <c r="C928" s="5">
        <f>IF($B928="","",VLOOKUP($B928,Jogos!$A$2:$K$105,8,FALSE))</f>
        <v/>
      </c>
      <c r="D928" s="5">
        <f>IF($B928="","",VLOOKUP($B928,Jogos!$A$2:$K$105,10,FALSE))</f>
        <v/>
      </c>
      <c r="E928" s="5" t="inlineStr"/>
      <c r="F928" s="5" t="inlineStr"/>
      <c r="G928" s="8">
        <f>IF($B928="","",VLOOKUP($B928,Jogos!$A$2:$K$105,9,FALSE))</f>
        <v/>
      </c>
      <c r="H928" s="8">
        <f>IF($B928="","",VLOOKUP($B928,Jogos!$A$2:$K$105,11,FALSE))</f>
        <v/>
      </c>
      <c r="I928" s="5">
        <f>IF(OR($A928="", $B928="", $E928="", $F928="", $G928="", $H928=""), "",IF(AND($E928=$G928, $F928=$H928), 3, IF(SIGN($E928-$F928)=SIGN($G928-$H928), 1, 0))))</f>
        <v/>
      </c>
    </row>
    <row r="929">
      <c r="A929" s="5" t="inlineStr"/>
      <c r="B929" s="5" t="inlineStr"/>
      <c r="C929" s="5">
        <f>IF($B929="","",VLOOKUP($B929,Jogos!$A$2:$K$105,8,FALSE))</f>
        <v/>
      </c>
      <c r="D929" s="5">
        <f>IF($B929="","",VLOOKUP($B929,Jogos!$A$2:$K$105,10,FALSE))</f>
        <v/>
      </c>
      <c r="E929" s="5" t="inlineStr"/>
      <c r="F929" s="5" t="inlineStr"/>
      <c r="G929" s="8">
        <f>IF($B929="","",VLOOKUP($B929,Jogos!$A$2:$K$105,9,FALSE))</f>
        <v/>
      </c>
      <c r="H929" s="8">
        <f>IF($B929="","",VLOOKUP($B929,Jogos!$A$2:$K$105,11,FALSE))</f>
        <v/>
      </c>
      <c r="I929" s="5">
        <f>IF(OR($A929="", $B929="", $E929="", $F929="", $G929="", $H929=""), "",IF(AND($E929=$G929, $F929=$H929), 3, IF(SIGN($E929-$F929)=SIGN($G929-$H929), 1, 0))))</f>
        <v/>
      </c>
    </row>
    <row r="930">
      <c r="A930" s="5" t="inlineStr"/>
      <c r="B930" s="5" t="inlineStr"/>
      <c r="C930" s="5">
        <f>IF($B930="","",VLOOKUP($B930,Jogos!$A$2:$K$105,8,FALSE))</f>
        <v/>
      </c>
      <c r="D930" s="5">
        <f>IF($B930="","",VLOOKUP($B930,Jogos!$A$2:$K$105,10,FALSE))</f>
        <v/>
      </c>
      <c r="E930" s="5" t="inlineStr"/>
      <c r="F930" s="5" t="inlineStr"/>
      <c r="G930" s="8">
        <f>IF($B930="","",VLOOKUP($B930,Jogos!$A$2:$K$105,9,FALSE))</f>
        <v/>
      </c>
      <c r="H930" s="8">
        <f>IF($B930="","",VLOOKUP($B930,Jogos!$A$2:$K$105,11,FALSE))</f>
        <v/>
      </c>
      <c r="I930" s="5">
        <f>IF(OR($A930="", $B930="", $E930="", $F930="", $G930="", $H930=""), "",IF(AND($E930=$G930, $F930=$H930), 3, IF(SIGN($E930-$F930)=SIGN($G930-$H930), 1, 0))))</f>
        <v/>
      </c>
    </row>
    <row r="931">
      <c r="A931" s="5" t="inlineStr"/>
      <c r="B931" s="5" t="inlineStr"/>
      <c r="C931" s="5">
        <f>IF($B931="","",VLOOKUP($B931,Jogos!$A$2:$K$105,8,FALSE))</f>
        <v/>
      </c>
      <c r="D931" s="5">
        <f>IF($B931="","",VLOOKUP($B931,Jogos!$A$2:$K$105,10,FALSE))</f>
        <v/>
      </c>
      <c r="E931" s="5" t="inlineStr"/>
      <c r="F931" s="5" t="inlineStr"/>
      <c r="G931" s="8">
        <f>IF($B931="","",VLOOKUP($B931,Jogos!$A$2:$K$105,9,FALSE))</f>
        <v/>
      </c>
      <c r="H931" s="8">
        <f>IF($B931="","",VLOOKUP($B931,Jogos!$A$2:$K$105,11,FALSE))</f>
        <v/>
      </c>
      <c r="I931" s="5">
        <f>IF(OR($A931="", $B931="", $E931="", $F931="", $G931="", $H931=""), "",IF(AND($E931=$G931, $F931=$H931), 3, IF(SIGN($E931-$F931)=SIGN($G931-$H931), 1, 0))))</f>
        <v/>
      </c>
    </row>
    <row r="932">
      <c r="A932" s="5" t="inlineStr"/>
      <c r="B932" s="5" t="inlineStr"/>
      <c r="C932" s="5">
        <f>IF($B932="","",VLOOKUP($B932,Jogos!$A$2:$K$105,8,FALSE))</f>
        <v/>
      </c>
      <c r="D932" s="5">
        <f>IF($B932="","",VLOOKUP($B932,Jogos!$A$2:$K$105,10,FALSE))</f>
        <v/>
      </c>
      <c r="E932" s="5" t="inlineStr"/>
      <c r="F932" s="5" t="inlineStr"/>
      <c r="G932" s="8">
        <f>IF($B932="","",VLOOKUP($B932,Jogos!$A$2:$K$105,9,FALSE))</f>
        <v/>
      </c>
      <c r="H932" s="8">
        <f>IF($B932="","",VLOOKUP($B932,Jogos!$A$2:$K$105,11,FALSE))</f>
        <v/>
      </c>
      <c r="I932" s="5">
        <f>IF(OR($A932="", $B932="", $E932="", $F932="", $G932="", $H932=""), "",IF(AND($E932=$G932, $F932=$H932), 3, IF(SIGN($E932-$F932)=SIGN($G932-$H932), 1, 0))))</f>
        <v/>
      </c>
    </row>
    <row r="933">
      <c r="A933" s="5" t="inlineStr"/>
      <c r="B933" s="5" t="inlineStr"/>
      <c r="C933" s="5">
        <f>IF($B933="","",VLOOKUP($B933,Jogos!$A$2:$K$105,8,FALSE))</f>
        <v/>
      </c>
      <c r="D933" s="5">
        <f>IF($B933="","",VLOOKUP($B933,Jogos!$A$2:$K$105,10,FALSE))</f>
        <v/>
      </c>
      <c r="E933" s="5" t="inlineStr"/>
      <c r="F933" s="5" t="inlineStr"/>
      <c r="G933" s="8">
        <f>IF($B933="","",VLOOKUP($B933,Jogos!$A$2:$K$105,9,FALSE))</f>
        <v/>
      </c>
      <c r="H933" s="8">
        <f>IF($B933="","",VLOOKUP($B933,Jogos!$A$2:$K$105,11,FALSE))</f>
        <v/>
      </c>
      <c r="I933" s="5">
        <f>IF(OR($A933="", $B933="", $E933="", $F933="", $G933="", $H933=""), "",IF(AND($E933=$G933, $F933=$H933), 3, IF(SIGN($E933-$F933)=SIGN($G933-$H933), 1, 0))))</f>
        <v/>
      </c>
    </row>
    <row r="934">
      <c r="A934" s="5" t="inlineStr"/>
      <c r="B934" s="5" t="inlineStr"/>
      <c r="C934" s="5">
        <f>IF($B934="","",VLOOKUP($B934,Jogos!$A$2:$K$105,8,FALSE))</f>
        <v/>
      </c>
      <c r="D934" s="5">
        <f>IF($B934="","",VLOOKUP($B934,Jogos!$A$2:$K$105,10,FALSE))</f>
        <v/>
      </c>
      <c r="E934" s="5" t="inlineStr"/>
      <c r="F934" s="5" t="inlineStr"/>
      <c r="G934" s="8">
        <f>IF($B934="","",VLOOKUP($B934,Jogos!$A$2:$K$105,9,FALSE))</f>
        <v/>
      </c>
      <c r="H934" s="8">
        <f>IF($B934="","",VLOOKUP($B934,Jogos!$A$2:$K$105,11,FALSE))</f>
        <v/>
      </c>
      <c r="I934" s="5">
        <f>IF(OR($A934="", $B934="", $E934="", $F934="", $G934="", $H934=""), "",IF(AND($E934=$G934, $F934=$H934), 3, IF(SIGN($E934-$F934)=SIGN($G934-$H934), 1, 0))))</f>
        <v/>
      </c>
    </row>
    <row r="935">
      <c r="A935" s="5" t="inlineStr"/>
      <c r="B935" s="5" t="inlineStr"/>
      <c r="C935" s="5">
        <f>IF($B935="","",VLOOKUP($B935,Jogos!$A$2:$K$105,8,FALSE))</f>
        <v/>
      </c>
      <c r="D935" s="5">
        <f>IF($B935="","",VLOOKUP($B935,Jogos!$A$2:$K$105,10,FALSE))</f>
        <v/>
      </c>
      <c r="E935" s="5" t="inlineStr"/>
      <c r="F935" s="5" t="inlineStr"/>
      <c r="G935" s="8">
        <f>IF($B935="","",VLOOKUP($B935,Jogos!$A$2:$K$105,9,FALSE))</f>
        <v/>
      </c>
      <c r="H935" s="8">
        <f>IF($B935="","",VLOOKUP($B935,Jogos!$A$2:$K$105,11,FALSE))</f>
        <v/>
      </c>
      <c r="I935" s="5">
        <f>IF(OR($A935="", $B935="", $E935="", $F935="", $G935="", $H935=""), "",IF(AND($E935=$G935, $F935=$H935), 3, IF(SIGN($E935-$F935)=SIGN($G935-$H935), 1, 0))))</f>
        <v/>
      </c>
    </row>
    <row r="936">
      <c r="A936" s="5" t="inlineStr"/>
      <c r="B936" s="5" t="inlineStr"/>
      <c r="C936" s="5">
        <f>IF($B936="","",VLOOKUP($B936,Jogos!$A$2:$K$105,8,FALSE))</f>
        <v/>
      </c>
      <c r="D936" s="5">
        <f>IF($B936="","",VLOOKUP($B936,Jogos!$A$2:$K$105,10,FALSE))</f>
        <v/>
      </c>
      <c r="E936" s="5" t="inlineStr"/>
      <c r="F936" s="5" t="inlineStr"/>
      <c r="G936" s="8">
        <f>IF($B936="","",VLOOKUP($B936,Jogos!$A$2:$K$105,9,FALSE))</f>
        <v/>
      </c>
      <c r="H936" s="8">
        <f>IF($B936="","",VLOOKUP($B936,Jogos!$A$2:$K$105,11,FALSE))</f>
        <v/>
      </c>
      <c r="I936" s="5">
        <f>IF(OR($A936="", $B936="", $E936="", $F936="", $G936="", $H936=""), "",IF(AND($E936=$G936, $F936=$H936), 3, IF(SIGN($E936-$F936)=SIGN($G936-$H936), 1, 0))))</f>
        <v/>
      </c>
    </row>
    <row r="937">
      <c r="A937" s="5" t="inlineStr"/>
      <c r="B937" s="5" t="inlineStr"/>
      <c r="C937" s="5">
        <f>IF($B937="","",VLOOKUP($B937,Jogos!$A$2:$K$105,8,FALSE))</f>
        <v/>
      </c>
      <c r="D937" s="5">
        <f>IF($B937="","",VLOOKUP($B937,Jogos!$A$2:$K$105,10,FALSE))</f>
        <v/>
      </c>
      <c r="E937" s="5" t="inlineStr"/>
      <c r="F937" s="5" t="inlineStr"/>
      <c r="G937" s="8">
        <f>IF($B937="","",VLOOKUP($B937,Jogos!$A$2:$K$105,9,FALSE))</f>
        <v/>
      </c>
      <c r="H937" s="8">
        <f>IF($B937="","",VLOOKUP($B937,Jogos!$A$2:$K$105,11,FALSE))</f>
        <v/>
      </c>
      <c r="I937" s="5">
        <f>IF(OR($A937="", $B937="", $E937="", $F937="", $G937="", $H937=""), "",IF(AND($E937=$G937, $F937=$H937), 3, IF(SIGN($E937-$F937)=SIGN($G937-$H937), 1, 0))))</f>
        <v/>
      </c>
    </row>
    <row r="938">
      <c r="A938" s="5" t="inlineStr"/>
      <c r="B938" s="5" t="inlineStr"/>
      <c r="C938" s="5">
        <f>IF($B938="","",VLOOKUP($B938,Jogos!$A$2:$K$105,8,FALSE))</f>
        <v/>
      </c>
      <c r="D938" s="5">
        <f>IF($B938="","",VLOOKUP($B938,Jogos!$A$2:$K$105,10,FALSE))</f>
        <v/>
      </c>
      <c r="E938" s="5" t="inlineStr"/>
      <c r="F938" s="5" t="inlineStr"/>
      <c r="G938" s="8">
        <f>IF($B938="","",VLOOKUP($B938,Jogos!$A$2:$K$105,9,FALSE))</f>
        <v/>
      </c>
      <c r="H938" s="8">
        <f>IF($B938="","",VLOOKUP($B938,Jogos!$A$2:$K$105,11,FALSE))</f>
        <v/>
      </c>
      <c r="I938" s="5">
        <f>IF(OR($A938="", $B938="", $E938="", $F938="", $G938="", $H938=""), "",IF(AND($E938=$G938, $F938=$H938), 3, IF(SIGN($E938-$F938)=SIGN($G938-$H938), 1, 0))))</f>
        <v/>
      </c>
    </row>
    <row r="939">
      <c r="A939" s="5" t="inlineStr"/>
      <c r="B939" s="5" t="inlineStr"/>
      <c r="C939" s="5">
        <f>IF($B939="","",VLOOKUP($B939,Jogos!$A$2:$K$105,8,FALSE))</f>
        <v/>
      </c>
      <c r="D939" s="5">
        <f>IF($B939="","",VLOOKUP($B939,Jogos!$A$2:$K$105,10,FALSE))</f>
        <v/>
      </c>
      <c r="E939" s="5" t="inlineStr"/>
      <c r="F939" s="5" t="inlineStr"/>
      <c r="G939" s="8">
        <f>IF($B939="","",VLOOKUP($B939,Jogos!$A$2:$K$105,9,FALSE))</f>
        <v/>
      </c>
      <c r="H939" s="8">
        <f>IF($B939="","",VLOOKUP($B939,Jogos!$A$2:$K$105,11,FALSE))</f>
        <v/>
      </c>
      <c r="I939" s="5">
        <f>IF(OR($A939="", $B939="", $E939="", $F939="", $G939="", $H939=""), "",IF(AND($E939=$G939, $F939=$H939), 3, IF(SIGN($E939-$F939)=SIGN($G939-$H939), 1, 0))))</f>
        <v/>
      </c>
    </row>
    <row r="940">
      <c r="A940" s="5" t="inlineStr"/>
      <c r="B940" s="5" t="inlineStr"/>
      <c r="C940" s="5">
        <f>IF($B940="","",VLOOKUP($B940,Jogos!$A$2:$K$105,8,FALSE))</f>
        <v/>
      </c>
      <c r="D940" s="5">
        <f>IF($B940="","",VLOOKUP($B940,Jogos!$A$2:$K$105,10,FALSE))</f>
        <v/>
      </c>
      <c r="E940" s="5" t="inlineStr"/>
      <c r="F940" s="5" t="inlineStr"/>
      <c r="G940" s="8">
        <f>IF($B940="","",VLOOKUP($B940,Jogos!$A$2:$K$105,9,FALSE))</f>
        <v/>
      </c>
      <c r="H940" s="8">
        <f>IF($B940="","",VLOOKUP($B940,Jogos!$A$2:$K$105,11,FALSE))</f>
        <v/>
      </c>
      <c r="I940" s="5">
        <f>IF(OR($A940="", $B940="", $E940="", $F940="", $G940="", $H940=""), "",IF(AND($E940=$G940, $F940=$H940), 3, IF(SIGN($E940-$F940)=SIGN($G940-$H940), 1, 0))))</f>
        <v/>
      </c>
    </row>
    <row r="941">
      <c r="A941" s="5" t="inlineStr"/>
      <c r="B941" s="5" t="inlineStr"/>
      <c r="C941" s="5">
        <f>IF($B941="","",VLOOKUP($B941,Jogos!$A$2:$K$105,8,FALSE))</f>
        <v/>
      </c>
      <c r="D941" s="5">
        <f>IF($B941="","",VLOOKUP($B941,Jogos!$A$2:$K$105,10,FALSE))</f>
        <v/>
      </c>
      <c r="E941" s="5" t="inlineStr"/>
      <c r="F941" s="5" t="inlineStr"/>
      <c r="G941" s="8">
        <f>IF($B941="","",VLOOKUP($B941,Jogos!$A$2:$K$105,9,FALSE))</f>
        <v/>
      </c>
      <c r="H941" s="8">
        <f>IF($B941="","",VLOOKUP($B941,Jogos!$A$2:$K$105,11,FALSE))</f>
        <v/>
      </c>
      <c r="I941" s="5">
        <f>IF(OR($A941="", $B941="", $E941="", $F941="", $G941="", $H941=""), "",IF(AND($E941=$G941, $F941=$H941), 3, IF(SIGN($E941-$F941)=SIGN($G941-$H941), 1, 0))))</f>
        <v/>
      </c>
    </row>
    <row r="942">
      <c r="A942" s="5" t="inlineStr"/>
      <c r="B942" s="5" t="inlineStr"/>
      <c r="C942" s="5">
        <f>IF($B942="","",VLOOKUP($B942,Jogos!$A$2:$K$105,8,FALSE))</f>
        <v/>
      </c>
      <c r="D942" s="5">
        <f>IF($B942="","",VLOOKUP($B942,Jogos!$A$2:$K$105,10,FALSE))</f>
        <v/>
      </c>
      <c r="E942" s="5" t="inlineStr"/>
      <c r="F942" s="5" t="inlineStr"/>
      <c r="G942" s="8">
        <f>IF($B942="","",VLOOKUP($B942,Jogos!$A$2:$K$105,9,FALSE))</f>
        <v/>
      </c>
      <c r="H942" s="8">
        <f>IF($B942="","",VLOOKUP($B942,Jogos!$A$2:$K$105,11,FALSE))</f>
        <v/>
      </c>
      <c r="I942" s="5">
        <f>IF(OR($A942="", $B942="", $E942="", $F942="", $G942="", $H942=""), "",IF(AND($E942=$G942, $F942=$H942), 3, IF(SIGN($E942-$F942)=SIGN($G942-$H942), 1, 0))))</f>
        <v/>
      </c>
    </row>
    <row r="943">
      <c r="A943" s="5" t="inlineStr"/>
      <c r="B943" s="5" t="inlineStr"/>
      <c r="C943" s="5">
        <f>IF($B943="","",VLOOKUP($B943,Jogos!$A$2:$K$105,8,FALSE))</f>
        <v/>
      </c>
      <c r="D943" s="5">
        <f>IF($B943="","",VLOOKUP($B943,Jogos!$A$2:$K$105,10,FALSE))</f>
        <v/>
      </c>
      <c r="E943" s="5" t="inlineStr"/>
      <c r="F943" s="5" t="inlineStr"/>
      <c r="G943" s="8">
        <f>IF($B943="","",VLOOKUP($B943,Jogos!$A$2:$K$105,9,FALSE))</f>
        <v/>
      </c>
      <c r="H943" s="8">
        <f>IF($B943="","",VLOOKUP($B943,Jogos!$A$2:$K$105,11,FALSE))</f>
        <v/>
      </c>
      <c r="I943" s="5">
        <f>IF(OR($A943="", $B943="", $E943="", $F943="", $G943="", $H943=""), "",IF(AND($E943=$G943, $F943=$H943), 3, IF(SIGN($E943-$F943)=SIGN($G943-$H943), 1, 0))))</f>
        <v/>
      </c>
    </row>
    <row r="944">
      <c r="A944" s="5" t="inlineStr"/>
      <c r="B944" s="5" t="inlineStr"/>
      <c r="C944" s="5">
        <f>IF($B944="","",VLOOKUP($B944,Jogos!$A$2:$K$105,8,FALSE))</f>
        <v/>
      </c>
      <c r="D944" s="5">
        <f>IF($B944="","",VLOOKUP($B944,Jogos!$A$2:$K$105,10,FALSE))</f>
        <v/>
      </c>
      <c r="E944" s="5" t="inlineStr"/>
      <c r="F944" s="5" t="inlineStr"/>
      <c r="G944" s="8">
        <f>IF($B944="","",VLOOKUP($B944,Jogos!$A$2:$K$105,9,FALSE))</f>
        <v/>
      </c>
      <c r="H944" s="8">
        <f>IF($B944="","",VLOOKUP($B944,Jogos!$A$2:$K$105,11,FALSE))</f>
        <v/>
      </c>
      <c r="I944" s="5">
        <f>IF(OR($A944="", $B944="", $E944="", $F944="", $G944="", $H944=""), "",IF(AND($E944=$G944, $F944=$H944), 3, IF(SIGN($E944-$F944)=SIGN($G944-$H944), 1, 0))))</f>
        <v/>
      </c>
    </row>
    <row r="945">
      <c r="A945" s="5" t="inlineStr"/>
      <c r="B945" s="5" t="inlineStr"/>
      <c r="C945" s="5">
        <f>IF($B945="","",VLOOKUP($B945,Jogos!$A$2:$K$105,8,FALSE))</f>
        <v/>
      </c>
      <c r="D945" s="5">
        <f>IF($B945="","",VLOOKUP($B945,Jogos!$A$2:$K$105,10,FALSE))</f>
        <v/>
      </c>
      <c r="E945" s="5" t="inlineStr"/>
      <c r="F945" s="5" t="inlineStr"/>
      <c r="G945" s="8">
        <f>IF($B945="","",VLOOKUP($B945,Jogos!$A$2:$K$105,9,FALSE))</f>
        <v/>
      </c>
      <c r="H945" s="8">
        <f>IF($B945="","",VLOOKUP($B945,Jogos!$A$2:$K$105,11,FALSE))</f>
        <v/>
      </c>
      <c r="I945" s="5">
        <f>IF(OR($A945="", $B945="", $E945="", $F945="", $G945="", $H945=""), "",IF(AND($E945=$G945, $F945=$H945), 3, IF(SIGN($E945-$F945)=SIGN($G945-$H945), 1, 0))))</f>
        <v/>
      </c>
    </row>
    <row r="946">
      <c r="A946" s="5" t="inlineStr"/>
      <c r="B946" s="5" t="inlineStr"/>
      <c r="C946" s="5">
        <f>IF($B946="","",VLOOKUP($B946,Jogos!$A$2:$K$105,8,FALSE))</f>
        <v/>
      </c>
      <c r="D946" s="5">
        <f>IF($B946="","",VLOOKUP($B946,Jogos!$A$2:$K$105,10,FALSE))</f>
        <v/>
      </c>
      <c r="E946" s="5" t="inlineStr"/>
      <c r="F946" s="5" t="inlineStr"/>
      <c r="G946" s="8">
        <f>IF($B946="","",VLOOKUP($B946,Jogos!$A$2:$K$105,9,FALSE))</f>
        <v/>
      </c>
      <c r="H946" s="8">
        <f>IF($B946="","",VLOOKUP($B946,Jogos!$A$2:$K$105,11,FALSE))</f>
        <v/>
      </c>
      <c r="I946" s="5">
        <f>IF(OR($A946="", $B946="", $E946="", $F946="", $G946="", $H946=""), "",IF(AND($E946=$G946, $F946=$H946), 3, IF(SIGN($E946-$F946)=SIGN($G946-$H946), 1, 0))))</f>
        <v/>
      </c>
    </row>
    <row r="947">
      <c r="A947" s="5" t="inlineStr"/>
      <c r="B947" s="5" t="inlineStr"/>
      <c r="C947" s="5">
        <f>IF($B947="","",VLOOKUP($B947,Jogos!$A$2:$K$105,8,FALSE))</f>
        <v/>
      </c>
      <c r="D947" s="5">
        <f>IF($B947="","",VLOOKUP($B947,Jogos!$A$2:$K$105,10,FALSE))</f>
        <v/>
      </c>
      <c r="E947" s="5" t="inlineStr"/>
      <c r="F947" s="5" t="inlineStr"/>
      <c r="G947" s="8">
        <f>IF($B947="","",VLOOKUP($B947,Jogos!$A$2:$K$105,9,FALSE))</f>
        <v/>
      </c>
      <c r="H947" s="8">
        <f>IF($B947="","",VLOOKUP($B947,Jogos!$A$2:$K$105,11,FALSE))</f>
        <v/>
      </c>
      <c r="I947" s="5">
        <f>IF(OR($A947="", $B947="", $E947="", $F947="", $G947="", $H947=""), "",IF(AND($E947=$G947, $F947=$H947), 3, IF(SIGN($E947-$F947)=SIGN($G947-$H947), 1, 0))))</f>
        <v/>
      </c>
    </row>
    <row r="948">
      <c r="A948" s="5" t="inlineStr"/>
      <c r="B948" s="5" t="inlineStr"/>
      <c r="C948" s="5">
        <f>IF($B948="","",VLOOKUP($B948,Jogos!$A$2:$K$105,8,FALSE))</f>
        <v/>
      </c>
      <c r="D948" s="5">
        <f>IF($B948="","",VLOOKUP($B948,Jogos!$A$2:$K$105,10,FALSE))</f>
        <v/>
      </c>
      <c r="E948" s="5" t="inlineStr"/>
      <c r="F948" s="5" t="inlineStr"/>
      <c r="G948" s="8">
        <f>IF($B948="","",VLOOKUP($B948,Jogos!$A$2:$K$105,9,FALSE))</f>
        <v/>
      </c>
      <c r="H948" s="8">
        <f>IF($B948="","",VLOOKUP($B948,Jogos!$A$2:$K$105,11,FALSE))</f>
        <v/>
      </c>
      <c r="I948" s="5">
        <f>IF(OR($A948="", $B948="", $E948="", $F948="", $G948="", $H948=""), "",IF(AND($E948=$G948, $F948=$H948), 3, IF(SIGN($E948-$F948)=SIGN($G948-$H948), 1, 0))))</f>
        <v/>
      </c>
    </row>
    <row r="949">
      <c r="A949" s="5" t="inlineStr"/>
      <c r="B949" s="5" t="inlineStr"/>
      <c r="C949" s="5">
        <f>IF($B949="","",VLOOKUP($B949,Jogos!$A$2:$K$105,8,FALSE))</f>
        <v/>
      </c>
      <c r="D949" s="5">
        <f>IF($B949="","",VLOOKUP($B949,Jogos!$A$2:$K$105,10,FALSE))</f>
        <v/>
      </c>
      <c r="E949" s="5" t="inlineStr"/>
      <c r="F949" s="5" t="inlineStr"/>
      <c r="G949" s="8">
        <f>IF($B949="","",VLOOKUP($B949,Jogos!$A$2:$K$105,9,FALSE))</f>
        <v/>
      </c>
      <c r="H949" s="8">
        <f>IF($B949="","",VLOOKUP($B949,Jogos!$A$2:$K$105,11,FALSE))</f>
        <v/>
      </c>
      <c r="I949" s="5">
        <f>IF(OR($A949="", $B949="", $E949="", $F949="", $G949="", $H949=""), "",IF(AND($E949=$G949, $F949=$H949), 3, IF(SIGN($E949-$F949)=SIGN($G949-$H949), 1, 0))))</f>
        <v/>
      </c>
    </row>
    <row r="950">
      <c r="A950" s="5" t="inlineStr"/>
      <c r="B950" s="5" t="inlineStr"/>
      <c r="C950" s="5">
        <f>IF($B950="","",VLOOKUP($B950,Jogos!$A$2:$K$105,8,FALSE))</f>
        <v/>
      </c>
      <c r="D950" s="5">
        <f>IF($B950="","",VLOOKUP($B950,Jogos!$A$2:$K$105,10,FALSE))</f>
        <v/>
      </c>
      <c r="E950" s="5" t="inlineStr"/>
      <c r="F950" s="5" t="inlineStr"/>
      <c r="G950" s="8">
        <f>IF($B950="","",VLOOKUP($B950,Jogos!$A$2:$K$105,9,FALSE))</f>
        <v/>
      </c>
      <c r="H950" s="8">
        <f>IF($B950="","",VLOOKUP($B950,Jogos!$A$2:$K$105,11,FALSE))</f>
        <v/>
      </c>
      <c r="I950" s="5">
        <f>IF(OR($A950="", $B950="", $E950="", $F950="", $G950="", $H950=""), "",IF(AND($E950=$G950, $F950=$H950), 3, IF(SIGN($E950-$F950)=SIGN($G950-$H950), 1, 0))))</f>
        <v/>
      </c>
    </row>
    <row r="951">
      <c r="A951" s="5" t="inlineStr"/>
      <c r="B951" s="5" t="inlineStr"/>
      <c r="C951" s="5">
        <f>IF($B951="","",VLOOKUP($B951,Jogos!$A$2:$K$105,8,FALSE))</f>
        <v/>
      </c>
      <c r="D951" s="5">
        <f>IF($B951="","",VLOOKUP($B951,Jogos!$A$2:$K$105,10,FALSE))</f>
        <v/>
      </c>
      <c r="E951" s="5" t="inlineStr"/>
      <c r="F951" s="5" t="inlineStr"/>
      <c r="G951" s="8">
        <f>IF($B951="","",VLOOKUP($B951,Jogos!$A$2:$K$105,9,FALSE))</f>
        <v/>
      </c>
      <c r="H951" s="8">
        <f>IF($B951="","",VLOOKUP($B951,Jogos!$A$2:$K$105,11,FALSE))</f>
        <v/>
      </c>
      <c r="I951" s="5">
        <f>IF(OR($A951="", $B951="", $E951="", $F951="", $G951="", $H951=""), "",IF(AND($E951=$G951, $F951=$H951), 3, IF(SIGN($E951-$F951)=SIGN($G951-$H951), 1, 0))))</f>
        <v/>
      </c>
    </row>
    <row r="952">
      <c r="A952" s="5" t="inlineStr"/>
      <c r="B952" s="5" t="inlineStr"/>
      <c r="C952" s="5">
        <f>IF($B952="","",VLOOKUP($B952,Jogos!$A$2:$K$105,8,FALSE))</f>
        <v/>
      </c>
      <c r="D952" s="5">
        <f>IF($B952="","",VLOOKUP($B952,Jogos!$A$2:$K$105,10,FALSE))</f>
        <v/>
      </c>
      <c r="E952" s="5" t="inlineStr"/>
      <c r="F952" s="5" t="inlineStr"/>
      <c r="G952" s="8">
        <f>IF($B952="","",VLOOKUP($B952,Jogos!$A$2:$K$105,9,FALSE))</f>
        <v/>
      </c>
      <c r="H952" s="8">
        <f>IF($B952="","",VLOOKUP($B952,Jogos!$A$2:$K$105,11,FALSE))</f>
        <v/>
      </c>
      <c r="I952" s="5">
        <f>IF(OR($A952="", $B952="", $E952="", $F952="", $G952="", $H952=""), "",IF(AND($E952=$G952, $F952=$H952), 3, IF(SIGN($E952-$F952)=SIGN($G952-$H952), 1, 0))))</f>
        <v/>
      </c>
    </row>
    <row r="953">
      <c r="A953" s="5" t="inlineStr"/>
      <c r="B953" s="5" t="inlineStr"/>
      <c r="C953" s="5">
        <f>IF($B953="","",VLOOKUP($B953,Jogos!$A$2:$K$105,8,FALSE))</f>
        <v/>
      </c>
      <c r="D953" s="5">
        <f>IF($B953="","",VLOOKUP($B953,Jogos!$A$2:$K$105,10,FALSE))</f>
        <v/>
      </c>
      <c r="E953" s="5" t="inlineStr"/>
      <c r="F953" s="5" t="inlineStr"/>
      <c r="G953" s="8">
        <f>IF($B953="","",VLOOKUP($B953,Jogos!$A$2:$K$105,9,FALSE))</f>
        <v/>
      </c>
      <c r="H953" s="8">
        <f>IF($B953="","",VLOOKUP($B953,Jogos!$A$2:$K$105,11,FALSE))</f>
        <v/>
      </c>
      <c r="I953" s="5">
        <f>IF(OR($A953="", $B953="", $E953="", $F953="", $G953="", $H953=""), "",IF(AND($E953=$G953, $F953=$H953), 3, IF(SIGN($E953-$F953)=SIGN($G953-$H953), 1, 0))))</f>
        <v/>
      </c>
    </row>
    <row r="954">
      <c r="A954" s="5" t="inlineStr"/>
      <c r="B954" s="5" t="inlineStr"/>
      <c r="C954" s="5">
        <f>IF($B954="","",VLOOKUP($B954,Jogos!$A$2:$K$105,8,FALSE))</f>
        <v/>
      </c>
      <c r="D954" s="5">
        <f>IF($B954="","",VLOOKUP($B954,Jogos!$A$2:$K$105,10,FALSE))</f>
        <v/>
      </c>
      <c r="E954" s="5" t="inlineStr"/>
      <c r="F954" s="5" t="inlineStr"/>
      <c r="G954" s="8">
        <f>IF($B954="","",VLOOKUP($B954,Jogos!$A$2:$K$105,9,FALSE))</f>
        <v/>
      </c>
      <c r="H954" s="8">
        <f>IF($B954="","",VLOOKUP($B954,Jogos!$A$2:$K$105,11,FALSE))</f>
        <v/>
      </c>
      <c r="I954" s="5">
        <f>IF(OR($A954="", $B954="", $E954="", $F954="", $G954="", $H954=""), "",IF(AND($E954=$G954, $F954=$H954), 3, IF(SIGN($E954-$F954)=SIGN($G954-$H954), 1, 0))))</f>
        <v/>
      </c>
    </row>
    <row r="955">
      <c r="A955" s="5" t="inlineStr"/>
      <c r="B955" s="5" t="inlineStr"/>
      <c r="C955" s="5">
        <f>IF($B955="","",VLOOKUP($B955,Jogos!$A$2:$K$105,8,FALSE))</f>
        <v/>
      </c>
      <c r="D955" s="5">
        <f>IF($B955="","",VLOOKUP($B955,Jogos!$A$2:$K$105,10,FALSE))</f>
        <v/>
      </c>
      <c r="E955" s="5" t="inlineStr"/>
      <c r="F955" s="5" t="inlineStr"/>
      <c r="G955" s="8">
        <f>IF($B955="","",VLOOKUP($B955,Jogos!$A$2:$K$105,9,FALSE))</f>
        <v/>
      </c>
      <c r="H955" s="8">
        <f>IF($B955="","",VLOOKUP($B955,Jogos!$A$2:$K$105,11,FALSE))</f>
        <v/>
      </c>
      <c r="I955" s="5">
        <f>IF(OR($A955="", $B955="", $E955="", $F955="", $G955="", $H955=""), "",IF(AND($E955=$G955, $F955=$H955), 3, IF(SIGN($E955-$F955)=SIGN($G955-$H955), 1, 0))))</f>
        <v/>
      </c>
    </row>
    <row r="956">
      <c r="A956" s="5" t="inlineStr"/>
      <c r="B956" s="5" t="inlineStr"/>
      <c r="C956" s="5">
        <f>IF($B956="","",VLOOKUP($B956,Jogos!$A$2:$K$105,8,FALSE))</f>
        <v/>
      </c>
      <c r="D956" s="5">
        <f>IF($B956="","",VLOOKUP($B956,Jogos!$A$2:$K$105,10,FALSE))</f>
        <v/>
      </c>
      <c r="E956" s="5" t="inlineStr"/>
      <c r="F956" s="5" t="inlineStr"/>
      <c r="G956" s="8">
        <f>IF($B956="","",VLOOKUP($B956,Jogos!$A$2:$K$105,9,FALSE))</f>
        <v/>
      </c>
      <c r="H956" s="8">
        <f>IF($B956="","",VLOOKUP($B956,Jogos!$A$2:$K$105,11,FALSE))</f>
        <v/>
      </c>
      <c r="I956" s="5">
        <f>IF(OR($A956="", $B956="", $E956="", $F956="", $G956="", $H956=""), "",IF(AND($E956=$G956, $F956=$H956), 3, IF(SIGN($E956-$F956)=SIGN($G956-$H956), 1, 0))))</f>
        <v/>
      </c>
    </row>
    <row r="957">
      <c r="A957" s="5" t="inlineStr"/>
      <c r="B957" s="5" t="inlineStr"/>
      <c r="C957" s="5">
        <f>IF($B957="","",VLOOKUP($B957,Jogos!$A$2:$K$105,8,FALSE))</f>
        <v/>
      </c>
      <c r="D957" s="5">
        <f>IF($B957="","",VLOOKUP($B957,Jogos!$A$2:$K$105,10,FALSE))</f>
        <v/>
      </c>
      <c r="E957" s="5" t="inlineStr"/>
      <c r="F957" s="5" t="inlineStr"/>
      <c r="G957" s="8">
        <f>IF($B957="","",VLOOKUP($B957,Jogos!$A$2:$K$105,9,FALSE))</f>
        <v/>
      </c>
      <c r="H957" s="8">
        <f>IF($B957="","",VLOOKUP($B957,Jogos!$A$2:$K$105,11,FALSE))</f>
        <v/>
      </c>
      <c r="I957" s="5">
        <f>IF(OR($A957="", $B957="", $E957="", $F957="", $G957="", $H957=""), "",IF(AND($E957=$G957, $F957=$H957), 3, IF(SIGN($E957-$F957)=SIGN($G957-$H957), 1, 0))))</f>
        <v/>
      </c>
    </row>
    <row r="958">
      <c r="A958" s="5" t="inlineStr"/>
      <c r="B958" s="5" t="inlineStr"/>
      <c r="C958" s="5">
        <f>IF($B958="","",VLOOKUP($B958,Jogos!$A$2:$K$105,8,FALSE))</f>
        <v/>
      </c>
      <c r="D958" s="5">
        <f>IF($B958="","",VLOOKUP($B958,Jogos!$A$2:$K$105,10,FALSE))</f>
        <v/>
      </c>
      <c r="E958" s="5" t="inlineStr"/>
      <c r="F958" s="5" t="inlineStr"/>
      <c r="G958" s="8">
        <f>IF($B958="","",VLOOKUP($B958,Jogos!$A$2:$K$105,9,FALSE))</f>
        <v/>
      </c>
      <c r="H958" s="8">
        <f>IF($B958="","",VLOOKUP($B958,Jogos!$A$2:$K$105,11,FALSE))</f>
        <v/>
      </c>
      <c r="I958" s="5">
        <f>IF(OR($A958="", $B958="", $E958="", $F958="", $G958="", $H958=""), "",IF(AND($E958=$G958, $F958=$H958), 3, IF(SIGN($E958-$F958)=SIGN($G958-$H958), 1, 0))))</f>
        <v/>
      </c>
    </row>
    <row r="959">
      <c r="A959" s="5" t="inlineStr"/>
      <c r="B959" s="5" t="inlineStr"/>
      <c r="C959" s="5">
        <f>IF($B959="","",VLOOKUP($B959,Jogos!$A$2:$K$105,8,FALSE))</f>
        <v/>
      </c>
      <c r="D959" s="5">
        <f>IF($B959="","",VLOOKUP($B959,Jogos!$A$2:$K$105,10,FALSE))</f>
        <v/>
      </c>
      <c r="E959" s="5" t="inlineStr"/>
      <c r="F959" s="5" t="inlineStr"/>
      <c r="G959" s="8">
        <f>IF($B959="","",VLOOKUP($B959,Jogos!$A$2:$K$105,9,FALSE))</f>
        <v/>
      </c>
      <c r="H959" s="8">
        <f>IF($B959="","",VLOOKUP($B959,Jogos!$A$2:$K$105,11,FALSE))</f>
        <v/>
      </c>
      <c r="I959" s="5">
        <f>IF(OR($A959="", $B959="", $E959="", $F959="", $G959="", $H959=""), "",IF(AND($E959=$G959, $F959=$H959), 3, IF(SIGN($E959-$F959)=SIGN($G959-$H959), 1, 0))))</f>
        <v/>
      </c>
    </row>
    <row r="960">
      <c r="A960" s="5" t="inlineStr"/>
      <c r="B960" s="5" t="inlineStr"/>
      <c r="C960" s="5">
        <f>IF($B960="","",VLOOKUP($B960,Jogos!$A$2:$K$105,8,FALSE))</f>
        <v/>
      </c>
      <c r="D960" s="5">
        <f>IF($B960="","",VLOOKUP($B960,Jogos!$A$2:$K$105,10,FALSE))</f>
        <v/>
      </c>
      <c r="E960" s="5" t="inlineStr"/>
      <c r="F960" s="5" t="inlineStr"/>
      <c r="G960" s="8">
        <f>IF($B960="","",VLOOKUP($B960,Jogos!$A$2:$K$105,9,FALSE))</f>
        <v/>
      </c>
      <c r="H960" s="8">
        <f>IF($B960="","",VLOOKUP($B960,Jogos!$A$2:$K$105,11,FALSE))</f>
        <v/>
      </c>
      <c r="I960" s="5">
        <f>IF(OR($A960="", $B960="", $E960="", $F960="", $G960="", $H960=""), "",IF(AND($E960=$G960, $F960=$H960), 3, IF(SIGN($E960-$F960)=SIGN($G960-$H960), 1, 0))))</f>
        <v/>
      </c>
    </row>
    <row r="961">
      <c r="A961" s="5" t="inlineStr"/>
      <c r="B961" s="5" t="inlineStr"/>
      <c r="C961" s="5">
        <f>IF($B961="","",VLOOKUP($B961,Jogos!$A$2:$K$105,8,FALSE))</f>
        <v/>
      </c>
      <c r="D961" s="5">
        <f>IF($B961="","",VLOOKUP($B961,Jogos!$A$2:$K$105,10,FALSE))</f>
        <v/>
      </c>
      <c r="E961" s="5" t="inlineStr"/>
      <c r="F961" s="5" t="inlineStr"/>
      <c r="G961" s="8">
        <f>IF($B961="","",VLOOKUP($B961,Jogos!$A$2:$K$105,9,FALSE))</f>
        <v/>
      </c>
      <c r="H961" s="8">
        <f>IF($B961="","",VLOOKUP($B961,Jogos!$A$2:$K$105,11,FALSE))</f>
        <v/>
      </c>
      <c r="I961" s="5">
        <f>IF(OR($A961="", $B961="", $E961="", $F961="", $G961="", $H961=""), "",IF(AND($E961=$G961, $F961=$H961), 3, IF(SIGN($E961-$F961)=SIGN($G961-$H961), 1, 0))))</f>
        <v/>
      </c>
    </row>
    <row r="962">
      <c r="A962" s="5" t="inlineStr"/>
      <c r="B962" s="5" t="inlineStr"/>
      <c r="C962" s="5">
        <f>IF($B962="","",VLOOKUP($B962,Jogos!$A$2:$K$105,8,FALSE))</f>
        <v/>
      </c>
      <c r="D962" s="5">
        <f>IF($B962="","",VLOOKUP($B962,Jogos!$A$2:$K$105,10,FALSE))</f>
        <v/>
      </c>
      <c r="E962" s="5" t="inlineStr"/>
      <c r="F962" s="5" t="inlineStr"/>
      <c r="G962" s="8">
        <f>IF($B962="","",VLOOKUP($B962,Jogos!$A$2:$K$105,9,FALSE))</f>
        <v/>
      </c>
      <c r="H962" s="8">
        <f>IF($B962="","",VLOOKUP($B962,Jogos!$A$2:$K$105,11,FALSE))</f>
        <v/>
      </c>
      <c r="I962" s="5">
        <f>IF(OR($A962="", $B962="", $E962="", $F962="", $G962="", $H962=""), "",IF(AND($E962=$G962, $F962=$H962), 3, IF(SIGN($E962-$F962)=SIGN($G962-$H962), 1, 0))))</f>
        <v/>
      </c>
    </row>
    <row r="963">
      <c r="A963" s="5" t="inlineStr"/>
      <c r="B963" s="5" t="inlineStr"/>
      <c r="C963" s="5">
        <f>IF($B963="","",VLOOKUP($B963,Jogos!$A$2:$K$105,8,FALSE))</f>
        <v/>
      </c>
      <c r="D963" s="5">
        <f>IF($B963="","",VLOOKUP($B963,Jogos!$A$2:$K$105,10,FALSE))</f>
        <v/>
      </c>
      <c r="E963" s="5" t="inlineStr"/>
      <c r="F963" s="5" t="inlineStr"/>
      <c r="G963" s="8">
        <f>IF($B963="","",VLOOKUP($B963,Jogos!$A$2:$K$105,9,FALSE))</f>
        <v/>
      </c>
      <c r="H963" s="8">
        <f>IF($B963="","",VLOOKUP($B963,Jogos!$A$2:$K$105,11,FALSE))</f>
        <v/>
      </c>
      <c r="I963" s="5">
        <f>IF(OR($A963="", $B963="", $E963="", $F963="", $G963="", $H963=""), "",IF(AND($E963=$G963, $F963=$H963), 3, IF(SIGN($E963-$F963)=SIGN($G963-$H963), 1, 0))))</f>
        <v/>
      </c>
    </row>
    <row r="964">
      <c r="A964" s="5" t="inlineStr"/>
      <c r="B964" s="5" t="inlineStr"/>
      <c r="C964" s="5">
        <f>IF($B964="","",VLOOKUP($B964,Jogos!$A$2:$K$105,8,FALSE))</f>
        <v/>
      </c>
      <c r="D964" s="5">
        <f>IF($B964="","",VLOOKUP($B964,Jogos!$A$2:$K$105,10,FALSE))</f>
        <v/>
      </c>
      <c r="E964" s="5" t="inlineStr"/>
      <c r="F964" s="5" t="inlineStr"/>
      <c r="G964" s="8">
        <f>IF($B964="","",VLOOKUP($B964,Jogos!$A$2:$K$105,9,FALSE))</f>
        <v/>
      </c>
      <c r="H964" s="8">
        <f>IF($B964="","",VLOOKUP($B964,Jogos!$A$2:$K$105,11,FALSE))</f>
        <v/>
      </c>
      <c r="I964" s="5">
        <f>IF(OR($A964="", $B964="", $E964="", $F964="", $G964="", $H964=""), "",IF(AND($E964=$G964, $F964=$H964), 3, IF(SIGN($E964-$F964)=SIGN($G964-$H964), 1, 0))))</f>
        <v/>
      </c>
    </row>
    <row r="965">
      <c r="A965" s="5" t="inlineStr"/>
      <c r="B965" s="5" t="inlineStr"/>
      <c r="C965" s="5">
        <f>IF($B965="","",VLOOKUP($B965,Jogos!$A$2:$K$105,8,FALSE))</f>
        <v/>
      </c>
      <c r="D965" s="5">
        <f>IF($B965="","",VLOOKUP($B965,Jogos!$A$2:$K$105,10,FALSE))</f>
        <v/>
      </c>
      <c r="E965" s="5" t="inlineStr"/>
      <c r="F965" s="5" t="inlineStr"/>
      <c r="G965" s="8">
        <f>IF($B965="","",VLOOKUP($B965,Jogos!$A$2:$K$105,9,FALSE))</f>
        <v/>
      </c>
      <c r="H965" s="8">
        <f>IF($B965="","",VLOOKUP($B965,Jogos!$A$2:$K$105,11,FALSE))</f>
        <v/>
      </c>
      <c r="I965" s="5">
        <f>IF(OR($A965="", $B965="", $E965="", $F965="", $G965="", $H965=""), "",IF(AND($E965=$G965, $F965=$H965), 3, IF(SIGN($E965-$F965)=SIGN($G965-$H965), 1, 0))))</f>
        <v/>
      </c>
    </row>
    <row r="966">
      <c r="A966" s="5" t="inlineStr"/>
      <c r="B966" s="5" t="inlineStr"/>
      <c r="C966" s="5">
        <f>IF($B966="","",VLOOKUP($B966,Jogos!$A$2:$K$105,8,FALSE))</f>
        <v/>
      </c>
      <c r="D966" s="5">
        <f>IF($B966="","",VLOOKUP($B966,Jogos!$A$2:$K$105,10,FALSE))</f>
        <v/>
      </c>
      <c r="E966" s="5" t="inlineStr"/>
      <c r="F966" s="5" t="inlineStr"/>
      <c r="G966" s="8">
        <f>IF($B966="","",VLOOKUP($B966,Jogos!$A$2:$K$105,9,FALSE))</f>
        <v/>
      </c>
      <c r="H966" s="8">
        <f>IF($B966="","",VLOOKUP($B966,Jogos!$A$2:$K$105,11,FALSE))</f>
        <v/>
      </c>
      <c r="I966" s="5">
        <f>IF(OR($A966="", $B966="", $E966="", $F966="", $G966="", $H966=""), "",IF(AND($E966=$G966, $F966=$H966), 3, IF(SIGN($E966-$F966)=SIGN($G966-$H966), 1, 0))))</f>
        <v/>
      </c>
    </row>
    <row r="967">
      <c r="A967" s="5" t="inlineStr"/>
      <c r="B967" s="5" t="inlineStr"/>
      <c r="C967" s="5">
        <f>IF($B967="","",VLOOKUP($B967,Jogos!$A$2:$K$105,8,FALSE))</f>
        <v/>
      </c>
      <c r="D967" s="5">
        <f>IF($B967="","",VLOOKUP($B967,Jogos!$A$2:$K$105,10,FALSE))</f>
        <v/>
      </c>
      <c r="E967" s="5" t="inlineStr"/>
      <c r="F967" s="5" t="inlineStr"/>
      <c r="G967" s="8">
        <f>IF($B967="","",VLOOKUP($B967,Jogos!$A$2:$K$105,9,FALSE))</f>
        <v/>
      </c>
      <c r="H967" s="8">
        <f>IF($B967="","",VLOOKUP($B967,Jogos!$A$2:$K$105,11,FALSE))</f>
        <v/>
      </c>
      <c r="I967" s="5">
        <f>IF(OR($A967="", $B967="", $E967="", $F967="", $G967="", $H967=""), "",IF(AND($E967=$G967, $F967=$H967), 3, IF(SIGN($E967-$F967)=SIGN($G967-$H967), 1, 0))))</f>
        <v/>
      </c>
    </row>
    <row r="968">
      <c r="A968" s="5" t="inlineStr"/>
      <c r="B968" s="5" t="inlineStr"/>
      <c r="C968" s="5">
        <f>IF($B968="","",VLOOKUP($B968,Jogos!$A$2:$K$105,8,FALSE))</f>
        <v/>
      </c>
      <c r="D968" s="5">
        <f>IF($B968="","",VLOOKUP($B968,Jogos!$A$2:$K$105,10,FALSE))</f>
        <v/>
      </c>
      <c r="E968" s="5" t="inlineStr"/>
      <c r="F968" s="5" t="inlineStr"/>
      <c r="G968" s="8">
        <f>IF($B968="","",VLOOKUP($B968,Jogos!$A$2:$K$105,9,FALSE))</f>
        <v/>
      </c>
      <c r="H968" s="8">
        <f>IF($B968="","",VLOOKUP($B968,Jogos!$A$2:$K$105,11,FALSE))</f>
        <v/>
      </c>
      <c r="I968" s="5">
        <f>IF(OR($A968="", $B968="", $E968="", $F968="", $G968="", $H968=""), "",IF(AND($E968=$G968, $F968=$H968), 3, IF(SIGN($E968-$F968)=SIGN($G968-$H968), 1, 0))))</f>
        <v/>
      </c>
    </row>
    <row r="969">
      <c r="A969" s="5" t="inlineStr"/>
      <c r="B969" s="5" t="inlineStr"/>
      <c r="C969" s="5">
        <f>IF($B969="","",VLOOKUP($B969,Jogos!$A$2:$K$105,8,FALSE))</f>
        <v/>
      </c>
      <c r="D969" s="5">
        <f>IF($B969="","",VLOOKUP($B969,Jogos!$A$2:$K$105,10,FALSE))</f>
        <v/>
      </c>
      <c r="E969" s="5" t="inlineStr"/>
      <c r="F969" s="5" t="inlineStr"/>
      <c r="G969" s="8">
        <f>IF($B969="","",VLOOKUP($B969,Jogos!$A$2:$K$105,9,FALSE))</f>
        <v/>
      </c>
      <c r="H969" s="8">
        <f>IF($B969="","",VLOOKUP($B969,Jogos!$A$2:$K$105,11,FALSE))</f>
        <v/>
      </c>
      <c r="I969" s="5">
        <f>IF(OR($A969="", $B969="", $E969="", $F969="", $G969="", $H969=""), "",IF(AND($E969=$G969, $F969=$H969), 3, IF(SIGN($E969-$F969)=SIGN($G969-$H969), 1, 0))))</f>
        <v/>
      </c>
    </row>
    <row r="970">
      <c r="A970" s="5" t="inlineStr"/>
      <c r="B970" s="5" t="inlineStr"/>
      <c r="C970" s="5">
        <f>IF($B970="","",VLOOKUP($B970,Jogos!$A$2:$K$105,8,FALSE))</f>
        <v/>
      </c>
      <c r="D970" s="5">
        <f>IF($B970="","",VLOOKUP($B970,Jogos!$A$2:$K$105,10,FALSE))</f>
        <v/>
      </c>
      <c r="E970" s="5" t="inlineStr"/>
      <c r="F970" s="5" t="inlineStr"/>
      <c r="G970" s="8">
        <f>IF($B970="","",VLOOKUP($B970,Jogos!$A$2:$K$105,9,FALSE))</f>
        <v/>
      </c>
      <c r="H970" s="8">
        <f>IF($B970="","",VLOOKUP($B970,Jogos!$A$2:$K$105,11,FALSE))</f>
        <v/>
      </c>
      <c r="I970" s="5">
        <f>IF(OR($A970="", $B970="", $E970="", $F970="", $G970="", $H970=""), "",IF(AND($E970=$G970, $F970=$H970), 3, IF(SIGN($E970-$F970)=SIGN($G970-$H970), 1, 0))))</f>
        <v/>
      </c>
    </row>
    <row r="971">
      <c r="A971" s="5" t="inlineStr"/>
      <c r="B971" s="5" t="inlineStr"/>
      <c r="C971" s="5">
        <f>IF($B971="","",VLOOKUP($B971,Jogos!$A$2:$K$105,8,FALSE))</f>
        <v/>
      </c>
      <c r="D971" s="5">
        <f>IF($B971="","",VLOOKUP($B971,Jogos!$A$2:$K$105,10,FALSE))</f>
        <v/>
      </c>
      <c r="E971" s="5" t="inlineStr"/>
      <c r="F971" s="5" t="inlineStr"/>
      <c r="G971" s="8">
        <f>IF($B971="","",VLOOKUP($B971,Jogos!$A$2:$K$105,9,FALSE))</f>
        <v/>
      </c>
      <c r="H971" s="8">
        <f>IF($B971="","",VLOOKUP($B971,Jogos!$A$2:$K$105,11,FALSE))</f>
        <v/>
      </c>
      <c r="I971" s="5">
        <f>IF(OR($A971="", $B971="", $E971="", $F971="", $G971="", $H971=""), "",IF(AND($E971=$G971, $F971=$H971), 3, IF(SIGN($E971-$F971)=SIGN($G971-$H971), 1, 0))))</f>
        <v/>
      </c>
    </row>
    <row r="972">
      <c r="A972" s="5" t="inlineStr"/>
      <c r="B972" s="5" t="inlineStr"/>
      <c r="C972" s="5">
        <f>IF($B972="","",VLOOKUP($B972,Jogos!$A$2:$K$105,8,FALSE))</f>
        <v/>
      </c>
      <c r="D972" s="5">
        <f>IF($B972="","",VLOOKUP($B972,Jogos!$A$2:$K$105,10,FALSE))</f>
        <v/>
      </c>
      <c r="E972" s="5" t="inlineStr"/>
      <c r="F972" s="5" t="inlineStr"/>
      <c r="G972" s="8">
        <f>IF($B972="","",VLOOKUP($B972,Jogos!$A$2:$K$105,9,FALSE))</f>
        <v/>
      </c>
      <c r="H972" s="8">
        <f>IF($B972="","",VLOOKUP($B972,Jogos!$A$2:$K$105,11,FALSE))</f>
        <v/>
      </c>
      <c r="I972" s="5">
        <f>IF(OR($A972="", $B972="", $E972="", $F972="", $G972="", $H972=""), "",IF(AND($E972=$G972, $F972=$H972), 3, IF(SIGN($E972-$F972)=SIGN($G972-$H972), 1, 0))))</f>
        <v/>
      </c>
    </row>
    <row r="973">
      <c r="A973" s="5" t="inlineStr"/>
      <c r="B973" s="5" t="inlineStr"/>
      <c r="C973" s="5">
        <f>IF($B973="","",VLOOKUP($B973,Jogos!$A$2:$K$105,8,FALSE))</f>
        <v/>
      </c>
      <c r="D973" s="5">
        <f>IF($B973="","",VLOOKUP($B973,Jogos!$A$2:$K$105,10,FALSE))</f>
        <v/>
      </c>
      <c r="E973" s="5" t="inlineStr"/>
      <c r="F973" s="5" t="inlineStr"/>
      <c r="G973" s="8">
        <f>IF($B973="","",VLOOKUP($B973,Jogos!$A$2:$K$105,9,FALSE))</f>
        <v/>
      </c>
      <c r="H973" s="8">
        <f>IF($B973="","",VLOOKUP($B973,Jogos!$A$2:$K$105,11,FALSE))</f>
        <v/>
      </c>
      <c r="I973" s="5">
        <f>IF(OR($A973="", $B973="", $E973="", $F973="", $G973="", $H973=""), "",IF(AND($E973=$G973, $F973=$H973), 3, IF(SIGN($E973-$F973)=SIGN($G973-$H973), 1, 0))))</f>
        <v/>
      </c>
    </row>
    <row r="974">
      <c r="A974" s="5" t="inlineStr"/>
      <c r="B974" s="5" t="inlineStr"/>
      <c r="C974" s="5">
        <f>IF($B974="","",VLOOKUP($B974,Jogos!$A$2:$K$105,8,FALSE))</f>
        <v/>
      </c>
      <c r="D974" s="5">
        <f>IF($B974="","",VLOOKUP($B974,Jogos!$A$2:$K$105,10,FALSE))</f>
        <v/>
      </c>
      <c r="E974" s="5" t="inlineStr"/>
      <c r="F974" s="5" t="inlineStr"/>
      <c r="G974" s="8">
        <f>IF($B974="","",VLOOKUP($B974,Jogos!$A$2:$K$105,9,FALSE))</f>
        <v/>
      </c>
      <c r="H974" s="8">
        <f>IF($B974="","",VLOOKUP($B974,Jogos!$A$2:$K$105,11,FALSE))</f>
        <v/>
      </c>
      <c r="I974" s="5">
        <f>IF(OR($A974="", $B974="", $E974="", $F974="", $G974="", $H974=""), "",IF(AND($E974=$G974, $F974=$H974), 3, IF(SIGN($E974-$F974)=SIGN($G974-$H974), 1, 0))))</f>
        <v/>
      </c>
    </row>
    <row r="975">
      <c r="A975" s="5" t="inlineStr"/>
      <c r="B975" s="5" t="inlineStr"/>
      <c r="C975" s="5">
        <f>IF($B975="","",VLOOKUP($B975,Jogos!$A$2:$K$105,8,FALSE))</f>
        <v/>
      </c>
      <c r="D975" s="5">
        <f>IF($B975="","",VLOOKUP($B975,Jogos!$A$2:$K$105,10,FALSE))</f>
        <v/>
      </c>
      <c r="E975" s="5" t="inlineStr"/>
      <c r="F975" s="5" t="inlineStr"/>
      <c r="G975" s="8">
        <f>IF($B975="","",VLOOKUP($B975,Jogos!$A$2:$K$105,9,FALSE))</f>
        <v/>
      </c>
      <c r="H975" s="8">
        <f>IF($B975="","",VLOOKUP($B975,Jogos!$A$2:$K$105,11,FALSE))</f>
        <v/>
      </c>
      <c r="I975" s="5">
        <f>IF(OR($A975="", $B975="", $E975="", $F975="", $G975="", $H975=""), "",IF(AND($E975=$G975, $F975=$H975), 3, IF(SIGN($E975-$F975)=SIGN($G975-$H975), 1, 0))))</f>
        <v/>
      </c>
    </row>
    <row r="976">
      <c r="A976" s="5" t="inlineStr"/>
      <c r="B976" s="5" t="inlineStr"/>
      <c r="C976" s="5">
        <f>IF($B976="","",VLOOKUP($B976,Jogos!$A$2:$K$105,8,FALSE))</f>
        <v/>
      </c>
      <c r="D976" s="5">
        <f>IF($B976="","",VLOOKUP($B976,Jogos!$A$2:$K$105,10,FALSE))</f>
        <v/>
      </c>
      <c r="E976" s="5" t="inlineStr"/>
      <c r="F976" s="5" t="inlineStr"/>
      <c r="G976" s="8">
        <f>IF($B976="","",VLOOKUP($B976,Jogos!$A$2:$K$105,9,FALSE))</f>
        <v/>
      </c>
      <c r="H976" s="8">
        <f>IF($B976="","",VLOOKUP($B976,Jogos!$A$2:$K$105,11,FALSE))</f>
        <v/>
      </c>
      <c r="I976" s="5">
        <f>IF(OR($A976="", $B976="", $E976="", $F976="", $G976="", $H976=""), "",IF(AND($E976=$G976, $F976=$H976), 3, IF(SIGN($E976-$F976)=SIGN($G976-$H976), 1, 0))))</f>
        <v/>
      </c>
    </row>
    <row r="977">
      <c r="A977" s="5" t="inlineStr"/>
      <c r="B977" s="5" t="inlineStr"/>
      <c r="C977" s="5">
        <f>IF($B977="","",VLOOKUP($B977,Jogos!$A$2:$K$105,8,FALSE))</f>
        <v/>
      </c>
      <c r="D977" s="5">
        <f>IF($B977="","",VLOOKUP($B977,Jogos!$A$2:$K$105,10,FALSE))</f>
        <v/>
      </c>
      <c r="E977" s="5" t="inlineStr"/>
      <c r="F977" s="5" t="inlineStr"/>
      <c r="G977" s="8">
        <f>IF($B977="","",VLOOKUP($B977,Jogos!$A$2:$K$105,9,FALSE))</f>
        <v/>
      </c>
      <c r="H977" s="8">
        <f>IF($B977="","",VLOOKUP($B977,Jogos!$A$2:$K$105,11,FALSE))</f>
        <v/>
      </c>
      <c r="I977" s="5">
        <f>IF(OR($A977="", $B977="", $E977="", $F977="", $G977="", $H977=""), "",IF(AND($E977=$G977, $F977=$H977), 3, IF(SIGN($E977-$F977)=SIGN($G977-$H977), 1, 0))))</f>
        <v/>
      </c>
    </row>
    <row r="978">
      <c r="A978" s="5" t="inlineStr"/>
      <c r="B978" s="5" t="inlineStr"/>
      <c r="C978" s="5">
        <f>IF($B978="","",VLOOKUP($B978,Jogos!$A$2:$K$105,8,FALSE))</f>
        <v/>
      </c>
      <c r="D978" s="5">
        <f>IF($B978="","",VLOOKUP($B978,Jogos!$A$2:$K$105,10,FALSE))</f>
        <v/>
      </c>
      <c r="E978" s="5" t="inlineStr"/>
      <c r="F978" s="5" t="inlineStr"/>
      <c r="G978" s="8">
        <f>IF($B978="","",VLOOKUP($B978,Jogos!$A$2:$K$105,9,FALSE))</f>
        <v/>
      </c>
      <c r="H978" s="8">
        <f>IF($B978="","",VLOOKUP($B978,Jogos!$A$2:$K$105,11,FALSE))</f>
        <v/>
      </c>
      <c r="I978" s="5">
        <f>IF(OR($A978="", $B978="", $E978="", $F978="", $G978="", $H978=""), "",IF(AND($E978=$G978, $F978=$H978), 3, IF(SIGN($E978-$F978)=SIGN($G978-$H978), 1, 0))))</f>
        <v/>
      </c>
    </row>
    <row r="979">
      <c r="A979" s="5" t="inlineStr"/>
      <c r="B979" s="5" t="inlineStr"/>
      <c r="C979" s="5">
        <f>IF($B979="","",VLOOKUP($B979,Jogos!$A$2:$K$105,8,FALSE))</f>
        <v/>
      </c>
      <c r="D979" s="5">
        <f>IF($B979="","",VLOOKUP($B979,Jogos!$A$2:$K$105,10,FALSE))</f>
        <v/>
      </c>
      <c r="E979" s="5" t="inlineStr"/>
      <c r="F979" s="5" t="inlineStr"/>
      <c r="G979" s="8">
        <f>IF($B979="","",VLOOKUP($B979,Jogos!$A$2:$K$105,9,FALSE))</f>
        <v/>
      </c>
      <c r="H979" s="8">
        <f>IF($B979="","",VLOOKUP($B979,Jogos!$A$2:$K$105,11,FALSE))</f>
        <v/>
      </c>
      <c r="I979" s="5">
        <f>IF(OR($A979="", $B979="", $E979="", $F979="", $G979="", $H979=""), "",IF(AND($E979=$G979, $F979=$H979), 3, IF(SIGN($E979-$F979)=SIGN($G979-$H979), 1, 0))))</f>
        <v/>
      </c>
    </row>
    <row r="980">
      <c r="A980" s="5" t="inlineStr"/>
      <c r="B980" s="5" t="inlineStr"/>
      <c r="C980" s="5">
        <f>IF($B980="","",VLOOKUP($B980,Jogos!$A$2:$K$105,8,FALSE))</f>
        <v/>
      </c>
      <c r="D980" s="5">
        <f>IF($B980="","",VLOOKUP($B980,Jogos!$A$2:$K$105,10,FALSE))</f>
        <v/>
      </c>
      <c r="E980" s="5" t="inlineStr"/>
      <c r="F980" s="5" t="inlineStr"/>
      <c r="G980" s="8">
        <f>IF($B980="","",VLOOKUP($B980,Jogos!$A$2:$K$105,9,FALSE))</f>
        <v/>
      </c>
      <c r="H980" s="8">
        <f>IF($B980="","",VLOOKUP($B980,Jogos!$A$2:$K$105,11,FALSE))</f>
        <v/>
      </c>
      <c r="I980" s="5">
        <f>IF(OR($A980="", $B980="", $E980="", $F980="", $G980="", $H980=""), "",IF(AND($E980=$G980, $F980=$H980), 3, IF(SIGN($E980-$F980)=SIGN($G980-$H980), 1, 0))))</f>
        <v/>
      </c>
    </row>
    <row r="981">
      <c r="A981" s="5" t="inlineStr"/>
      <c r="B981" s="5" t="inlineStr"/>
      <c r="C981" s="5">
        <f>IF($B981="","",VLOOKUP($B981,Jogos!$A$2:$K$105,8,FALSE))</f>
        <v/>
      </c>
      <c r="D981" s="5">
        <f>IF($B981="","",VLOOKUP($B981,Jogos!$A$2:$K$105,10,FALSE))</f>
        <v/>
      </c>
      <c r="E981" s="5" t="inlineStr"/>
      <c r="F981" s="5" t="inlineStr"/>
      <c r="G981" s="8">
        <f>IF($B981="","",VLOOKUP($B981,Jogos!$A$2:$K$105,9,FALSE))</f>
        <v/>
      </c>
      <c r="H981" s="8">
        <f>IF($B981="","",VLOOKUP($B981,Jogos!$A$2:$K$105,11,FALSE))</f>
        <v/>
      </c>
      <c r="I981" s="5">
        <f>IF(OR($A981="", $B981="", $E981="", $F981="", $G981="", $H981=""), "",IF(AND($E981=$G981, $F981=$H981), 3, IF(SIGN($E981-$F981)=SIGN($G981-$H981), 1, 0))))</f>
        <v/>
      </c>
    </row>
    <row r="982">
      <c r="A982" s="5" t="inlineStr"/>
      <c r="B982" s="5" t="inlineStr"/>
      <c r="C982" s="5">
        <f>IF($B982="","",VLOOKUP($B982,Jogos!$A$2:$K$105,8,FALSE))</f>
        <v/>
      </c>
      <c r="D982" s="5">
        <f>IF($B982="","",VLOOKUP($B982,Jogos!$A$2:$K$105,10,FALSE))</f>
        <v/>
      </c>
      <c r="E982" s="5" t="inlineStr"/>
      <c r="F982" s="5" t="inlineStr"/>
      <c r="G982" s="8">
        <f>IF($B982="","",VLOOKUP($B982,Jogos!$A$2:$K$105,9,FALSE))</f>
        <v/>
      </c>
      <c r="H982" s="8">
        <f>IF($B982="","",VLOOKUP($B982,Jogos!$A$2:$K$105,11,FALSE))</f>
        <v/>
      </c>
      <c r="I982" s="5">
        <f>IF(OR($A982="", $B982="", $E982="", $F982="", $G982="", $H982=""), "",IF(AND($E982=$G982, $F982=$H982), 3, IF(SIGN($E982-$F982)=SIGN($G982-$H982), 1, 0))))</f>
        <v/>
      </c>
    </row>
    <row r="983">
      <c r="A983" s="5" t="inlineStr"/>
      <c r="B983" s="5" t="inlineStr"/>
      <c r="C983" s="5">
        <f>IF($B983="","",VLOOKUP($B983,Jogos!$A$2:$K$105,8,FALSE))</f>
        <v/>
      </c>
      <c r="D983" s="5">
        <f>IF($B983="","",VLOOKUP($B983,Jogos!$A$2:$K$105,10,FALSE))</f>
        <v/>
      </c>
      <c r="E983" s="5" t="inlineStr"/>
      <c r="F983" s="5" t="inlineStr"/>
      <c r="G983" s="8">
        <f>IF($B983="","",VLOOKUP($B983,Jogos!$A$2:$K$105,9,FALSE))</f>
        <v/>
      </c>
      <c r="H983" s="8">
        <f>IF($B983="","",VLOOKUP($B983,Jogos!$A$2:$K$105,11,FALSE))</f>
        <v/>
      </c>
      <c r="I983" s="5">
        <f>IF(OR($A983="", $B983="", $E983="", $F983="", $G983="", $H983=""), "",IF(AND($E983=$G983, $F983=$H983), 3, IF(SIGN($E983-$F983)=SIGN($G983-$H983), 1, 0))))</f>
        <v/>
      </c>
    </row>
    <row r="984">
      <c r="A984" s="5" t="inlineStr"/>
      <c r="B984" s="5" t="inlineStr"/>
      <c r="C984" s="5">
        <f>IF($B984="","",VLOOKUP($B984,Jogos!$A$2:$K$105,8,FALSE))</f>
        <v/>
      </c>
      <c r="D984" s="5">
        <f>IF($B984="","",VLOOKUP($B984,Jogos!$A$2:$K$105,10,FALSE))</f>
        <v/>
      </c>
      <c r="E984" s="5" t="inlineStr"/>
      <c r="F984" s="5" t="inlineStr"/>
      <c r="G984" s="8">
        <f>IF($B984="","",VLOOKUP($B984,Jogos!$A$2:$K$105,9,FALSE))</f>
        <v/>
      </c>
      <c r="H984" s="8">
        <f>IF($B984="","",VLOOKUP($B984,Jogos!$A$2:$K$105,11,FALSE))</f>
        <v/>
      </c>
      <c r="I984" s="5">
        <f>IF(OR($A984="", $B984="", $E984="", $F984="", $G984="", $H984=""), "",IF(AND($E984=$G984, $F984=$H984), 3, IF(SIGN($E984-$F984)=SIGN($G984-$H984), 1, 0))))</f>
        <v/>
      </c>
    </row>
    <row r="985">
      <c r="A985" s="5" t="inlineStr"/>
      <c r="B985" s="5" t="inlineStr"/>
      <c r="C985" s="5">
        <f>IF($B985="","",VLOOKUP($B985,Jogos!$A$2:$K$105,8,FALSE))</f>
        <v/>
      </c>
      <c r="D985" s="5">
        <f>IF($B985="","",VLOOKUP($B985,Jogos!$A$2:$K$105,10,FALSE))</f>
        <v/>
      </c>
      <c r="E985" s="5" t="inlineStr"/>
      <c r="F985" s="5" t="inlineStr"/>
      <c r="G985" s="8">
        <f>IF($B985="","",VLOOKUP($B985,Jogos!$A$2:$K$105,9,FALSE))</f>
        <v/>
      </c>
      <c r="H985" s="8">
        <f>IF($B985="","",VLOOKUP($B985,Jogos!$A$2:$K$105,11,FALSE))</f>
        <v/>
      </c>
      <c r="I985" s="5">
        <f>IF(OR($A985="", $B985="", $E985="", $F985="", $G985="", $H985=""), "",IF(AND($E985=$G985, $F985=$H985), 3, IF(SIGN($E985-$F985)=SIGN($G985-$H985), 1, 0))))</f>
        <v/>
      </c>
    </row>
    <row r="986">
      <c r="A986" s="5" t="inlineStr"/>
      <c r="B986" s="5" t="inlineStr"/>
      <c r="C986" s="5">
        <f>IF($B986="","",VLOOKUP($B986,Jogos!$A$2:$K$105,8,FALSE))</f>
        <v/>
      </c>
      <c r="D986" s="5">
        <f>IF($B986="","",VLOOKUP($B986,Jogos!$A$2:$K$105,10,FALSE))</f>
        <v/>
      </c>
      <c r="E986" s="5" t="inlineStr"/>
      <c r="F986" s="5" t="inlineStr"/>
      <c r="G986" s="8">
        <f>IF($B986="","",VLOOKUP($B986,Jogos!$A$2:$K$105,9,FALSE))</f>
        <v/>
      </c>
      <c r="H986" s="8">
        <f>IF($B986="","",VLOOKUP($B986,Jogos!$A$2:$K$105,11,FALSE))</f>
        <v/>
      </c>
      <c r="I986" s="5">
        <f>IF(OR($A986="", $B986="", $E986="", $F986="", $G986="", $H986=""), "",IF(AND($E986=$G986, $F986=$H986), 3, IF(SIGN($E986-$F986)=SIGN($G986-$H986), 1, 0))))</f>
        <v/>
      </c>
    </row>
    <row r="987">
      <c r="A987" s="5" t="inlineStr"/>
      <c r="B987" s="5" t="inlineStr"/>
      <c r="C987" s="5">
        <f>IF($B987="","",VLOOKUP($B987,Jogos!$A$2:$K$105,8,FALSE))</f>
        <v/>
      </c>
      <c r="D987" s="5">
        <f>IF($B987="","",VLOOKUP($B987,Jogos!$A$2:$K$105,10,FALSE))</f>
        <v/>
      </c>
      <c r="E987" s="5" t="inlineStr"/>
      <c r="F987" s="5" t="inlineStr"/>
      <c r="G987" s="8">
        <f>IF($B987="","",VLOOKUP($B987,Jogos!$A$2:$K$105,9,FALSE))</f>
        <v/>
      </c>
      <c r="H987" s="8">
        <f>IF($B987="","",VLOOKUP($B987,Jogos!$A$2:$K$105,11,FALSE))</f>
        <v/>
      </c>
      <c r="I987" s="5">
        <f>IF(OR($A987="", $B987="", $E987="", $F987="", $G987="", $H987=""), "",IF(AND($E987=$G987, $F987=$H987), 3, IF(SIGN($E987-$F987)=SIGN($G987-$H987), 1, 0))))</f>
        <v/>
      </c>
    </row>
    <row r="988">
      <c r="A988" s="5" t="inlineStr"/>
      <c r="B988" s="5" t="inlineStr"/>
      <c r="C988" s="5">
        <f>IF($B988="","",VLOOKUP($B988,Jogos!$A$2:$K$105,8,FALSE))</f>
        <v/>
      </c>
      <c r="D988" s="5">
        <f>IF($B988="","",VLOOKUP($B988,Jogos!$A$2:$K$105,10,FALSE))</f>
        <v/>
      </c>
      <c r="E988" s="5" t="inlineStr"/>
      <c r="F988" s="5" t="inlineStr"/>
      <c r="G988" s="8">
        <f>IF($B988="","",VLOOKUP($B988,Jogos!$A$2:$K$105,9,FALSE))</f>
        <v/>
      </c>
      <c r="H988" s="8">
        <f>IF($B988="","",VLOOKUP($B988,Jogos!$A$2:$K$105,11,FALSE))</f>
        <v/>
      </c>
      <c r="I988" s="5">
        <f>IF(OR($A988="", $B988="", $E988="", $F988="", $G988="", $H988=""), "",IF(AND($E988=$G988, $F988=$H988), 3, IF(SIGN($E988-$F988)=SIGN($G988-$H988), 1, 0))))</f>
        <v/>
      </c>
    </row>
    <row r="989">
      <c r="A989" s="5" t="inlineStr"/>
      <c r="B989" s="5" t="inlineStr"/>
      <c r="C989" s="5">
        <f>IF($B989="","",VLOOKUP($B989,Jogos!$A$2:$K$105,8,FALSE))</f>
        <v/>
      </c>
      <c r="D989" s="5">
        <f>IF($B989="","",VLOOKUP($B989,Jogos!$A$2:$K$105,10,FALSE))</f>
        <v/>
      </c>
      <c r="E989" s="5" t="inlineStr"/>
      <c r="F989" s="5" t="inlineStr"/>
      <c r="G989" s="8">
        <f>IF($B989="","",VLOOKUP($B989,Jogos!$A$2:$K$105,9,FALSE))</f>
        <v/>
      </c>
      <c r="H989" s="8">
        <f>IF($B989="","",VLOOKUP($B989,Jogos!$A$2:$K$105,11,FALSE))</f>
        <v/>
      </c>
      <c r="I989" s="5">
        <f>IF(OR($A989="", $B989="", $E989="", $F989="", $G989="", $H989=""), "",IF(AND($E989=$G989, $F989=$H989), 3, IF(SIGN($E989-$F989)=SIGN($G989-$H989), 1, 0))))</f>
        <v/>
      </c>
    </row>
    <row r="990">
      <c r="A990" s="5" t="inlineStr"/>
      <c r="B990" s="5" t="inlineStr"/>
      <c r="C990" s="5">
        <f>IF($B990="","",VLOOKUP($B990,Jogos!$A$2:$K$105,8,FALSE))</f>
        <v/>
      </c>
      <c r="D990" s="5">
        <f>IF($B990="","",VLOOKUP($B990,Jogos!$A$2:$K$105,10,FALSE))</f>
        <v/>
      </c>
      <c r="E990" s="5" t="inlineStr"/>
      <c r="F990" s="5" t="inlineStr"/>
      <c r="G990" s="8">
        <f>IF($B990="","",VLOOKUP($B990,Jogos!$A$2:$K$105,9,FALSE))</f>
        <v/>
      </c>
      <c r="H990" s="8">
        <f>IF($B990="","",VLOOKUP($B990,Jogos!$A$2:$K$105,11,FALSE))</f>
        <v/>
      </c>
      <c r="I990" s="5">
        <f>IF(OR($A990="", $B990="", $E990="", $F990="", $G990="", $H990=""), "",IF(AND($E990=$G990, $F990=$H990), 3, IF(SIGN($E990-$F990)=SIGN($G990-$H990), 1, 0))))</f>
        <v/>
      </c>
    </row>
    <row r="991">
      <c r="A991" s="5" t="inlineStr"/>
      <c r="B991" s="5" t="inlineStr"/>
      <c r="C991" s="5">
        <f>IF($B991="","",VLOOKUP($B991,Jogos!$A$2:$K$105,8,FALSE))</f>
        <v/>
      </c>
      <c r="D991" s="5">
        <f>IF($B991="","",VLOOKUP($B991,Jogos!$A$2:$K$105,10,FALSE))</f>
        <v/>
      </c>
      <c r="E991" s="5" t="inlineStr"/>
      <c r="F991" s="5" t="inlineStr"/>
      <c r="G991" s="8">
        <f>IF($B991="","",VLOOKUP($B991,Jogos!$A$2:$K$105,9,FALSE))</f>
        <v/>
      </c>
      <c r="H991" s="8">
        <f>IF($B991="","",VLOOKUP($B991,Jogos!$A$2:$K$105,11,FALSE))</f>
        <v/>
      </c>
      <c r="I991" s="5">
        <f>IF(OR($A991="", $B991="", $E991="", $F991="", $G991="", $H991=""), "",IF(AND($E991=$G991, $F991=$H991), 3, IF(SIGN($E991-$F991)=SIGN($G991-$H991), 1, 0))))</f>
        <v/>
      </c>
    </row>
    <row r="992">
      <c r="A992" s="5" t="inlineStr"/>
      <c r="B992" s="5" t="inlineStr"/>
      <c r="C992" s="5">
        <f>IF($B992="","",VLOOKUP($B992,Jogos!$A$2:$K$105,8,FALSE))</f>
        <v/>
      </c>
      <c r="D992" s="5">
        <f>IF($B992="","",VLOOKUP($B992,Jogos!$A$2:$K$105,10,FALSE))</f>
        <v/>
      </c>
      <c r="E992" s="5" t="inlineStr"/>
      <c r="F992" s="5" t="inlineStr"/>
      <c r="G992" s="8">
        <f>IF($B992="","",VLOOKUP($B992,Jogos!$A$2:$K$105,9,FALSE))</f>
        <v/>
      </c>
      <c r="H992" s="8">
        <f>IF($B992="","",VLOOKUP($B992,Jogos!$A$2:$K$105,11,FALSE))</f>
        <v/>
      </c>
      <c r="I992" s="5">
        <f>IF(OR($A992="", $B992="", $E992="", $F992="", $G992="", $H992=""), "",IF(AND($E992=$G992, $F992=$H992), 3, IF(SIGN($E992-$F992)=SIGN($G992-$H992), 1, 0))))</f>
        <v/>
      </c>
    </row>
    <row r="993">
      <c r="A993" s="5" t="inlineStr"/>
      <c r="B993" s="5" t="inlineStr"/>
      <c r="C993" s="5">
        <f>IF($B993="","",VLOOKUP($B993,Jogos!$A$2:$K$105,8,FALSE))</f>
        <v/>
      </c>
      <c r="D993" s="5">
        <f>IF($B993="","",VLOOKUP($B993,Jogos!$A$2:$K$105,10,FALSE))</f>
        <v/>
      </c>
      <c r="E993" s="5" t="inlineStr"/>
      <c r="F993" s="5" t="inlineStr"/>
      <c r="G993" s="8">
        <f>IF($B993="","",VLOOKUP($B993,Jogos!$A$2:$K$105,9,FALSE))</f>
        <v/>
      </c>
      <c r="H993" s="8">
        <f>IF($B993="","",VLOOKUP($B993,Jogos!$A$2:$K$105,11,FALSE))</f>
        <v/>
      </c>
      <c r="I993" s="5">
        <f>IF(OR($A993="", $B993="", $E993="", $F993="", $G993="", $H993=""), "",IF(AND($E993=$G993, $F993=$H993), 3, IF(SIGN($E993-$F993)=SIGN($G993-$H993), 1, 0))))</f>
        <v/>
      </c>
    </row>
    <row r="994">
      <c r="A994" s="5" t="inlineStr"/>
      <c r="B994" s="5" t="inlineStr"/>
      <c r="C994" s="5">
        <f>IF($B994="","",VLOOKUP($B994,Jogos!$A$2:$K$105,8,FALSE))</f>
        <v/>
      </c>
      <c r="D994" s="5">
        <f>IF($B994="","",VLOOKUP($B994,Jogos!$A$2:$K$105,10,FALSE))</f>
        <v/>
      </c>
      <c r="E994" s="5" t="inlineStr"/>
      <c r="F994" s="5" t="inlineStr"/>
      <c r="G994" s="8">
        <f>IF($B994="","",VLOOKUP($B994,Jogos!$A$2:$K$105,9,FALSE))</f>
        <v/>
      </c>
      <c r="H994" s="8">
        <f>IF($B994="","",VLOOKUP($B994,Jogos!$A$2:$K$105,11,FALSE))</f>
        <v/>
      </c>
      <c r="I994" s="5">
        <f>IF(OR($A994="", $B994="", $E994="", $F994="", $G994="", $H994=""), "",IF(AND($E994=$G994, $F994=$H994), 3, IF(SIGN($E994-$F994)=SIGN($G994-$H994), 1, 0))))</f>
        <v/>
      </c>
    </row>
    <row r="995">
      <c r="A995" s="5" t="inlineStr"/>
      <c r="B995" s="5" t="inlineStr"/>
      <c r="C995" s="5">
        <f>IF($B995="","",VLOOKUP($B995,Jogos!$A$2:$K$105,8,FALSE))</f>
        <v/>
      </c>
      <c r="D995" s="5">
        <f>IF($B995="","",VLOOKUP($B995,Jogos!$A$2:$K$105,10,FALSE))</f>
        <v/>
      </c>
      <c r="E995" s="5" t="inlineStr"/>
      <c r="F995" s="5" t="inlineStr"/>
      <c r="G995" s="8">
        <f>IF($B995="","",VLOOKUP($B995,Jogos!$A$2:$K$105,9,FALSE))</f>
        <v/>
      </c>
      <c r="H995" s="8">
        <f>IF($B995="","",VLOOKUP($B995,Jogos!$A$2:$K$105,11,FALSE))</f>
        <v/>
      </c>
      <c r="I995" s="5">
        <f>IF(OR($A995="", $B995="", $E995="", $F995="", $G995="", $H995=""), "",IF(AND($E995=$G995, $F995=$H995), 3, IF(SIGN($E995-$F995)=SIGN($G995-$H995), 1, 0))))</f>
        <v/>
      </c>
    </row>
    <row r="996">
      <c r="A996" s="5" t="inlineStr"/>
      <c r="B996" s="5" t="inlineStr"/>
      <c r="C996" s="5">
        <f>IF($B996="","",VLOOKUP($B996,Jogos!$A$2:$K$105,8,FALSE))</f>
        <v/>
      </c>
      <c r="D996" s="5">
        <f>IF($B996="","",VLOOKUP($B996,Jogos!$A$2:$K$105,10,FALSE))</f>
        <v/>
      </c>
      <c r="E996" s="5" t="inlineStr"/>
      <c r="F996" s="5" t="inlineStr"/>
      <c r="G996" s="8">
        <f>IF($B996="","",VLOOKUP($B996,Jogos!$A$2:$K$105,9,FALSE))</f>
        <v/>
      </c>
      <c r="H996" s="8">
        <f>IF($B996="","",VLOOKUP($B996,Jogos!$A$2:$K$105,11,FALSE))</f>
        <v/>
      </c>
      <c r="I996" s="5">
        <f>IF(OR($A996="", $B996="", $E996="", $F996="", $G996="", $H996=""), "",IF(AND($E996=$G996, $F996=$H996), 3, IF(SIGN($E996-$F996)=SIGN($G996-$H996), 1, 0))))</f>
        <v/>
      </c>
    </row>
    <row r="997">
      <c r="A997" s="5" t="inlineStr"/>
      <c r="B997" s="5" t="inlineStr"/>
      <c r="C997" s="5">
        <f>IF($B997="","",VLOOKUP($B997,Jogos!$A$2:$K$105,8,FALSE))</f>
        <v/>
      </c>
      <c r="D997" s="5">
        <f>IF($B997="","",VLOOKUP($B997,Jogos!$A$2:$K$105,10,FALSE))</f>
        <v/>
      </c>
      <c r="E997" s="5" t="inlineStr"/>
      <c r="F997" s="5" t="inlineStr"/>
      <c r="G997" s="8">
        <f>IF($B997="","",VLOOKUP($B997,Jogos!$A$2:$K$105,9,FALSE))</f>
        <v/>
      </c>
      <c r="H997" s="8">
        <f>IF($B997="","",VLOOKUP($B997,Jogos!$A$2:$K$105,11,FALSE))</f>
        <v/>
      </c>
      <c r="I997" s="5">
        <f>IF(OR($A997="", $B997="", $E997="", $F997="", $G997="", $H997=""), "",IF(AND($E997=$G997, $F997=$H997), 3, IF(SIGN($E997-$F997)=SIGN($G997-$H997), 1, 0))))</f>
        <v/>
      </c>
    </row>
    <row r="998">
      <c r="A998" s="5" t="inlineStr"/>
      <c r="B998" s="5" t="inlineStr"/>
      <c r="C998" s="5">
        <f>IF($B998="","",VLOOKUP($B998,Jogos!$A$2:$K$105,8,FALSE))</f>
        <v/>
      </c>
      <c r="D998" s="5">
        <f>IF($B998="","",VLOOKUP($B998,Jogos!$A$2:$K$105,10,FALSE))</f>
        <v/>
      </c>
      <c r="E998" s="5" t="inlineStr"/>
      <c r="F998" s="5" t="inlineStr"/>
      <c r="G998" s="8">
        <f>IF($B998="","",VLOOKUP($B998,Jogos!$A$2:$K$105,9,FALSE))</f>
        <v/>
      </c>
      <c r="H998" s="8">
        <f>IF($B998="","",VLOOKUP($B998,Jogos!$A$2:$K$105,11,FALSE))</f>
        <v/>
      </c>
      <c r="I998" s="5">
        <f>IF(OR($A998="", $B998="", $E998="", $F998="", $G998="", $H998=""), "",IF(AND($E998=$G998, $F998=$H998), 3, IF(SIGN($E998-$F998)=SIGN($G998-$H998), 1, 0))))</f>
        <v/>
      </c>
    </row>
    <row r="999">
      <c r="A999" s="5" t="inlineStr"/>
      <c r="B999" s="5" t="inlineStr"/>
      <c r="C999" s="5">
        <f>IF($B999="","",VLOOKUP($B999,Jogos!$A$2:$K$105,8,FALSE))</f>
        <v/>
      </c>
      <c r="D999" s="5">
        <f>IF($B999="","",VLOOKUP($B999,Jogos!$A$2:$K$105,10,FALSE))</f>
        <v/>
      </c>
      <c r="E999" s="5" t="inlineStr"/>
      <c r="F999" s="5" t="inlineStr"/>
      <c r="G999" s="8">
        <f>IF($B999="","",VLOOKUP($B999,Jogos!$A$2:$K$105,9,FALSE))</f>
        <v/>
      </c>
      <c r="H999" s="8">
        <f>IF($B999="","",VLOOKUP($B999,Jogos!$A$2:$K$105,11,FALSE))</f>
        <v/>
      </c>
      <c r="I999" s="5">
        <f>IF(OR($A999="", $B999="", $E999="", $F999="", $G999="", $H999=""), "",IF(AND($E999=$G999, $F999=$H999), 3, IF(SIGN($E999-$F999)=SIGN($G999-$H999), 1, 0))))</f>
        <v/>
      </c>
    </row>
    <row r="1000">
      <c r="A1000" s="5" t="inlineStr"/>
      <c r="B1000" s="5" t="inlineStr"/>
      <c r="C1000" s="5">
        <f>IF($B1000="","",VLOOKUP($B1000,Jogos!$A$2:$K$105,8,FALSE))</f>
        <v/>
      </c>
      <c r="D1000" s="5">
        <f>IF($B1000="","",VLOOKUP($B1000,Jogos!$A$2:$K$105,10,FALSE))</f>
        <v/>
      </c>
      <c r="E1000" s="5" t="inlineStr"/>
      <c r="F1000" s="5" t="inlineStr"/>
      <c r="G1000" s="8">
        <f>IF($B1000="","",VLOOKUP($B1000,Jogos!$A$2:$K$105,9,FALSE))</f>
        <v/>
      </c>
      <c r="H1000" s="8">
        <f>IF($B1000="","",VLOOKUP($B1000,Jogos!$A$2:$K$105,11,FALSE))</f>
        <v/>
      </c>
      <c r="I1000" s="5">
        <f>IF(OR($A1000="", $B1000="", $E1000="", $F1000="", $G1000="", $H1000=""), "",IF(AND($E1000=$G1000, $F1000=$H1000), 3, IF(SIGN($E1000-$F1000)=SIGN($G1000-$H1000), 1, 0))))</f>
        <v/>
      </c>
    </row>
    <row r="1001">
      <c r="A1001" s="5" t="inlineStr"/>
      <c r="B1001" s="5" t="inlineStr"/>
      <c r="C1001" s="5">
        <f>IF($B1001="","",VLOOKUP($B1001,Jogos!$A$2:$K$105,8,FALSE))</f>
        <v/>
      </c>
      <c r="D1001" s="5">
        <f>IF($B1001="","",VLOOKUP($B1001,Jogos!$A$2:$K$105,10,FALSE))</f>
        <v/>
      </c>
      <c r="E1001" s="5" t="inlineStr"/>
      <c r="F1001" s="5" t="inlineStr"/>
      <c r="G1001" s="8">
        <f>IF($B1001="","",VLOOKUP($B1001,Jogos!$A$2:$K$105,9,FALSE))</f>
        <v/>
      </c>
      <c r="H1001" s="8">
        <f>IF($B1001="","",VLOOKUP($B1001,Jogos!$A$2:$K$105,11,FALSE))</f>
        <v/>
      </c>
      <c r="I1001" s="5">
        <f>IF(OR($A1001="", $B1001="", $E1001="", $F1001="", $G1001="", $H1001=""), "",IF(AND($E1001=$G1001, $F1001=$H1001), 3, IF(SIGN($E1001-$F1001)=SIGN($G1001-$H1001), 1, 0))))</f>
        <v/>
      </c>
    </row>
    <row r="1002">
      <c r="A1002" s="5" t="inlineStr"/>
      <c r="B1002" s="5" t="inlineStr"/>
      <c r="C1002" s="5">
        <f>IF($B1002="","",VLOOKUP($B1002,Jogos!$A$2:$K$105,8,FALSE))</f>
        <v/>
      </c>
      <c r="D1002" s="5">
        <f>IF($B1002="","",VLOOKUP($B1002,Jogos!$A$2:$K$105,10,FALSE))</f>
        <v/>
      </c>
      <c r="E1002" s="5" t="inlineStr"/>
      <c r="F1002" s="5" t="inlineStr"/>
      <c r="G1002" s="8">
        <f>IF($B1002="","",VLOOKUP($B1002,Jogos!$A$2:$K$105,9,FALSE))</f>
        <v/>
      </c>
      <c r="H1002" s="8">
        <f>IF($B1002="","",VLOOKUP($B1002,Jogos!$A$2:$K$105,11,FALSE))</f>
        <v/>
      </c>
      <c r="I1002" s="5">
        <f>IF(OR($A1002="", $B1002="", $E1002="", $F1002="", $G1002="", $H1002=""), "",IF(AND($E1002=$G1002, $F1002=$H1002), 3, IF(SIGN($E1002-$F1002)=SIGN($G1002-$H1002), 1, 0))))</f>
        <v/>
      </c>
    </row>
    <row r="1003">
      <c r="A1003" s="5" t="inlineStr"/>
      <c r="B1003" s="5" t="inlineStr"/>
      <c r="C1003" s="5">
        <f>IF($B1003="","",VLOOKUP($B1003,Jogos!$A$2:$K$105,8,FALSE))</f>
        <v/>
      </c>
      <c r="D1003" s="5">
        <f>IF($B1003="","",VLOOKUP($B1003,Jogos!$A$2:$K$105,10,FALSE))</f>
        <v/>
      </c>
      <c r="E1003" s="5" t="inlineStr"/>
      <c r="F1003" s="5" t="inlineStr"/>
      <c r="G1003" s="8">
        <f>IF($B1003="","",VLOOKUP($B1003,Jogos!$A$2:$K$105,9,FALSE))</f>
        <v/>
      </c>
      <c r="H1003" s="8">
        <f>IF($B1003="","",VLOOKUP($B1003,Jogos!$A$2:$K$105,11,FALSE))</f>
        <v/>
      </c>
      <c r="I1003" s="5">
        <f>IF(OR($A1003="", $B1003="", $E1003="", $F1003="", $G1003="", $H1003=""), "",IF(AND($E1003=$G1003, $F1003=$H1003), 3, IF(SIGN($E1003-$F1003)=SIGN($G1003-$H1003), 1, 0))))</f>
        <v/>
      </c>
    </row>
    <row r="1004">
      <c r="A1004" s="5" t="inlineStr"/>
      <c r="B1004" s="5" t="inlineStr"/>
      <c r="C1004" s="5">
        <f>IF($B1004="","",VLOOKUP($B1004,Jogos!$A$2:$K$105,8,FALSE))</f>
        <v/>
      </c>
      <c r="D1004" s="5">
        <f>IF($B1004="","",VLOOKUP($B1004,Jogos!$A$2:$K$105,10,FALSE))</f>
        <v/>
      </c>
      <c r="E1004" s="5" t="inlineStr"/>
      <c r="F1004" s="5" t="inlineStr"/>
      <c r="G1004" s="8">
        <f>IF($B1004="","",VLOOKUP($B1004,Jogos!$A$2:$K$105,9,FALSE))</f>
        <v/>
      </c>
      <c r="H1004" s="8">
        <f>IF($B1004="","",VLOOKUP($B1004,Jogos!$A$2:$K$105,11,FALSE))</f>
        <v/>
      </c>
      <c r="I1004" s="5">
        <f>IF(OR($A1004="", $B1004="", $E1004="", $F1004="", $G1004="", $H1004=""), "",IF(AND($E1004=$G1004, $F1004=$H1004), 3, IF(SIGN($E1004-$F1004)=SIGN($G1004-$H1004), 1, 0))))</f>
        <v/>
      </c>
    </row>
    <row r="1005">
      <c r="A1005" s="5" t="inlineStr"/>
      <c r="B1005" s="5" t="inlineStr"/>
      <c r="C1005" s="5">
        <f>IF($B1005="","",VLOOKUP($B1005,Jogos!$A$2:$K$105,8,FALSE))</f>
        <v/>
      </c>
      <c r="D1005" s="5">
        <f>IF($B1005="","",VLOOKUP($B1005,Jogos!$A$2:$K$105,10,FALSE))</f>
        <v/>
      </c>
      <c r="E1005" s="5" t="inlineStr"/>
      <c r="F1005" s="5" t="inlineStr"/>
      <c r="G1005" s="8">
        <f>IF($B1005="","",VLOOKUP($B1005,Jogos!$A$2:$K$105,9,FALSE))</f>
        <v/>
      </c>
      <c r="H1005" s="8">
        <f>IF($B1005="","",VLOOKUP($B1005,Jogos!$A$2:$K$105,11,FALSE))</f>
        <v/>
      </c>
      <c r="I1005" s="5">
        <f>IF(OR($A1005="", $B1005="", $E1005="", $F1005="", $G1005="", $H1005=""), "",IF(AND($E1005=$G1005, $F1005=$H1005), 3, IF(SIGN($E1005-$F1005)=SIGN($G1005-$H1005), 1, 0))))</f>
        <v/>
      </c>
    </row>
    <row r="1006">
      <c r="A1006" s="5" t="inlineStr"/>
      <c r="B1006" s="5" t="inlineStr"/>
      <c r="C1006" s="5">
        <f>IF($B1006="","",VLOOKUP($B1006,Jogos!$A$2:$K$105,8,FALSE))</f>
        <v/>
      </c>
      <c r="D1006" s="5">
        <f>IF($B1006="","",VLOOKUP($B1006,Jogos!$A$2:$K$105,10,FALSE))</f>
        <v/>
      </c>
      <c r="E1006" s="5" t="inlineStr"/>
      <c r="F1006" s="5" t="inlineStr"/>
      <c r="G1006" s="8">
        <f>IF($B1006="","",VLOOKUP($B1006,Jogos!$A$2:$K$105,9,FALSE))</f>
        <v/>
      </c>
      <c r="H1006" s="8">
        <f>IF($B1006="","",VLOOKUP($B1006,Jogos!$A$2:$K$105,11,FALSE))</f>
        <v/>
      </c>
      <c r="I1006" s="5">
        <f>IF(OR($A1006="", $B1006="", $E1006="", $F1006="", $G1006="", $H1006=""), "",IF(AND($E1006=$G1006, $F1006=$H1006), 3, IF(SIGN($E1006-$F1006)=SIGN($G1006-$H1006), 1, 0))))</f>
        <v/>
      </c>
    </row>
    <row r="1007">
      <c r="A1007" s="5" t="inlineStr"/>
      <c r="B1007" s="5" t="inlineStr"/>
      <c r="C1007" s="5">
        <f>IF($B1007="","",VLOOKUP($B1007,Jogos!$A$2:$K$105,8,FALSE))</f>
        <v/>
      </c>
      <c r="D1007" s="5">
        <f>IF($B1007="","",VLOOKUP($B1007,Jogos!$A$2:$K$105,10,FALSE))</f>
        <v/>
      </c>
      <c r="E1007" s="5" t="inlineStr"/>
      <c r="F1007" s="5" t="inlineStr"/>
      <c r="G1007" s="8">
        <f>IF($B1007="","",VLOOKUP($B1007,Jogos!$A$2:$K$105,9,FALSE))</f>
        <v/>
      </c>
      <c r="H1007" s="8">
        <f>IF($B1007="","",VLOOKUP($B1007,Jogos!$A$2:$K$105,11,FALSE))</f>
        <v/>
      </c>
      <c r="I1007" s="5">
        <f>IF(OR($A1007="", $B1007="", $E1007="", $F1007="", $G1007="", $H1007=""), "",IF(AND($E1007=$G1007, $F1007=$H1007), 3, IF(SIGN($E1007-$F1007)=SIGN($G1007-$H1007), 1, 0))))</f>
        <v/>
      </c>
    </row>
    <row r="1008">
      <c r="A1008" s="5" t="inlineStr"/>
      <c r="B1008" s="5" t="inlineStr"/>
      <c r="C1008" s="5">
        <f>IF($B1008="","",VLOOKUP($B1008,Jogos!$A$2:$K$105,8,FALSE))</f>
        <v/>
      </c>
      <c r="D1008" s="5">
        <f>IF($B1008="","",VLOOKUP($B1008,Jogos!$A$2:$K$105,10,FALSE))</f>
        <v/>
      </c>
      <c r="E1008" s="5" t="inlineStr"/>
      <c r="F1008" s="5" t="inlineStr"/>
      <c r="G1008" s="8">
        <f>IF($B1008="","",VLOOKUP($B1008,Jogos!$A$2:$K$105,9,FALSE))</f>
        <v/>
      </c>
      <c r="H1008" s="8">
        <f>IF($B1008="","",VLOOKUP($B1008,Jogos!$A$2:$K$105,11,FALSE))</f>
        <v/>
      </c>
      <c r="I1008" s="5">
        <f>IF(OR($A1008="", $B1008="", $E1008="", $F1008="", $G1008="", $H1008=""), "",IF(AND($E1008=$G1008, $F1008=$H1008), 3, IF(SIGN($E1008-$F1008)=SIGN($G1008-$H1008), 1, 0))))</f>
        <v/>
      </c>
    </row>
    <row r="1009">
      <c r="A1009" s="5" t="inlineStr"/>
      <c r="B1009" s="5" t="inlineStr"/>
      <c r="C1009" s="5">
        <f>IF($B1009="","",VLOOKUP($B1009,Jogos!$A$2:$K$105,8,FALSE))</f>
        <v/>
      </c>
      <c r="D1009" s="5">
        <f>IF($B1009="","",VLOOKUP($B1009,Jogos!$A$2:$K$105,10,FALSE))</f>
        <v/>
      </c>
      <c r="E1009" s="5" t="inlineStr"/>
      <c r="F1009" s="5" t="inlineStr"/>
      <c r="G1009" s="8">
        <f>IF($B1009="","",VLOOKUP($B1009,Jogos!$A$2:$K$105,9,FALSE))</f>
        <v/>
      </c>
      <c r="H1009" s="8">
        <f>IF($B1009="","",VLOOKUP($B1009,Jogos!$A$2:$K$105,11,FALSE))</f>
        <v/>
      </c>
      <c r="I1009" s="5">
        <f>IF(OR($A1009="", $B1009="", $E1009="", $F1009="", $G1009="", $H1009=""), "",IF(AND($E1009=$G1009, $F1009=$H1009), 3, IF(SIGN($E1009-$F1009)=SIGN($G1009-$H1009), 1, 0))))</f>
        <v/>
      </c>
    </row>
    <row r="1010">
      <c r="A1010" s="5" t="inlineStr"/>
      <c r="B1010" s="5" t="inlineStr"/>
      <c r="C1010" s="5">
        <f>IF($B1010="","",VLOOKUP($B1010,Jogos!$A$2:$K$105,8,FALSE))</f>
        <v/>
      </c>
      <c r="D1010" s="5">
        <f>IF($B1010="","",VLOOKUP($B1010,Jogos!$A$2:$K$105,10,FALSE))</f>
        <v/>
      </c>
      <c r="E1010" s="5" t="inlineStr"/>
      <c r="F1010" s="5" t="inlineStr"/>
      <c r="G1010" s="8">
        <f>IF($B1010="","",VLOOKUP($B1010,Jogos!$A$2:$K$105,9,FALSE))</f>
        <v/>
      </c>
      <c r="H1010" s="8">
        <f>IF($B1010="","",VLOOKUP($B1010,Jogos!$A$2:$K$105,11,FALSE))</f>
        <v/>
      </c>
      <c r="I1010" s="5">
        <f>IF(OR($A1010="", $B1010="", $E1010="", $F1010="", $G1010="", $H1010=""), "",IF(AND($E1010=$G1010, $F1010=$H1010), 3, IF(SIGN($E1010-$F1010)=SIGN($G1010-$H1010), 1, 0))))</f>
        <v/>
      </c>
    </row>
    <row r="1011">
      <c r="A1011" s="5" t="inlineStr"/>
      <c r="B1011" s="5" t="inlineStr"/>
      <c r="C1011" s="5">
        <f>IF($B1011="","",VLOOKUP($B1011,Jogos!$A$2:$K$105,8,FALSE))</f>
        <v/>
      </c>
      <c r="D1011" s="5">
        <f>IF($B1011="","",VLOOKUP($B1011,Jogos!$A$2:$K$105,10,FALSE))</f>
        <v/>
      </c>
      <c r="E1011" s="5" t="inlineStr"/>
      <c r="F1011" s="5" t="inlineStr"/>
      <c r="G1011" s="8">
        <f>IF($B1011="","",VLOOKUP($B1011,Jogos!$A$2:$K$105,9,FALSE))</f>
        <v/>
      </c>
      <c r="H1011" s="8">
        <f>IF($B1011="","",VLOOKUP($B1011,Jogos!$A$2:$K$105,11,FALSE))</f>
        <v/>
      </c>
      <c r="I1011" s="5">
        <f>IF(OR($A1011="", $B1011="", $E1011="", $F1011="", $G1011="", $H1011=""), "",IF(AND($E1011=$G1011, $F1011=$H1011), 3, IF(SIGN($E1011-$F1011)=SIGN($G1011-$H1011), 1, 0))))</f>
        <v/>
      </c>
    </row>
    <row r="1012">
      <c r="A1012" s="5" t="inlineStr"/>
      <c r="B1012" s="5" t="inlineStr"/>
      <c r="C1012" s="5">
        <f>IF($B1012="","",VLOOKUP($B1012,Jogos!$A$2:$K$105,8,FALSE))</f>
        <v/>
      </c>
      <c r="D1012" s="5">
        <f>IF($B1012="","",VLOOKUP($B1012,Jogos!$A$2:$K$105,10,FALSE))</f>
        <v/>
      </c>
      <c r="E1012" s="5" t="inlineStr"/>
      <c r="F1012" s="5" t="inlineStr"/>
      <c r="G1012" s="8">
        <f>IF($B1012="","",VLOOKUP($B1012,Jogos!$A$2:$K$105,9,FALSE))</f>
        <v/>
      </c>
      <c r="H1012" s="8">
        <f>IF($B1012="","",VLOOKUP($B1012,Jogos!$A$2:$K$105,11,FALSE))</f>
        <v/>
      </c>
      <c r="I1012" s="5">
        <f>IF(OR($A1012="", $B1012="", $E1012="", $F1012="", $G1012="", $H1012=""), "",IF(AND($E1012=$G1012, $F1012=$H1012), 3, IF(SIGN($E1012-$F1012)=SIGN($G1012-$H1012), 1, 0))))</f>
        <v/>
      </c>
    </row>
    <row r="1013">
      <c r="A1013" s="5" t="inlineStr"/>
      <c r="B1013" s="5" t="inlineStr"/>
      <c r="C1013" s="5">
        <f>IF($B1013="","",VLOOKUP($B1013,Jogos!$A$2:$K$105,8,FALSE))</f>
        <v/>
      </c>
      <c r="D1013" s="5">
        <f>IF($B1013="","",VLOOKUP($B1013,Jogos!$A$2:$K$105,10,FALSE))</f>
        <v/>
      </c>
      <c r="E1013" s="5" t="inlineStr"/>
      <c r="F1013" s="5" t="inlineStr"/>
      <c r="G1013" s="8">
        <f>IF($B1013="","",VLOOKUP($B1013,Jogos!$A$2:$K$105,9,FALSE))</f>
        <v/>
      </c>
      <c r="H1013" s="8">
        <f>IF($B1013="","",VLOOKUP($B1013,Jogos!$A$2:$K$105,11,FALSE))</f>
        <v/>
      </c>
      <c r="I1013" s="5">
        <f>IF(OR($A1013="", $B1013="", $E1013="", $F1013="", $G1013="", $H1013=""), "",IF(AND($E1013=$G1013, $F1013=$H1013), 3, IF(SIGN($E1013-$F1013)=SIGN($G1013-$H1013), 1, 0))))</f>
        <v/>
      </c>
    </row>
    <row r="1014">
      <c r="A1014" s="5" t="inlineStr"/>
      <c r="B1014" s="5" t="inlineStr"/>
      <c r="C1014" s="5">
        <f>IF($B1014="","",VLOOKUP($B1014,Jogos!$A$2:$K$105,8,FALSE))</f>
        <v/>
      </c>
      <c r="D1014" s="5">
        <f>IF($B1014="","",VLOOKUP($B1014,Jogos!$A$2:$K$105,10,FALSE))</f>
        <v/>
      </c>
      <c r="E1014" s="5" t="inlineStr"/>
      <c r="F1014" s="5" t="inlineStr"/>
      <c r="G1014" s="8">
        <f>IF($B1014="","",VLOOKUP($B1014,Jogos!$A$2:$K$105,9,FALSE))</f>
        <v/>
      </c>
      <c r="H1014" s="8">
        <f>IF($B1014="","",VLOOKUP($B1014,Jogos!$A$2:$K$105,11,FALSE))</f>
        <v/>
      </c>
      <c r="I1014" s="5">
        <f>IF(OR($A1014="", $B1014="", $E1014="", $F1014="", $G1014="", $H1014=""), "",IF(AND($E1014=$G1014, $F1014=$H1014), 3, IF(SIGN($E1014-$F1014)=SIGN($G1014-$H1014), 1, 0))))</f>
        <v/>
      </c>
    </row>
    <row r="1015">
      <c r="A1015" s="5" t="inlineStr"/>
      <c r="B1015" s="5" t="inlineStr"/>
      <c r="C1015" s="5">
        <f>IF($B1015="","",VLOOKUP($B1015,Jogos!$A$2:$K$105,8,FALSE))</f>
        <v/>
      </c>
      <c r="D1015" s="5">
        <f>IF($B1015="","",VLOOKUP($B1015,Jogos!$A$2:$K$105,10,FALSE))</f>
        <v/>
      </c>
      <c r="E1015" s="5" t="inlineStr"/>
      <c r="F1015" s="5" t="inlineStr"/>
      <c r="G1015" s="8">
        <f>IF($B1015="","",VLOOKUP($B1015,Jogos!$A$2:$K$105,9,FALSE))</f>
        <v/>
      </c>
      <c r="H1015" s="8">
        <f>IF($B1015="","",VLOOKUP($B1015,Jogos!$A$2:$K$105,11,FALSE))</f>
        <v/>
      </c>
      <c r="I1015" s="5">
        <f>IF(OR($A1015="", $B1015="", $E1015="", $F1015="", $G1015="", $H1015=""), "",IF(AND($E1015=$G1015, $F1015=$H1015), 3, IF(SIGN($E1015-$F1015)=SIGN($G1015-$H1015), 1, 0))))</f>
        <v/>
      </c>
    </row>
    <row r="1016">
      <c r="A1016" s="5" t="inlineStr"/>
      <c r="B1016" s="5" t="inlineStr"/>
      <c r="C1016" s="5">
        <f>IF($B1016="","",VLOOKUP($B1016,Jogos!$A$2:$K$105,8,FALSE))</f>
        <v/>
      </c>
      <c r="D1016" s="5">
        <f>IF($B1016="","",VLOOKUP($B1016,Jogos!$A$2:$K$105,10,FALSE))</f>
        <v/>
      </c>
      <c r="E1016" s="5" t="inlineStr"/>
      <c r="F1016" s="5" t="inlineStr"/>
      <c r="G1016" s="8">
        <f>IF($B1016="","",VLOOKUP($B1016,Jogos!$A$2:$K$105,9,FALSE))</f>
        <v/>
      </c>
      <c r="H1016" s="8">
        <f>IF($B1016="","",VLOOKUP($B1016,Jogos!$A$2:$K$105,11,FALSE))</f>
        <v/>
      </c>
      <c r="I1016" s="5">
        <f>IF(OR($A1016="", $B1016="", $E1016="", $F1016="", $G1016="", $H1016=""), "",IF(AND($E1016=$G1016, $F1016=$H1016), 3, IF(SIGN($E1016-$F1016)=SIGN($G1016-$H1016), 1, 0))))</f>
        <v/>
      </c>
    </row>
    <row r="1017">
      <c r="A1017" s="5" t="inlineStr"/>
      <c r="B1017" s="5" t="inlineStr"/>
      <c r="C1017" s="5">
        <f>IF($B1017="","",VLOOKUP($B1017,Jogos!$A$2:$K$105,8,FALSE))</f>
        <v/>
      </c>
      <c r="D1017" s="5">
        <f>IF($B1017="","",VLOOKUP($B1017,Jogos!$A$2:$K$105,10,FALSE))</f>
        <v/>
      </c>
      <c r="E1017" s="5" t="inlineStr"/>
      <c r="F1017" s="5" t="inlineStr"/>
      <c r="G1017" s="8">
        <f>IF($B1017="","",VLOOKUP($B1017,Jogos!$A$2:$K$105,9,FALSE))</f>
        <v/>
      </c>
      <c r="H1017" s="8">
        <f>IF($B1017="","",VLOOKUP($B1017,Jogos!$A$2:$K$105,11,FALSE))</f>
        <v/>
      </c>
      <c r="I1017" s="5">
        <f>IF(OR($A1017="", $B1017="", $E1017="", $F1017="", $G1017="", $H1017=""), "",IF(AND($E1017=$G1017, $F1017=$H1017), 3, IF(SIGN($E1017-$F1017)=SIGN($G1017-$H1017), 1, 0))))</f>
        <v/>
      </c>
    </row>
    <row r="1018">
      <c r="A1018" s="5" t="inlineStr"/>
      <c r="B1018" s="5" t="inlineStr"/>
      <c r="C1018" s="5">
        <f>IF($B1018="","",VLOOKUP($B1018,Jogos!$A$2:$K$105,8,FALSE))</f>
        <v/>
      </c>
      <c r="D1018" s="5">
        <f>IF($B1018="","",VLOOKUP($B1018,Jogos!$A$2:$K$105,10,FALSE))</f>
        <v/>
      </c>
      <c r="E1018" s="5" t="inlineStr"/>
      <c r="F1018" s="5" t="inlineStr"/>
      <c r="G1018" s="8">
        <f>IF($B1018="","",VLOOKUP($B1018,Jogos!$A$2:$K$105,9,FALSE))</f>
        <v/>
      </c>
      <c r="H1018" s="8">
        <f>IF($B1018="","",VLOOKUP($B1018,Jogos!$A$2:$K$105,11,FALSE))</f>
        <v/>
      </c>
      <c r="I1018" s="5">
        <f>IF(OR($A1018="", $B1018="", $E1018="", $F1018="", $G1018="", $H1018=""), "",IF(AND($E1018=$G1018, $F1018=$H1018), 3, IF(SIGN($E1018-$F1018)=SIGN($G1018-$H1018), 1, 0))))</f>
        <v/>
      </c>
    </row>
    <row r="1019">
      <c r="A1019" s="5" t="inlineStr"/>
      <c r="B1019" s="5" t="inlineStr"/>
      <c r="C1019" s="5">
        <f>IF($B1019="","",VLOOKUP($B1019,Jogos!$A$2:$K$105,8,FALSE))</f>
        <v/>
      </c>
      <c r="D1019" s="5">
        <f>IF($B1019="","",VLOOKUP($B1019,Jogos!$A$2:$K$105,10,FALSE))</f>
        <v/>
      </c>
      <c r="E1019" s="5" t="inlineStr"/>
      <c r="F1019" s="5" t="inlineStr"/>
      <c r="G1019" s="8">
        <f>IF($B1019="","",VLOOKUP($B1019,Jogos!$A$2:$K$105,9,FALSE))</f>
        <v/>
      </c>
      <c r="H1019" s="8">
        <f>IF($B1019="","",VLOOKUP($B1019,Jogos!$A$2:$K$105,11,FALSE))</f>
        <v/>
      </c>
      <c r="I1019" s="5">
        <f>IF(OR($A1019="", $B1019="", $E1019="", $F1019="", $G1019="", $H1019=""), "",IF(AND($E1019=$G1019, $F1019=$H1019), 3, IF(SIGN($E1019-$F1019)=SIGN($G1019-$H1019), 1, 0))))</f>
        <v/>
      </c>
    </row>
    <row r="1020">
      <c r="A1020" s="5" t="inlineStr"/>
      <c r="B1020" s="5" t="inlineStr"/>
      <c r="C1020" s="5">
        <f>IF($B1020="","",VLOOKUP($B1020,Jogos!$A$2:$K$105,8,FALSE))</f>
        <v/>
      </c>
      <c r="D1020" s="5">
        <f>IF($B1020="","",VLOOKUP($B1020,Jogos!$A$2:$K$105,10,FALSE))</f>
        <v/>
      </c>
      <c r="E1020" s="5" t="inlineStr"/>
      <c r="F1020" s="5" t="inlineStr"/>
      <c r="G1020" s="8">
        <f>IF($B1020="","",VLOOKUP($B1020,Jogos!$A$2:$K$105,9,FALSE))</f>
        <v/>
      </c>
      <c r="H1020" s="8">
        <f>IF($B1020="","",VLOOKUP($B1020,Jogos!$A$2:$K$105,11,FALSE))</f>
        <v/>
      </c>
      <c r="I1020" s="5">
        <f>IF(OR($A1020="", $B1020="", $E1020="", $F1020="", $G1020="", $H1020=""), "",IF(AND($E1020=$G1020, $F1020=$H1020), 3, IF(SIGN($E1020-$F1020)=SIGN($G1020-$H1020), 1, 0))))</f>
        <v/>
      </c>
    </row>
    <row r="1021">
      <c r="A1021" s="5" t="inlineStr"/>
      <c r="B1021" s="5" t="inlineStr"/>
      <c r="C1021" s="5">
        <f>IF($B1021="","",VLOOKUP($B1021,Jogos!$A$2:$K$105,8,FALSE))</f>
        <v/>
      </c>
      <c r="D1021" s="5">
        <f>IF($B1021="","",VLOOKUP($B1021,Jogos!$A$2:$K$105,10,FALSE))</f>
        <v/>
      </c>
      <c r="E1021" s="5" t="inlineStr"/>
      <c r="F1021" s="5" t="inlineStr"/>
      <c r="G1021" s="8">
        <f>IF($B1021="","",VLOOKUP($B1021,Jogos!$A$2:$K$105,9,FALSE))</f>
        <v/>
      </c>
      <c r="H1021" s="8">
        <f>IF($B1021="","",VLOOKUP($B1021,Jogos!$A$2:$K$105,11,FALSE))</f>
        <v/>
      </c>
      <c r="I1021" s="5">
        <f>IF(OR($A1021="", $B1021="", $E1021="", $F1021="", $G1021="", $H1021=""), "",IF(AND($E1021=$G1021, $F1021=$H1021), 3, IF(SIGN($E1021-$F1021)=SIGN($G1021-$H1021), 1, 0))))</f>
        <v/>
      </c>
    </row>
    <row r="1022">
      <c r="A1022" s="5" t="inlineStr"/>
      <c r="B1022" s="5" t="inlineStr"/>
      <c r="C1022" s="5">
        <f>IF($B1022="","",VLOOKUP($B1022,Jogos!$A$2:$K$105,8,FALSE))</f>
        <v/>
      </c>
      <c r="D1022" s="5">
        <f>IF($B1022="","",VLOOKUP($B1022,Jogos!$A$2:$K$105,10,FALSE))</f>
        <v/>
      </c>
      <c r="E1022" s="5" t="inlineStr"/>
      <c r="F1022" s="5" t="inlineStr"/>
      <c r="G1022" s="8">
        <f>IF($B1022="","",VLOOKUP($B1022,Jogos!$A$2:$K$105,9,FALSE))</f>
        <v/>
      </c>
      <c r="H1022" s="8">
        <f>IF($B1022="","",VLOOKUP($B1022,Jogos!$A$2:$K$105,11,FALSE))</f>
        <v/>
      </c>
      <c r="I1022" s="5">
        <f>IF(OR($A1022="", $B1022="", $E1022="", $F1022="", $G1022="", $H1022=""), "",IF(AND($E1022=$G1022, $F1022=$H1022), 3, IF(SIGN($E1022-$F1022)=SIGN($G1022-$H1022), 1, 0))))</f>
        <v/>
      </c>
    </row>
    <row r="1023">
      <c r="A1023" s="5" t="inlineStr"/>
      <c r="B1023" s="5" t="inlineStr"/>
      <c r="C1023" s="5">
        <f>IF($B1023="","",VLOOKUP($B1023,Jogos!$A$2:$K$105,8,FALSE))</f>
        <v/>
      </c>
      <c r="D1023" s="5">
        <f>IF($B1023="","",VLOOKUP($B1023,Jogos!$A$2:$K$105,10,FALSE))</f>
        <v/>
      </c>
      <c r="E1023" s="5" t="inlineStr"/>
      <c r="F1023" s="5" t="inlineStr"/>
      <c r="G1023" s="8">
        <f>IF($B1023="","",VLOOKUP($B1023,Jogos!$A$2:$K$105,9,FALSE))</f>
        <v/>
      </c>
      <c r="H1023" s="8">
        <f>IF($B1023="","",VLOOKUP($B1023,Jogos!$A$2:$K$105,11,FALSE))</f>
        <v/>
      </c>
      <c r="I1023" s="5">
        <f>IF(OR($A1023="", $B1023="", $E1023="", $F1023="", $G1023="", $H1023=""), "",IF(AND($E1023=$G1023, $F1023=$H1023), 3, IF(SIGN($E1023-$F1023)=SIGN($G1023-$H1023), 1, 0))))</f>
        <v/>
      </c>
    </row>
    <row r="1024">
      <c r="A1024" s="5" t="inlineStr"/>
      <c r="B1024" s="5" t="inlineStr"/>
      <c r="C1024" s="5">
        <f>IF($B1024="","",VLOOKUP($B1024,Jogos!$A$2:$K$105,8,FALSE))</f>
        <v/>
      </c>
      <c r="D1024" s="5">
        <f>IF($B1024="","",VLOOKUP($B1024,Jogos!$A$2:$K$105,10,FALSE))</f>
        <v/>
      </c>
      <c r="E1024" s="5" t="inlineStr"/>
      <c r="F1024" s="5" t="inlineStr"/>
      <c r="G1024" s="8">
        <f>IF($B1024="","",VLOOKUP($B1024,Jogos!$A$2:$K$105,9,FALSE))</f>
        <v/>
      </c>
      <c r="H1024" s="8">
        <f>IF($B1024="","",VLOOKUP($B1024,Jogos!$A$2:$K$105,11,FALSE))</f>
        <v/>
      </c>
      <c r="I1024" s="5">
        <f>IF(OR($A1024="", $B1024="", $E1024="", $F1024="", $G1024="", $H1024=""), "",IF(AND($E1024=$G1024, $F1024=$H1024), 3, IF(SIGN($E1024-$F1024)=SIGN($G1024-$H1024), 1, 0))))</f>
        <v/>
      </c>
    </row>
    <row r="1025">
      <c r="A1025" s="5" t="inlineStr"/>
      <c r="B1025" s="5" t="inlineStr"/>
      <c r="C1025" s="5">
        <f>IF($B1025="","",VLOOKUP($B1025,Jogos!$A$2:$K$105,8,FALSE))</f>
        <v/>
      </c>
      <c r="D1025" s="5">
        <f>IF($B1025="","",VLOOKUP($B1025,Jogos!$A$2:$K$105,10,FALSE))</f>
        <v/>
      </c>
      <c r="E1025" s="5" t="inlineStr"/>
      <c r="F1025" s="5" t="inlineStr"/>
      <c r="G1025" s="8">
        <f>IF($B1025="","",VLOOKUP($B1025,Jogos!$A$2:$K$105,9,FALSE))</f>
        <v/>
      </c>
      <c r="H1025" s="8">
        <f>IF($B1025="","",VLOOKUP($B1025,Jogos!$A$2:$K$105,11,FALSE))</f>
        <v/>
      </c>
      <c r="I1025" s="5">
        <f>IF(OR($A1025="", $B1025="", $E1025="", $F1025="", $G1025="", $H1025=""), "",IF(AND($E1025=$G1025, $F1025=$H1025), 3, IF(SIGN($E1025-$F1025)=SIGN($G1025-$H1025), 1, 0))))</f>
        <v/>
      </c>
    </row>
    <row r="1026">
      <c r="A1026" s="5" t="inlineStr"/>
      <c r="B1026" s="5" t="inlineStr"/>
      <c r="C1026" s="5">
        <f>IF($B1026="","",VLOOKUP($B1026,Jogos!$A$2:$K$105,8,FALSE))</f>
        <v/>
      </c>
      <c r="D1026" s="5">
        <f>IF($B1026="","",VLOOKUP($B1026,Jogos!$A$2:$K$105,10,FALSE))</f>
        <v/>
      </c>
      <c r="E1026" s="5" t="inlineStr"/>
      <c r="F1026" s="5" t="inlineStr"/>
      <c r="G1026" s="8">
        <f>IF($B1026="","",VLOOKUP($B1026,Jogos!$A$2:$K$105,9,FALSE))</f>
        <v/>
      </c>
      <c r="H1026" s="8">
        <f>IF($B1026="","",VLOOKUP($B1026,Jogos!$A$2:$K$105,11,FALSE))</f>
        <v/>
      </c>
      <c r="I1026" s="5">
        <f>IF(OR($A1026="", $B1026="", $E1026="", $F1026="", $G1026="", $H1026=""), "",IF(AND($E1026=$G1026, $F1026=$H1026), 3, IF(SIGN($E1026-$F1026)=SIGN($G1026-$H1026), 1, 0))))</f>
        <v/>
      </c>
    </row>
    <row r="1027">
      <c r="A1027" s="5" t="inlineStr"/>
      <c r="B1027" s="5" t="inlineStr"/>
      <c r="C1027" s="5">
        <f>IF($B1027="","",VLOOKUP($B1027,Jogos!$A$2:$K$105,8,FALSE))</f>
        <v/>
      </c>
      <c r="D1027" s="5">
        <f>IF($B1027="","",VLOOKUP($B1027,Jogos!$A$2:$K$105,10,FALSE))</f>
        <v/>
      </c>
      <c r="E1027" s="5" t="inlineStr"/>
      <c r="F1027" s="5" t="inlineStr"/>
      <c r="G1027" s="8">
        <f>IF($B1027="","",VLOOKUP($B1027,Jogos!$A$2:$K$105,9,FALSE))</f>
        <v/>
      </c>
      <c r="H1027" s="8">
        <f>IF($B1027="","",VLOOKUP($B1027,Jogos!$A$2:$K$105,11,FALSE))</f>
        <v/>
      </c>
      <c r="I1027" s="5">
        <f>IF(OR($A1027="", $B1027="", $E1027="", $F1027="", $G1027="", $H1027=""), "",IF(AND($E1027=$G1027, $F1027=$H1027), 3, IF(SIGN($E1027-$F1027)=SIGN($G1027-$H1027), 1, 0))))</f>
        <v/>
      </c>
    </row>
    <row r="1028">
      <c r="A1028" s="5" t="inlineStr"/>
      <c r="B1028" s="5" t="inlineStr"/>
      <c r="C1028" s="5">
        <f>IF($B1028="","",VLOOKUP($B1028,Jogos!$A$2:$K$105,8,FALSE))</f>
        <v/>
      </c>
      <c r="D1028" s="5">
        <f>IF($B1028="","",VLOOKUP($B1028,Jogos!$A$2:$K$105,10,FALSE))</f>
        <v/>
      </c>
      <c r="E1028" s="5" t="inlineStr"/>
      <c r="F1028" s="5" t="inlineStr"/>
      <c r="G1028" s="8">
        <f>IF($B1028="","",VLOOKUP($B1028,Jogos!$A$2:$K$105,9,FALSE))</f>
        <v/>
      </c>
      <c r="H1028" s="8">
        <f>IF($B1028="","",VLOOKUP($B1028,Jogos!$A$2:$K$105,11,FALSE))</f>
        <v/>
      </c>
      <c r="I1028" s="5">
        <f>IF(OR($A1028="", $B1028="", $E1028="", $F1028="", $G1028="", $H1028=""), "",IF(AND($E1028=$G1028, $F1028=$H1028), 3, IF(SIGN($E1028-$F1028)=SIGN($G1028-$H1028), 1, 0))))</f>
        <v/>
      </c>
    </row>
    <row r="1029">
      <c r="A1029" s="5" t="inlineStr"/>
      <c r="B1029" s="5" t="inlineStr"/>
      <c r="C1029" s="5">
        <f>IF($B1029="","",VLOOKUP($B1029,Jogos!$A$2:$K$105,8,FALSE))</f>
        <v/>
      </c>
      <c r="D1029" s="5">
        <f>IF($B1029="","",VLOOKUP($B1029,Jogos!$A$2:$K$105,10,FALSE))</f>
        <v/>
      </c>
      <c r="E1029" s="5" t="inlineStr"/>
      <c r="F1029" s="5" t="inlineStr"/>
      <c r="G1029" s="8">
        <f>IF($B1029="","",VLOOKUP($B1029,Jogos!$A$2:$K$105,9,FALSE))</f>
        <v/>
      </c>
      <c r="H1029" s="8">
        <f>IF($B1029="","",VLOOKUP($B1029,Jogos!$A$2:$K$105,11,FALSE))</f>
        <v/>
      </c>
      <c r="I1029" s="5">
        <f>IF(OR($A1029="", $B1029="", $E1029="", $F1029="", $G1029="", $H1029=""), "",IF(AND($E1029=$G1029, $F1029=$H1029), 3, IF(SIGN($E1029-$F1029)=SIGN($G1029-$H1029), 1, 0))))</f>
        <v/>
      </c>
    </row>
    <row r="1030">
      <c r="A1030" s="5" t="inlineStr"/>
      <c r="B1030" s="5" t="inlineStr"/>
      <c r="C1030" s="5">
        <f>IF($B1030="","",VLOOKUP($B1030,Jogos!$A$2:$K$105,8,FALSE))</f>
        <v/>
      </c>
      <c r="D1030" s="5">
        <f>IF($B1030="","",VLOOKUP($B1030,Jogos!$A$2:$K$105,10,FALSE))</f>
        <v/>
      </c>
      <c r="E1030" s="5" t="inlineStr"/>
      <c r="F1030" s="5" t="inlineStr"/>
      <c r="G1030" s="8">
        <f>IF($B1030="","",VLOOKUP($B1030,Jogos!$A$2:$K$105,9,FALSE))</f>
        <v/>
      </c>
      <c r="H1030" s="8">
        <f>IF($B1030="","",VLOOKUP($B1030,Jogos!$A$2:$K$105,11,FALSE))</f>
        <v/>
      </c>
      <c r="I1030" s="5">
        <f>IF(OR($A1030="", $B1030="", $E1030="", $F1030="", $G1030="", $H1030=""), "",IF(AND($E1030=$G1030, $F1030=$H1030), 3, IF(SIGN($E1030-$F1030)=SIGN($G1030-$H1030), 1, 0))))</f>
        <v/>
      </c>
    </row>
    <row r="1031">
      <c r="A1031" s="5" t="inlineStr"/>
      <c r="B1031" s="5" t="inlineStr"/>
      <c r="C1031" s="5">
        <f>IF($B1031="","",VLOOKUP($B1031,Jogos!$A$2:$K$105,8,FALSE))</f>
        <v/>
      </c>
      <c r="D1031" s="5">
        <f>IF($B1031="","",VLOOKUP($B1031,Jogos!$A$2:$K$105,10,FALSE))</f>
        <v/>
      </c>
      <c r="E1031" s="5" t="inlineStr"/>
      <c r="F1031" s="5" t="inlineStr"/>
      <c r="G1031" s="8">
        <f>IF($B1031="","",VLOOKUP($B1031,Jogos!$A$2:$K$105,9,FALSE))</f>
        <v/>
      </c>
      <c r="H1031" s="8">
        <f>IF($B1031="","",VLOOKUP($B1031,Jogos!$A$2:$K$105,11,FALSE))</f>
        <v/>
      </c>
      <c r="I1031" s="5">
        <f>IF(OR($A1031="", $B1031="", $E1031="", $F1031="", $G1031="", $H1031=""), "",IF(AND($E1031=$G1031, $F1031=$H1031), 3, IF(SIGN($E1031-$F1031)=SIGN($G1031-$H1031), 1, 0))))</f>
        <v/>
      </c>
    </row>
    <row r="1032">
      <c r="A1032" s="5" t="inlineStr"/>
      <c r="B1032" s="5" t="inlineStr"/>
      <c r="C1032" s="5">
        <f>IF($B1032="","",VLOOKUP($B1032,Jogos!$A$2:$K$105,8,FALSE))</f>
        <v/>
      </c>
      <c r="D1032" s="5">
        <f>IF($B1032="","",VLOOKUP($B1032,Jogos!$A$2:$K$105,10,FALSE))</f>
        <v/>
      </c>
      <c r="E1032" s="5" t="inlineStr"/>
      <c r="F1032" s="5" t="inlineStr"/>
      <c r="G1032" s="8">
        <f>IF($B1032="","",VLOOKUP($B1032,Jogos!$A$2:$K$105,9,FALSE))</f>
        <v/>
      </c>
      <c r="H1032" s="8">
        <f>IF($B1032="","",VLOOKUP($B1032,Jogos!$A$2:$K$105,11,FALSE))</f>
        <v/>
      </c>
      <c r="I1032" s="5">
        <f>IF(OR($A1032="", $B1032="", $E1032="", $F1032="", $G1032="", $H1032=""), "",IF(AND($E1032=$G1032, $F1032=$H1032), 3, IF(SIGN($E1032-$F1032)=SIGN($G1032-$H1032), 1, 0))))</f>
        <v/>
      </c>
    </row>
    <row r="1033">
      <c r="A1033" s="5" t="inlineStr"/>
      <c r="B1033" s="5" t="inlineStr"/>
      <c r="C1033" s="5">
        <f>IF($B1033="","",VLOOKUP($B1033,Jogos!$A$2:$K$105,8,FALSE))</f>
        <v/>
      </c>
      <c r="D1033" s="5">
        <f>IF($B1033="","",VLOOKUP($B1033,Jogos!$A$2:$K$105,10,FALSE))</f>
        <v/>
      </c>
      <c r="E1033" s="5" t="inlineStr"/>
      <c r="F1033" s="5" t="inlineStr"/>
      <c r="G1033" s="8">
        <f>IF($B1033="","",VLOOKUP($B1033,Jogos!$A$2:$K$105,9,FALSE))</f>
        <v/>
      </c>
      <c r="H1033" s="8">
        <f>IF($B1033="","",VLOOKUP($B1033,Jogos!$A$2:$K$105,11,FALSE))</f>
        <v/>
      </c>
      <c r="I1033" s="5">
        <f>IF(OR($A1033="", $B1033="", $E1033="", $F1033="", $G1033="", $H1033=""), "",IF(AND($E1033=$G1033, $F1033=$H1033), 3, IF(SIGN($E1033-$F1033)=SIGN($G1033-$H1033), 1, 0))))</f>
        <v/>
      </c>
    </row>
    <row r="1034">
      <c r="A1034" s="5" t="inlineStr"/>
      <c r="B1034" s="5" t="inlineStr"/>
      <c r="C1034" s="5">
        <f>IF($B1034="","",VLOOKUP($B1034,Jogos!$A$2:$K$105,8,FALSE))</f>
        <v/>
      </c>
      <c r="D1034" s="5">
        <f>IF($B1034="","",VLOOKUP($B1034,Jogos!$A$2:$K$105,10,FALSE))</f>
        <v/>
      </c>
      <c r="E1034" s="5" t="inlineStr"/>
      <c r="F1034" s="5" t="inlineStr"/>
      <c r="G1034" s="8">
        <f>IF($B1034="","",VLOOKUP($B1034,Jogos!$A$2:$K$105,9,FALSE))</f>
        <v/>
      </c>
      <c r="H1034" s="8">
        <f>IF($B1034="","",VLOOKUP($B1034,Jogos!$A$2:$K$105,11,FALSE))</f>
        <v/>
      </c>
      <c r="I1034" s="5">
        <f>IF(OR($A1034="", $B1034="", $E1034="", $F1034="", $G1034="", $H1034=""), "",IF(AND($E1034=$G1034, $F1034=$H1034), 3, IF(SIGN($E1034-$F1034)=SIGN($G1034-$H1034), 1, 0))))</f>
        <v/>
      </c>
    </row>
    <row r="1035">
      <c r="A1035" s="5" t="inlineStr"/>
      <c r="B1035" s="5" t="inlineStr"/>
      <c r="C1035" s="5">
        <f>IF($B1035="","",VLOOKUP($B1035,Jogos!$A$2:$K$105,8,FALSE))</f>
        <v/>
      </c>
      <c r="D1035" s="5">
        <f>IF($B1035="","",VLOOKUP($B1035,Jogos!$A$2:$K$105,10,FALSE))</f>
        <v/>
      </c>
      <c r="E1035" s="5" t="inlineStr"/>
      <c r="F1035" s="5" t="inlineStr"/>
      <c r="G1035" s="8">
        <f>IF($B1035="","",VLOOKUP($B1035,Jogos!$A$2:$K$105,9,FALSE))</f>
        <v/>
      </c>
      <c r="H1035" s="8">
        <f>IF($B1035="","",VLOOKUP($B1035,Jogos!$A$2:$K$105,11,FALSE))</f>
        <v/>
      </c>
      <c r="I1035" s="5">
        <f>IF(OR($A1035="", $B1035="", $E1035="", $F1035="", $G1035="", $H1035=""), "",IF(AND($E1035=$G1035, $F1035=$H1035), 3, IF(SIGN($E1035-$F1035)=SIGN($G1035-$H1035), 1, 0))))</f>
        <v/>
      </c>
    </row>
    <row r="1036">
      <c r="A1036" s="5" t="inlineStr"/>
      <c r="B1036" s="5" t="inlineStr"/>
      <c r="C1036" s="5">
        <f>IF($B1036="","",VLOOKUP($B1036,Jogos!$A$2:$K$105,8,FALSE))</f>
        <v/>
      </c>
      <c r="D1036" s="5">
        <f>IF($B1036="","",VLOOKUP($B1036,Jogos!$A$2:$K$105,10,FALSE))</f>
        <v/>
      </c>
      <c r="E1036" s="5" t="inlineStr"/>
      <c r="F1036" s="5" t="inlineStr"/>
      <c r="G1036" s="8">
        <f>IF($B1036="","",VLOOKUP($B1036,Jogos!$A$2:$K$105,9,FALSE))</f>
        <v/>
      </c>
      <c r="H1036" s="8">
        <f>IF($B1036="","",VLOOKUP($B1036,Jogos!$A$2:$K$105,11,FALSE))</f>
        <v/>
      </c>
      <c r="I1036" s="5">
        <f>IF(OR($A1036="", $B1036="", $E1036="", $F1036="", $G1036="", $H1036=""), "",IF(AND($E1036=$G1036, $F1036=$H1036), 3, IF(SIGN($E1036-$F1036)=SIGN($G1036-$H1036), 1, 0))))</f>
        <v/>
      </c>
    </row>
    <row r="1037">
      <c r="A1037" s="5" t="inlineStr"/>
      <c r="B1037" s="5" t="inlineStr"/>
      <c r="C1037" s="5">
        <f>IF($B1037="","",VLOOKUP($B1037,Jogos!$A$2:$K$105,8,FALSE))</f>
        <v/>
      </c>
      <c r="D1037" s="5">
        <f>IF($B1037="","",VLOOKUP($B1037,Jogos!$A$2:$K$105,10,FALSE))</f>
        <v/>
      </c>
      <c r="E1037" s="5" t="inlineStr"/>
      <c r="F1037" s="5" t="inlineStr"/>
      <c r="G1037" s="8">
        <f>IF($B1037="","",VLOOKUP($B1037,Jogos!$A$2:$K$105,9,FALSE))</f>
        <v/>
      </c>
      <c r="H1037" s="8">
        <f>IF($B1037="","",VLOOKUP($B1037,Jogos!$A$2:$K$105,11,FALSE))</f>
        <v/>
      </c>
      <c r="I1037" s="5">
        <f>IF(OR($A1037="", $B1037="", $E1037="", $F1037="", $G1037="", $H1037=""), "",IF(AND($E1037=$G1037, $F1037=$H1037), 3, IF(SIGN($E1037-$F1037)=SIGN($G1037-$H1037), 1, 0))))</f>
        <v/>
      </c>
    </row>
    <row r="1038">
      <c r="A1038" s="5" t="inlineStr"/>
      <c r="B1038" s="5" t="inlineStr"/>
      <c r="C1038" s="5">
        <f>IF($B1038="","",VLOOKUP($B1038,Jogos!$A$2:$K$105,8,FALSE))</f>
        <v/>
      </c>
      <c r="D1038" s="5">
        <f>IF($B1038="","",VLOOKUP($B1038,Jogos!$A$2:$K$105,10,FALSE))</f>
        <v/>
      </c>
      <c r="E1038" s="5" t="inlineStr"/>
      <c r="F1038" s="5" t="inlineStr"/>
      <c r="G1038" s="8">
        <f>IF($B1038="","",VLOOKUP($B1038,Jogos!$A$2:$K$105,9,FALSE))</f>
        <v/>
      </c>
      <c r="H1038" s="8">
        <f>IF($B1038="","",VLOOKUP($B1038,Jogos!$A$2:$K$105,11,FALSE))</f>
        <v/>
      </c>
      <c r="I1038" s="5">
        <f>IF(OR($A1038="", $B1038="", $E1038="", $F1038="", $G1038="", $H1038=""), "",IF(AND($E1038=$G1038, $F1038=$H1038), 3, IF(SIGN($E1038-$F1038)=SIGN($G1038-$H1038), 1, 0))))</f>
        <v/>
      </c>
    </row>
    <row r="1039">
      <c r="A1039" s="5" t="inlineStr"/>
      <c r="B1039" s="5" t="inlineStr"/>
      <c r="C1039" s="5">
        <f>IF($B1039="","",VLOOKUP($B1039,Jogos!$A$2:$K$105,8,FALSE))</f>
        <v/>
      </c>
      <c r="D1039" s="5">
        <f>IF($B1039="","",VLOOKUP($B1039,Jogos!$A$2:$K$105,10,FALSE))</f>
        <v/>
      </c>
      <c r="E1039" s="5" t="inlineStr"/>
      <c r="F1039" s="5" t="inlineStr"/>
      <c r="G1039" s="8">
        <f>IF($B1039="","",VLOOKUP($B1039,Jogos!$A$2:$K$105,9,FALSE))</f>
        <v/>
      </c>
      <c r="H1039" s="8">
        <f>IF($B1039="","",VLOOKUP($B1039,Jogos!$A$2:$K$105,11,FALSE))</f>
        <v/>
      </c>
      <c r="I1039" s="5">
        <f>IF(OR($A1039="", $B1039="", $E1039="", $F1039="", $G1039="", $H1039=""), "",IF(AND($E1039=$G1039, $F1039=$H1039), 3, IF(SIGN($E1039-$F1039)=SIGN($G1039-$H1039), 1, 0))))</f>
        <v/>
      </c>
    </row>
    <row r="1040">
      <c r="A1040" s="5" t="inlineStr"/>
      <c r="B1040" s="5" t="inlineStr"/>
      <c r="C1040" s="5">
        <f>IF($B1040="","",VLOOKUP($B1040,Jogos!$A$2:$K$105,8,FALSE))</f>
        <v/>
      </c>
      <c r="D1040" s="5">
        <f>IF($B1040="","",VLOOKUP($B1040,Jogos!$A$2:$K$105,10,FALSE))</f>
        <v/>
      </c>
      <c r="E1040" s="5" t="inlineStr"/>
      <c r="F1040" s="5" t="inlineStr"/>
      <c r="G1040" s="8">
        <f>IF($B1040="","",VLOOKUP($B1040,Jogos!$A$2:$K$105,9,FALSE))</f>
        <v/>
      </c>
      <c r="H1040" s="8">
        <f>IF($B1040="","",VLOOKUP($B1040,Jogos!$A$2:$K$105,11,FALSE))</f>
        <v/>
      </c>
      <c r="I1040" s="5">
        <f>IF(OR($A1040="", $B1040="", $E1040="", $F1040="", $G1040="", $H1040=""), "",IF(AND($E1040=$G1040, $F1040=$H1040), 3, IF(SIGN($E1040-$F1040)=SIGN($G1040-$H1040), 1, 0))))</f>
        <v/>
      </c>
    </row>
    <row r="1041">
      <c r="A1041" s="5" t="inlineStr"/>
      <c r="B1041" s="5" t="inlineStr"/>
      <c r="C1041" s="5">
        <f>IF($B1041="","",VLOOKUP($B1041,Jogos!$A$2:$K$105,8,FALSE))</f>
        <v/>
      </c>
      <c r="D1041" s="5">
        <f>IF($B1041="","",VLOOKUP($B1041,Jogos!$A$2:$K$105,10,FALSE))</f>
        <v/>
      </c>
      <c r="E1041" s="5" t="inlineStr"/>
      <c r="F1041" s="5" t="inlineStr"/>
      <c r="G1041" s="8">
        <f>IF($B1041="","",VLOOKUP($B1041,Jogos!$A$2:$K$105,9,FALSE))</f>
        <v/>
      </c>
      <c r="H1041" s="8">
        <f>IF($B1041="","",VLOOKUP($B1041,Jogos!$A$2:$K$105,11,FALSE))</f>
        <v/>
      </c>
      <c r="I1041" s="5">
        <f>IF(OR($A1041="", $B1041="", $E1041="", $F1041="", $G1041="", $H1041=""), "",IF(AND($E1041=$G1041, $F1041=$H1041), 3, IF(SIGN($E1041-$F1041)=SIGN($G1041-$H1041), 1, 0))))</f>
        <v/>
      </c>
    </row>
    <row r="1042">
      <c r="A1042" s="5" t="inlineStr"/>
      <c r="B1042" s="5" t="inlineStr"/>
      <c r="C1042" s="5">
        <f>IF($B1042="","",VLOOKUP($B1042,Jogos!$A$2:$K$105,8,FALSE))</f>
        <v/>
      </c>
      <c r="D1042" s="5">
        <f>IF($B1042="","",VLOOKUP($B1042,Jogos!$A$2:$K$105,10,FALSE))</f>
        <v/>
      </c>
      <c r="E1042" s="5" t="inlineStr"/>
      <c r="F1042" s="5" t="inlineStr"/>
      <c r="G1042" s="8">
        <f>IF($B1042="","",VLOOKUP($B1042,Jogos!$A$2:$K$105,9,FALSE))</f>
        <v/>
      </c>
      <c r="H1042" s="8">
        <f>IF($B1042="","",VLOOKUP($B1042,Jogos!$A$2:$K$105,11,FALSE))</f>
        <v/>
      </c>
      <c r="I1042" s="5">
        <f>IF(OR($A1042="", $B1042="", $E1042="", $F1042="", $G1042="", $H1042=""), "",IF(AND($E1042=$G1042, $F1042=$H1042), 3, IF(SIGN($E1042-$F1042)=SIGN($G1042-$H1042), 1, 0))))</f>
        <v/>
      </c>
    </row>
    <row r="1043">
      <c r="A1043" s="5" t="inlineStr"/>
      <c r="B1043" s="5" t="inlineStr"/>
      <c r="C1043" s="5">
        <f>IF($B1043="","",VLOOKUP($B1043,Jogos!$A$2:$K$105,8,FALSE))</f>
        <v/>
      </c>
      <c r="D1043" s="5">
        <f>IF($B1043="","",VLOOKUP($B1043,Jogos!$A$2:$K$105,10,FALSE))</f>
        <v/>
      </c>
      <c r="E1043" s="5" t="inlineStr"/>
      <c r="F1043" s="5" t="inlineStr"/>
      <c r="G1043" s="8">
        <f>IF($B1043="","",VLOOKUP($B1043,Jogos!$A$2:$K$105,9,FALSE))</f>
        <v/>
      </c>
      <c r="H1043" s="8">
        <f>IF($B1043="","",VLOOKUP($B1043,Jogos!$A$2:$K$105,11,FALSE))</f>
        <v/>
      </c>
      <c r="I1043" s="5">
        <f>IF(OR($A1043="", $B1043="", $E1043="", $F1043="", $G1043="", $H1043=""), "",IF(AND($E1043=$G1043, $F1043=$H1043), 3, IF(SIGN($E1043-$F1043)=SIGN($G1043-$H1043), 1, 0))))</f>
        <v/>
      </c>
    </row>
    <row r="1044">
      <c r="A1044" s="5" t="inlineStr"/>
      <c r="B1044" s="5" t="inlineStr"/>
      <c r="C1044" s="5">
        <f>IF($B1044="","",VLOOKUP($B1044,Jogos!$A$2:$K$105,8,FALSE))</f>
        <v/>
      </c>
      <c r="D1044" s="5">
        <f>IF($B1044="","",VLOOKUP($B1044,Jogos!$A$2:$K$105,10,FALSE))</f>
        <v/>
      </c>
      <c r="E1044" s="5" t="inlineStr"/>
      <c r="F1044" s="5" t="inlineStr"/>
      <c r="G1044" s="8">
        <f>IF($B1044="","",VLOOKUP($B1044,Jogos!$A$2:$K$105,9,FALSE))</f>
        <v/>
      </c>
      <c r="H1044" s="8">
        <f>IF($B1044="","",VLOOKUP($B1044,Jogos!$A$2:$K$105,11,FALSE))</f>
        <v/>
      </c>
      <c r="I1044" s="5">
        <f>IF(OR($A1044="", $B1044="", $E1044="", $F1044="", $G1044="", $H1044=""), "",IF(AND($E1044=$G1044, $F1044=$H1044), 3, IF(SIGN($E1044-$F1044)=SIGN($G1044-$H1044), 1, 0))))</f>
        <v/>
      </c>
    </row>
    <row r="1045">
      <c r="A1045" s="5" t="inlineStr"/>
      <c r="B1045" s="5" t="inlineStr"/>
      <c r="C1045" s="5">
        <f>IF($B1045="","",VLOOKUP($B1045,Jogos!$A$2:$K$105,8,FALSE))</f>
        <v/>
      </c>
      <c r="D1045" s="5">
        <f>IF($B1045="","",VLOOKUP($B1045,Jogos!$A$2:$K$105,10,FALSE))</f>
        <v/>
      </c>
      <c r="E1045" s="5" t="inlineStr"/>
      <c r="F1045" s="5" t="inlineStr"/>
      <c r="G1045" s="8">
        <f>IF($B1045="","",VLOOKUP($B1045,Jogos!$A$2:$K$105,9,FALSE))</f>
        <v/>
      </c>
      <c r="H1045" s="8">
        <f>IF($B1045="","",VLOOKUP($B1045,Jogos!$A$2:$K$105,11,FALSE))</f>
        <v/>
      </c>
      <c r="I1045" s="5">
        <f>IF(OR($A1045="", $B1045="", $E1045="", $F1045="", $G1045="", $H1045=""), "",IF(AND($E1045=$G1045, $F1045=$H1045), 3, IF(SIGN($E1045-$F1045)=SIGN($G1045-$H1045), 1, 0))))</f>
        <v/>
      </c>
    </row>
    <row r="1046">
      <c r="A1046" s="5" t="inlineStr"/>
      <c r="B1046" s="5" t="inlineStr"/>
      <c r="C1046" s="5">
        <f>IF($B1046="","",VLOOKUP($B1046,Jogos!$A$2:$K$105,8,FALSE))</f>
        <v/>
      </c>
      <c r="D1046" s="5">
        <f>IF($B1046="","",VLOOKUP($B1046,Jogos!$A$2:$K$105,10,FALSE))</f>
        <v/>
      </c>
      <c r="E1046" s="5" t="inlineStr"/>
      <c r="F1046" s="5" t="inlineStr"/>
      <c r="G1046" s="8">
        <f>IF($B1046="","",VLOOKUP($B1046,Jogos!$A$2:$K$105,9,FALSE))</f>
        <v/>
      </c>
      <c r="H1046" s="8">
        <f>IF($B1046="","",VLOOKUP($B1046,Jogos!$A$2:$K$105,11,FALSE))</f>
        <v/>
      </c>
      <c r="I1046" s="5">
        <f>IF(OR($A1046="", $B1046="", $E1046="", $F1046="", $G1046="", $H1046=""), "",IF(AND($E1046=$G1046, $F1046=$H1046), 3, IF(SIGN($E1046-$F1046)=SIGN($G1046-$H1046), 1, 0))))</f>
        <v/>
      </c>
    </row>
    <row r="1047">
      <c r="A1047" s="5" t="inlineStr"/>
      <c r="B1047" s="5" t="inlineStr"/>
      <c r="C1047" s="5">
        <f>IF($B1047="","",VLOOKUP($B1047,Jogos!$A$2:$K$105,8,FALSE))</f>
        <v/>
      </c>
      <c r="D1047" s="5">
        <f>IF($B1047="","",VLOOKUP($B1047,Jogos!$A$2:$K$105,10,FALSE))</f>
        <v/>
      </c>
      <c r="E1047" s="5" t="inlineStr"/>
      <c r="F1047" s="5" t="inlineStr"/>
      <c r="G1047" s="8">
        <f>IF($B1047="","",VLOOKUP($B1047,Jogos!$A$2:$K$105,9,FALSE))</f>
        <v/>
      </c>
      <c r="H1047" s="8">
        <f>IF($B1047="","",VLOOKUP($B1047,Jogos!$A$2:$K$105,11,FALSE))</f>
        <v/>
      </c>
      <c r="I1047" s="5">
        <f>IF(OR($A1047="", $B1047="", $E1047="", $F1047="", $G1047="", $H1047=""), "",IF(AND($E1047=$G1047, $F1047=$H1047), 3, IF(SIGN($E1047-$F1047)=SIGN($G1047-$H1047), 1, 0))))</f>
        <v/>
      </c>
    </row>
    <row r="1048">
      <c r="A1048" s="5" t="inlineStr"/>
      <c r="B1048" s="5" t="inlineStr"/>
      <c r="C1048" s="5">
        <f>IF($B1048="","",VLOOKUP($B1048,Jogos!$A$2:$K$105,8,FALSE))</f>
        <v/>
      </c>
      <c r="D1048" s="5">
        <f>IF($B1048="","",VLOOKUP($B1048,Jogos!$A$2:$K$105,10,FALSE))</f>
        <v/>
      </c>
      <c r="E1048" s="5" t="inlineStr"/>
      <c r="F1048" s="5" t="inlineStr"/>
      <c r="G1048" s="8">
        <f>IF($B1048="","",VLOOKUP($B1048,Jogos!$A$2:$K$105,9,FALSE))</f>
        <v/>
      </c>
      <c r="H1048" s="8">
        <f>IF($B1048="","",VLOOKUP($B1048,Jogos!$A$2:$K$105,11,FALSE))</f>
        <v/>
      </c>
      <c r="I1048" s="5">
        <f>IF(OR($A1048="", $B1048="", $E1048="", $F1048="", $G1048="", $H1048=""), "",IF(AND($E1048=$G1048, $F1048=$H1048), 3, IF(SIGN($E1048-$F1048)=SIGN($G1048-$H1048), 1, 0))))</f>
        <v/>
      </c>
    </row>
    <row r="1049">
      <c r="A1049" s="5" t="inlineStr"/>
      <c r="B1049" s="5" t="inlineStr"/>
      <c r="C1049" s="5">
        <f>IF($B1049="","",VLOOKUP($B1049,Jogos!$A$2:$K$105,8,FALSE))</f>
        <v/>
      </c>
      <c r="D1049" s="5">
        <f>IF($B1049="","",VLOOKUP($B1049,Jogos!$A$2:$K$105,10,FALSE))</f>
        <v/>
      </c>
      <c r="E1049" s="5" t="inlineStr"/>
      <c r="F1049" s="5" t="inlineStr"/>
      <c r="G1049" s="8">
        <f>IF($B1049="","",VLOOKUP($B1049,Jogos!$A$2:$K$105,9,FALSE))</f>
        <v/>
      </c>
      <c r="H1049" s="8">
        <f>IF($B1049="","",VLOOKUP($B1049,Jogos!$A$2:$K$105,11,FALSE))</f>
        <v/>
      </c>
      <c r="I1049" s="5">
        <f>IF(OR($A1049="", $B1049="", $E1049="", $F1049="", $G1049="", $H1049=""), "",IF(AND($E1049=$G1049, $F1049=$H1049), 3, IF(SIGN($E1049-$F1049)=SIGN($G1049-$H1049), 1, 0))))</f>
        <v/>
      </c>
    </row>
    <row r="1050">
      <c r="A1050" s="5" t="inlineStr"/>
      <c r="B1050" s="5" t="inlineStr"/>
      <c r="C1050" s="5">
        <f>IF($B1050="","",VLOOKUP($B1050,Jogos!$A$2:$K$105,8,FALSE))</f>
        <v/>
      </c>
      <c r="D1050" s="5">
        <f>IF($B1050="","",VLOOKUP($B1050,Jogos!$A$2:$K$105,10,FALSE))</f>
        <v/>
      </c>
      <c r="E1050" s="5" t="inlineStr"/>
      <c r="F1050" s="5" t="inlineStr"/>
      <c r="G1050" s="8">
        <f>IF($B1050="","",VLOOKUP($B1050,Jogos!$A$2:$K$105,9,FALSE))</f>
        <v/>
      </c>
      <c r="H1050" s="8">
        <f>IF($B1050="","",VLOOKUP($B1050,Jogos!$A$2:$K$105,11,FALSE))</f>
        <v/>
      </c>
      <c r="I1050" s="5">
        <f>IF(OR($A1050="", $B1050="", $E1050="", $F1050="", $G1050="", $H1050=""), "",IF(AND($E1050=$G1050, $F1050=$H1050), 3, IF(SIGN($E1050-$F1050)=SIGN($G1050-$H1050), 1, 0))))</f>
        <v/>
      </c>
    </row>
    <row r="1051">
      <c r="A1051" s="5" t="inlineStr"/>
      <c r="B1051" s="5" t="inlineStr"/>
      <c r="C1051" s="5">
        <f>IF($B1051="","",VLOOKUP($B1051,Jogos!$A$2:$K$105,8,FALSE))</f>
        <v/>
      </c>
      <c r="D1051" s="5">
        <f>IF($B1051="","",VLOOKUP($B1051,Jogos!$A$2:$K$105,10,FALSE))</f>
        <v/>
      </c>
      <c r="E1051" s="5" t="inlineStr"/>
      <c r="F1051" s="5" t="inlineStr"/>
      <c r="G1051" s="8">
        <f>IF($B1051="","",VLOOKUP($B1051,Jogos!$A$2:$K$105,9,FALSE))</f>
        <v/>
      </c>
      <c r="H1051" s="8">
        <f>IF($B1051="","",VLOOKUP($B1051,Jogos!$A$2:$K$105,11,FALSE))</f>
        <v/>
      </c>
      <c r="I1051" s="5">
        <f>IF(OR($A1051="", $B1051="", $E1051="", $F1051="", $G1051="", $H1051=""), "",IF(AND($E1051=$G1051, $F1051=$H1051), 3, IF(SIGN($E1051-$F1051)=SIGN($G1051-$H1051), 1, 0))))</f>
        <v/>
      </c>
    </row>
    <row r="1052">
      <c r="A1052" s="5" t="inlineStr"/>
      <c r="B1052" s="5" t="inlineStr"/>
      <c r="C1052" s="5">
        <f>IF($B1052="","",VLOOKUP($B1052,Jogos!$A$2:$K$105,8,FALSE))</f>
        <v/>
      </c>
      <c r="D1052" s="5">
        <f>IF($B1052="","",VLOOKUP($B1052,Jogos!$A$2:$K$105,10,FALSE))</f>
        <v/>
      </c>
      <c r="E1052" s="5" t="inlineStr"/>
      <c r="F1052" s="5" t="inlineStr"/>
      <c r="G1052" s="8">
        <f>IF($B1052="","",VLOOKUP($B1052,Jogos!$A$2:$K$105,9,FALSE))</f>
        <v/>
      </c>
      <c r="H1052" s="8">
        <f>IF($B1052="","",VLOOKUP($B1052,Jogos!$A$2:$K$105,11,FALSE))</f>
        <v/>
      </c>
      <c r="I1052" s="5">
        <f>IF(OR($A1052="", $B1052="", $E1052="", $F1052="", $G1052="", $H1052=""), "",IF(AND($E1052=$G1052, $F1052=$H1052), 3, IF(SIGN($E1052-$F1052)=SIGN($G1052-$H1052), 1, 0))))</f>
        <v/>
      </c>
    </row>
    <row r="1053">
      <c r="A1053" s="5" t="inlineStr"/>
      <c r="B1053" s="5" t="inlineStr"/>
      <c r="C1053" s="5">
        <f>IF($B1053="","",VLOOKUP($B1053,Jogos!$A$2:$K$105,8,FALSE))</f>
        <v/>
      </c>
      <c r="D1053" s="5">
        <f>IF($B1053="","",VLOOKUP($B1053,Jogos!$A$2:$K$105,10,FALSE))</f>
        <v/>
      </c>
      <c r="E1053" s="5" t="inlineStr"/>
      <c r="F1053" s="5" t="inlineStr"/>
      <c r="G1053" s="8">
        <f>IF($B1053="","",VLOOKUP($B1053,Jogos!$A$2:$K$105,9,FALSE))</f>
        <v/>
      </c>
      <c r="H1053" s="8">
        <f>IF($B1053="","",VLOOKUP($B1053,Jogos!$A$2:$K$105,11,FALSE))</f>
        <v/>
      </c>
      <c r="I1053" s="5">
        <f>IF(OR($A1053="", $B1053="", $E1053="", $F1053="", $G1053="", $H1053=""), "",IF(AND($E1053=$G1053, $F1053=$H1053), 3, IF(SIGN($E1053-$F1053)=SIGN($G1053-$H1053), 1, 0))))</f>
        <v/>
      </c>
    </row>
    <row r="1054">
      <c r="A1054" s="5" t="inlineStr"/>
      <c r="B1054" s="5" t="inlineStr"/>
      <c r="C1054" s="5">
        <f>IF($B1054="","",VLOOKUP($B1054,Jogos!$A$2:$K$105,8,FALSE))</f>
        <v/>
      </c>
      <c r="D1054" s="5">
        <f>IF($B1054="","",VLOOKUP($B1054,Jogos!$A$2:$K$105,10,FALSE))</f>
        <v/>
      </c>
      <c r="E1054" s="5" t="inlineStr"/>
      <c r="F1054" s="5" t="inlineStr"/>
      <c r="G1054" s="8">
        <f>IF($B1054="","",VLOOKUP($B1054,Jogos!$A$2:$K$105,9,FALSE))</f>
        <v/>
      </c>
      <c r="H1054" s="8">
        <f>IF($B1054="","",VLOOKUP($B1054,Jogos!$A$2:$K$105,11,FALSE))</f>
        <v/>
      </c>
      <c r="I1054" s="5">
        <f>IF(OR($A1054="", $B1054="", $E1054="", $F1054="", $G1054="", $H1054=""), "",IF(AND($E1054=$G1054, $F1054=$H1054), 3, IF(SIGN($E1054-$F1054)=SIGN($G1054-$H1054), 1, 0))))</f>
        <v/>
      </c>
    </row>
    <row r="1055">
      <c r="A1055" s="5" t="inlineStr"/>
      <c r="B1055" s="5" t="inlineStr"/>
      <c r="C1055" s="5">
        <f>IF($B1055="","",VLOOKUP($B1055,Jogos!$A$2:$K$105,8,FALSE))</f>
        <v/>
      </c>
      <c r="D1055" s="5">
        <f>IF($B1055="","",VLOOKUP($B1055,Jogos!$A$2:$K$105,10,FALSE))</f>
        <v/>
      </c>
      <c r="E1055" s="5" t="inlineStr"/>
      <c r="F1055" s="5" t="inlineStr"/>
      <c r="G1055" s="8">
        <f>IF($B1055="","",VLOOKUP($B1055,Jogos!$A$2:$K$105,9,FALSE))</f>
        <v/>
      </c>
      <c r="H1055" s="8">
        <f>IF($B1055="","",VLOOKUP($B1055,Jogos!$A$2:$K$105,11,FALSE))</f>
        <v/>
      </c>
      <c r="I1055" s="5">
        <f>IF(OR($A1055="", $B1055="", $E1055="", $F1055="", $G1055="", $H1055=""), "",IF(AND($E1055=$G1055, $F1055=$H1055), 3, IF(SIGN($E1055-$F1055)=SIGN($G1055-$H1055), 1, 0))))</f>
        <v/>
      </c>
    </row>
    <row r="1056">
      <c r="A1056" s="5" t="inlineStr"/>
      <c r="B1056" s="5" t="inlineStr"/>
      <c r="C1056" s="5">
        <f>IF($B1056="","",VLOOKUP($B1056,Jogos!$A$2:$K$105,8,FALSE))</f>
        <v/>
      </c>
      <c r="D1056" s="5">
        <f>IF($B1056="","",VLOOKUP($B1056,Jogos!$A$2:$K$105,10,FALSE))</f>
        <v/>
      </c>
      <c r="E1056" s="5" t="inlineStr"/>
      <c r="F1056" s="5" t="inlineStr"/>
      <c r="G1056" s="8">
        <f>IF($B1056="","",VLOOKUP($B1056,Jogos!$A$2:$K$105,9,FALSE))</f>
        <v/>
      </c>
      <c r="H1056" s="8">
        <f>IF($B1056="","",VLOOKUP($B1056,Jogos!$A$2:$K$105,11,FALSE))</f>
        <v/>
      </c>
      <c r="I1056" s="5">
        <f>IF(OR($A1056="", $B1056="", $E1056="", $F1056="", $G1056="", $H1056=""), "",IF(AND($E1056=$G1056, $F1056=$H1056), 3, IF(SIGN($E1056-$F1056)=SIGN($G1056-$H1056), 1, 0))))</f>
        <v/>
      </c>
    </row>
    <row r="1057">
      <c r="A1057" s="5" t="inlineStr"/>
      <c r="B1057" s="5" t="inlineStr"/>
      <c r="C1057" s="5">
        <f>IF($B1057="","",VLOOKUP($B1057,Jogos!$A$2:$K$105,8,FALSE))</f>
        <v/>
      </c>
      <c r="D1057" s="5">
        <f>IF($B1057="","",VLOOKUP($B1057,Jogos!$A$2:$K$105,10,FALSE))</f>
        <v/>
      </c>
      <c r="E1057" s="5" t="inlineStr"/>
      <c r="F1057" s="5" t="inlineStr"/>
      <c r="G1057" s="8">
        <f>IF($B1057="","",VLOOKUP($B1057,Jogos!$A$2:$K$105,9,FALSE))</f>
        <v/>
      </c>
      <c r="H1057" s="8">
        <f>IF($B1057="","",VLOOKUP($B1057,Jogos!$A$2:$K$105,11,FALSE))</f>
        <v/>
      </c>
      <c r="I1057" s="5">
        <f>IF(OR($A1057="", $B1057="", $E1057="", $F1057="", $G1057="", $H1057=""), "",IF(AND($E1057=$G1057, $F1057=$H1057), 3, IF(SIGN($E1057-$F1057)=SIGN($G1057-$H1057), 1, 0))))</f>
        <v/>
      </c>
    </row>
    <row r="1058">
      <c r="A1058" s="5" t="inlineStr"/>
      <c r="B1058" s="5" t="inlineStr"/>
      <c r="C1058" s="5">
        <f>IF($B1058="","",VLOOKUP($B1058,Jogos!$A$2:$K$105,8,FALSE))</f>
        <v/>
      </c>
      <c r="D1058" s="5">
        <f>IF($B1058="","",VLOOKUP($B1058,Jogos!$A$2:$K$105,10,FALSE))</f>
        <v/>
      </c>
      <c r="E1058" s="5" t="inlineStr"/>
      <c r="F1058" s="5" t="inlineStr"/>
      <c r="G1058" s="8">
        <f>IF($B1058="","",VLOOKUP($B1058,Jogos!$A$2:$K$105,9,FALSE))</f>
        <v/>
      </c>
      <c r="H1058" s="8">
        <f>IF($B1058="","",VLOOKUP($B1058,Jogos!$A$2:$K$105,11,FALSE))</f>
        <v/>
      </c>
      <c r="I1058" s="5">
        <f>IF(OR($A1058="", $B1058="", $E1058="", $F1058="", $G1058="", $H1058=""), "",IF(AND($E1058=$G1058, $F1058=$H1058), 3, IF(SIGN($E1058-$F1058)=SIGN($G1058-$H1058), 1, 0))))</f>
        <v/>
      </c>
    </row>
    <row r="1059">
      <c r="A1059" s="5" t="inlineStr"/>
      <c r="B1059" s="5" t="inlineStr"/>
      <c r="C1059" s="5">
        <f>IF($B1059="","",VLOOKUP($B1059,Jogos!$A$2:$K$105,8,FALSE))</f>
        <v/>
      </c>
      <c r="D1059" s="5">
        <f>IF($B1059="","",VLOOKUP($B1059,Jogos!$A$2:$K$105,10,FALSE))</f>
        <v/>
      </c>
      <c r="E1059" s="5" t="inlineStr"/>
      <c r="F1059" s="5" t="inlineStr"/>
      <c r="G1059" s="8">
        <f>IF($B1059="","",VLOOKUP($B1059,Jogos!$A$2:$K$105,9,FALSE))</f>
        <v/>
      </c>
      <c r="H1059" s="8">
        <f>IF($B1059="","",VLOOKUP($B1059,Jogos!$A$2:$K$105,11,FALSE))</f>
        <v/>
      </c>
      <c r="I1059" s="5">
        <f>IF(OR($A1059="", $B1059="", $E1059="", $F1059="", $G1059="", $H1059=""), "",IF(AND($E1059=$G1059, $F1059=$H1059), 3, IF(SIGN($E1059-$F1059)=SIGN($G1059-$H1059), 1, 0))))</f>
        <v/>
      </c>
    </row>
    <row r="1060">
      <c r="A1060" s="5" t="inlineStr"/>
      <c r="B1060" s="5" t="inlineStr"/>
      <c r="C1060" s="5">
        <f>IF($B1060="","",VLOOKUP($B1060,Jogos!$A$2:$K$105,8,FALSE))</f>
        <v/>
      </c>
      <c r="D1060" s="5">
        <f>IF($B1060="","",VLOOKUP($B1060,Jogos!$A$2:$K$105,10,FALSE))</f>
        <v/>
      </c>
      <c r="E1060" s="5" t="inlineStr"/>
      <c r="F1060" s="5" t="inlineStr"/>
      <c r="G1060" s="8">
        <f>IF($B1060="","",VLOOKUP($B1060,Jogos!$A$2:$K$105,9,FALSE))</f>
        <v/>
      </c>
      <c r="H1060" s="8">
        <f>IF($B1060="","",VLOOKUP($B1060,Jogos!$A$2:$K$105,11,FALSE))</f>
        <v/>
      </c>
      <c r="I1060" s="5">
        <f>IF(OR($A1060="", $B1060="", $E1060="", $F1060="", $G1060="", $H1060=""), "",IF(AND($E1060=$G1060, $F1060=$H1060), 3, IF(SIGN($E1060-$F1060)=SIGN($G1060-$H1060), 1, 0))))</f>
        <v/>
      </c>
    </row>
    <row r="1061">
      <c r="A1061" s="5" t="inlineStr"/>
      <c r="B1061" s="5" t="inlineStr"/>
      <c r="C1061" s="5">
        <f>IF($B1061="","",VLOOKUP($B1061,Jogos!$A$2:$K$105,8,FALSE))</f>
        <v/>
      </c>
      <c r="D1061" s="5">
        <f>IF($B1061="","",VLOOKUP($B1061,Jogos!$A$2:$K$105,10,FALSE))</f>
        <v/>
      </c>
      <c r="E1061" s="5" t="inlineStr"/>
      <c r="F1061" s="5" t="inlineStr"/>
      <c r="G1061" s="8">
        <f>IF($B1061="","",VLOOKUP($B1061,Jogos!$A$2:$K$105,9,FALSE))</f>
        <v/>
      </c>
      <c r="H1061" s="8">
        <f>IF($B1061="","",VLOOKUP($B1061,Jogos!$A$2:$K$105,11,FALSE))</f>
        <v/>
      </c>
      <c r="I1061" s="5">
        <f>IF(OR($A1061="", $B1061="", $E1061="", $F1061="", $G1061="", $H1061=""), "",IF(AND($E1061=$G1061, $F1061=$H1061), 3, IF(SIGN($E1061-$F1061)=SIGN($G1061-$H1061), 1, 0))))</f>
        <v/>
      </c>
    </row>
    <row r="1062">
      <c r="A1062" s="5" t="inlineStr"/>
      <c r="B1062" s="5" t="inlineStr"/>
      <c r="C1062" s="5">
        <f>IF($B1062="","",VLOOKUP($B1062,Jogos!$A$2:$K$105,8,FALSE))</f>
        <v/>
      </c>
      <c r="D1062" s="5">
        <f>IF($B1062="","",VLOOKUP($B1062,Jogos!$A$2:$K$105,10,FALSE))</f>
        <v/>
      </c>
      <c r="E1062" s="5" t="inlineStr"/>
      <c r="F1062" s="5" t="inlineStr"/>
      <c r="G1062" s="8">
        <f>IF($B1062="","",VLOOKUP($B1062,Jogos!$A$2:$K$105,9,FALSE))</f>
        <v/>
      </c>
      <c r="H1062" s="8">
        <f>IF($B1062="","",VLOOKUP($B1062,Jogos!$A$2:$K$105,11,FALSE))</f>
        <v/>
      </c>
      <c r="I1062" s="5">
        <f>IF(OR($A1062="", $B1062="", $E1062="", $F1062="", $G1062="", $H1062=""), "",IF(AND($E1062=$G1062, $F1062=$H1062), 3, IF(SIGN($E1062-$F1062)=SIGN($G1062-$H1062), 1, 0))))</f>
        <v/>
      </c>
    </row>
    <row r="1063">
      <c r="A1063" s="5" t="inlineStr"/>
      <c r="B1063" s="5" t="inlineStr"/>
      <c r="C1063" s="5">
        <f>IF($B1063="","",VLOOKUP($B1063,Jogos!$A$2:$K$105,8,FALSE))</f>
        <v/>
      </c>
      <c r="D1063" s="5">
        <f>IF($B1063="","",VLOOKUP($B1063,Jogos!$A$2:$K$105,10,FALSE))</f>
        <v/>
      </c>
      <c r="E1063" s="5" t="inlineStr"/>
      <c r="F1063" s="5" t="inlineStr"/>
      <c r="G1063" s="8">
        <f>IF($B1063="","",VLOOKUP($B1063,Jogos!$A$2:$K$105,9,FALSE))</f>
        <v/>
      </c>
      <c r="H1063" s="8">
        <f>IF($B1063="","",VLOOKUP($B1063,Jogos!$A$2:$K$105,11,FALSE))</f>
        <v/>
      </c>
      <c r="I1063" s="5">
        <f>IF(OR($A1063="", $B1063="", $E1063="", $F1063="", $G1063="", $H1063=""), "",IF(AND($E1063=$G1063, $F1063=$H1063), 3, IF(SIGN($E1063-$F1063)=SIGN($G1063-$H1063), 1, 0))))</f>
        <v/>
      </c>
    </row>
    <row r="1064">
      <c r="A1064" s="5" t="inlineStr"/>
      <c r="B1064" s="5" t="inlineStr"/>
      <c r="C1064" s="5">
        <f>IF($B1064="","",VLOOKUP($B1064,Jogos!$A$2:$K$105,8,FALSE))</f>
        <v/>
      </c>
      <c r="D1064" s="5">
        <f>IF($B1064="","",VLOOKUP($B1064,Jogos!$A$2:$K$105,10,FALSE))</f>
        <v/>
      </c>
      <c r="E1064" s="5" t="inlineStr"/>
      <c r="F1064" s="5" t="inlineStr"/>
      <c r="G1064" s="8">
        <f>IF($B1064="","",VLOOKUP($B1064,Jogos!$A$2:$K$105,9,FALSE))</f>
        <v/>
      </c>
      <c r="H1064" s="8">
        <f>IF($B1064="","",VLOOKUP($B1064,Jogos!$A$2:$K$105,11,FALSE))</f>
        <v/>
      </c>
      <c r="I1064" s="5">
        <f>IF(OR($A1064="", $B1064="", $E1064="", $F1064="", $G1064="", $H1064=""), "",IF(AND($E1064=$G1064, $F1064=$H1064), 3, IF(SIGN($E1064-$F1064)=SIGN($G1064-$H1064), 1, 0))))</f>
        <v/>
      </c>
    </row>
    <row r="1065">
      <c r="A1065" s="5" t="inlineStr"/>
      <c r="B1065" s="5" t="inlineStr"/>
      <c r="C1065" s="5">
        <f>IF($B1065="","",VLOOKUP($B1065,Jogos!$A$2:$K$105,8,FALSE))</f>
        <v/>
      </c>
      <c r="D1065" s="5">
        <f>IF($B1065="","",VLOOKUP($B1065,Jogos!$A$2:$K$105,10,FALSE))</f>
        <v/>
      </c>
      <c r="E1065" s="5" t="inlineStr"/>
      <c r="F1065" s="5" t="inlineStr"/>
      <c r="G1065" s="8">
        <f>IF($B1065="","",VLOOKUP($B1065,Jogos!$A$2:$K$105,9,FALSE))</f>
        <v/>
      </c>
      <c r="H1065" s="8">
        <f>IF($B1065="","",VLOOKUP($B1065,Jogos!$A$2:$K$105,11,FALSE))</f>
        <v/>
      </c>
      <c r="I1065" s="5">
        <f>IF(OR($A1065="", $B1065="", $E1065="", $F1065="", $G1065="", $H1065=""), "",IF(AND($E1065=$G1065, $F1065=$H1065), 3, IF(SIGN($E1065-$F1065)=SIGN($G1065-$H1065), 1, 0))))</f>
        <v/>
      </c>
    </row>
    <row r="1066">
      <c r="A1066" s="5" t="inlineStr"/>
      <c r="B1066" s="5" t="inlineStr"/>
      <c r="C1066" s="5">
        <f>IF($B1066="","",VLOOKUP($B1066,Jogos!$A$2:$K$105,8,FALSE))</f>
        <v/>
      </c>
      <c r="D1066" s="5">
        <f>IF($B1066="","",VLOOKUP($B1066,Jogos!$A$2:$K$105,10,FALSE))</f>
        <v/>
      </c>
      <c r="E1066" s="5" t="inlineStr"/>
      <c r="F1066" s="5" t="inlineStr"/>
      <c r="G1066" s="8">
        <f>IF($B1066="","",VLOOKUP($B1066,Jogos!$A$2:$K$105,9,FALSE))</f>
        <v/>
      </c>
      <c r="H1066" s="8">
        <f>IF($B1066="","",VLOOKUP($B1066,Jogos!$A$2:$K$105,11,FALSE))</f>
        <v/>
      </c>
      <c r="I1066" s="5">
        <f>IF(OR($A1066="", $B1066="", $E1066="", $F1066="", $G1066="", $H1066=""), "",IF(AND($E1066=$G1066, $F1066=$H1066), 3, IF(SIGN($E1066-$F1066)=SIGN($G1066-$H1066), 1, 0))))</f>
        <v/>
      </c>
    </row>
    <row r="1067">
      <c r="A1067" s="5" t="inlineStr"/>
      <c r="B1067" s="5" t="inlineStr"/>
      <c r="C1067" s="5">
        <f>IF($B1067="","",VLOOKUP($B1067,Jogos!$A$2:$K$105,8,FALSE))</f>
        <v/>
      </c>
      <c r="D1067" s="5">
        <f>IF($B1067="","",VLOOKUP($B1067,Jogos!$A$2:$K$105,10,FALSE))</f>
        <v/>
      </c>
      <c r="E1067" s="5" t="inlineStr"/>
      <c r="F1067" s="5" t="inlineStr"/>
      <c r="G1067" s="8">
        <f>IF($B1067="","",VLOOKUP($B1067,Jogos!$A$2:$K$105,9,FALSE))</f>
        <v/>
      </c>
      <c r="H1067" s="8">
        <f>IF($B1067="","",VLOOKUP($B1067,Jogos!$A$2:$K$105,11,FALSE))</f>
        <v/>
      </c>
      <c r="I1067" s="5">
        <f>IF(OR($A1067="", $B1067="", $E1067="", $F1067="", $G1067="", $H1067=""), "",IF(AND($E1067=$G1067, $F1067=$H1067), 3, IF(SIGN($E1067-$F1067)=SIGN($G1067-$H1067), 1, 0))))</f>
        <v/>
      </c>
    </row>
    <row r="1068">
      <c r="A1068" s="5" t="inlineStr"/>
      <c r="B1068" s="5" t="inlineStr"/>
      <c r="C1068" s="5">
        <f>IF($B1068="","",VLOOKUP($B1068,Jogos!$A$2:$K$105,8,FALSE))</f>
        <v/>
      </c>
      <c r="D1068" s="5">
        <f>IF($B1068="","",VLOOKUP($B1068,Jogos!$A$2:$K$105,10,FALSE))</f>
        <v/>
      </c>
      <c r="E1068" s="5" t="inlineStr"/>
      <c r="F1068" s="5" t="inlineStr"/>
      <c r="G1068" s="8">
        <f>IF($B1068="","",VLOOKUP($B1068,Jogos!$A$2:$K$105,9,FALSE))</f>
        <v/>
      </c>
      <c r="H1068" s="8">
        <f>IF($B1068="","",VLOOKUP($B1068,Jogos!$A$2:$K$105,11,FALSE))</f>
        <v/>
      </c>
      <c r="I1068" s="5">
        <f>IF(OR($A1068="", $B1068="", $E1068="", $F1068="", $G1068="", $H1068=""), "",IF(AND($E1068=$G1068, $F1068=$H1068), 3, IF(SIGN($E1068-$F1068)=SIGN($G1068-$H1068), 1, 0))))</f>
        <v/>
      </c>
    </row>
    <row r="1069">
      <c r="A1069" s="5" t="inlineStr"/>
      <c r="B1069" s="5" t="inlineStr"/>
      <c r="C1069" s="5">
        <f>IF($B1069="","",VLOOKUP($B1069,Jogos!$A$2:$K$105,8,FALSE))</f>
        <v/>
      </c>
      <c r="D1069" s="5">
        <f>IF($B1069="","",VLOOKUP($B1069,Jogos!$A$2:$K$105,10,FALSE))</f>
        <v/>
      </c>
      <c r="E1069" s="5" t="inlineStr"/>
      <c r="F1069" s="5" t="inlineStr"/>
      <c r="G1069" s="8">
        <f>IF($B1069="","",VLOOKUP($B1069,Jogos!$A$2:$K$105,9,FALSE))</f>
        <v/>
      </c>
      <c r="H1069" s="8">
        <f>IF($B1069="","",VLOOKUP($B1069,Jogos!$A$2:$K$105,11,FALSE))</f>
        <v/>
      </c>
      <c r="I1069" s="5">
        <f>IF(OR($A1069="", $B1069="", $E1069="", $F1069="", $G1069="", $H1069=""), "",IF(AND($E1069=$G1069, $F1069=$H1069), 3, IF(SIGN($E1069-$F1069)=SIGN($G1069-$H1069), 1, 0))))</f>
        <v/>
      </c>
    </row>
    <row r="1070">
      <c r="A1070" s="5" t="inlineStr"/>
      <c r="B1070" s="5" t="inlineStr"/>
      <c r="C1070" s="5">
        <f>IF($B1070="","",VLOOKUP($B1070,Jogos!$A$2:$K$105,8,FALSE))</f>
        <v/>
      </c>
      <c r="D1070" s="5">
        <f>IF($B1070="","",VLOOKUP($B1070,Jogos!$A$2:$K$105,10,FALSE))</f>
        <v/>
      </c>
      <c r="E1070" s="5" t="inlineStr"/>
      <c r="F1070" s="5" t="inlineStr"/>
      <c r="G1070" s="8">
        <f>IF($B1070="","",VLOOKUP($B1070,Jogos!$A$2:$K$105,9,FALSE))</f>
        <v/>
      </c>
      <c r="H1070" s="8">
        <f>IF($B1070="","",VLOOKUP($B1070,Jogos!$A$2:$K$105,11,FALSE))</f>
        <v/>
      </c>
      <c r="I1070" s="5">
        <f>IF(OR($A1070="", $B1070="", $E1070="", $F1070="", $G1070="", $H1070=""), "",IF(AND($E1070=$G1070, $F1070=$H1070), 3, IF(SIGN($E1070-$F1070)=SIGN($G1070-$H1070), 1, 0))))</f>
        <v/>
      </c>
    </row>
    <row r="1071">
      <c r="A1071" s="5" t="inlineStr"/>
      <c r="B1071" s="5" t="inlineStr"/>
      <c r="C1071" s="5">
        <f>IF($B1071="","",VLOOKUP($B1071,Jogos!$A$2:$K$105,8,FALSE))</f>
        <v/>
      </c>
      <c r="D1071" s="5">
        <f>IF($B1071="","",VLOOKUP($B1071,Jogos!$A$2:$K$105,10,FALSE))</f>
        <v/>
      </c>
      <c r="E1071" s="5" t="inlineStr"/>
      <c r="F1071" s="5" t="inlineStr"/>
      <c r="G1071" s="8">
        <f>IF($B1071="","",VLOOKUP($B1071,Jogos!$A$2:$K$105,9,FALSE))</f>
        <v/>
      </c>
      <c r="H1071" s="8">
        <f>IF($B1071="","",VLOOKUP($B1071,Jogos!$A$2:$K$105,11,FALSE))</f>
        <v/>
      </c>
      <c r="I1071" s="5">
        <f>IF(OR($A1071="", $B1071="", $E1071="", $F1071="", $G1071="", $H1071=""), "",IF(AND($E1071=$G1071, $F1071=$H1071), 3, IF(SIGN($E1071-$F1071)=SIGN($G1071-$H1071), 1, 0))))</f>
        <v/>
      </c>
    </row>
    <row r="1072">
      <c r="A1072" s="5" t="inlineStr"/>
      <c r="B1072" s="5" t="inlineStr"/>
      <c r="C1072" s="5">
        <f>IF($B1072="","",VLOOKUP($B1072,Jogos!$A$2:$K$105,8,FALSE))</f>
        <v/>
      </c>
      <c r="D1072" s="5">
        <f>IF($B1072="","",VLOOKUP($B1072,Jogos!$A$2:$K$105,10,FALSE))</f>
        <v/>
      </c>
      <c r="E1072" s="5" t="inlineStr"/>
      <c r="F1072" s="5" t="inlineStr"/>
      <c r="G1072" s="8">
        <f>IF($B1072="","",VLOOKUP($B1072,Jogos!$A$2:$K$105,9,FALSE))</f>
        <v/>
      </c>
      <c r="H1072" s="8">
        <f>IF($B1072="","",VLOOKUP($B1072,Jogos!$A$2:$K$105,11,FALSE))</f>
        <v/>
      </c>
      <c r="I1072" s="5">
        <f>IF(OR($A1072="", $B1072="", $E1072="", $F1072="", $G1072="", $H1072=""), "",IF(AND($E1072=$G1072, $F1072=$H1072), 3, IF(SIGN($E1072-$F1072)=SIGN($G1072-$H1072), 1, 0))))</f>
        <v/>
      </c>
    </row>
    <row r="1073">
      <c r="A1073" s="5" t="inlineStr"/>
      <c r="B1073" s="5" t="inlineStr"/>
      <c r="C1073" s="5">
        <f>IF($B1073="","",VLOOKUP($B1073,Jogos!$A$2:$K$105,8,FALSE))</f>
        <v/>
      </c>
      <c r="D1073" s="5">
        <f>IF($B1073="","",VLOOKUP($B1073,Jogos!$A$2:$K$105,10,FALSE))</f>
        <v/>
      </c>
      <c r="E1073" s="5" t="inlineStr"/>
      <c r="F1073" s="5" t="inlineStr"/>
      <c r="G1073" s="8">
        <f>IF($B1073="","",VLOOKUP($B1073,Jogos!$A$2:$K$105,9,FALSE))</f>
        <v/>
      </c>
      <c r="H1073" s="8">
        <f>IF($B1073="","",VLOOKUP($B1073,Jogos!$A$2:$K$105,11,FALSE))</f>
        <v/>
      </c>
      <c r="I1073" s="5">
        <f>IF(OR($A1073="", $B1073="", $E1073="", $F1073="", $G1073="", $H1073=""), "",IF(AND($E1073=$G1073, $F1073=$H1073), 3, IF(SIGN($E1073-$F1073)=SIGN($G1073-$H1073), 1, 0))))</f>
        <v/>
      </c>
    </row>
    <row r="1074">
      <c r="A1074" s="5" t="inlineStr"/>
      <c r="B1074" s="5" t="inlineStr"/>
      <c r="C1074" s="5">
        <f>IF($B1074="","",VLOOKUP($B1074,Jogos!$A$2:$K$105,8,FALSE))</f>
        <v/>
      </c>
      <c r="D1074" s="5">
        <f>IF($B1074="","",VLOOKUP($B1074,Jogos!$A$2:$K$105,10,FALSE))</f>
        <v/>
      </c>
      <c r="E1074" s="5" t="inlineStr"/>
      <c r="F1074" s="5" t="inlineStr"/>
      <c r="G1074" s="8">
        <f>IF($B1074="","",VLOOKUP($B1074,Jogos!$A$2:$K$105,9,FALSE))</f>
        <v/>
      </c>
      <c r="H1074" s="8">
        <f>IF($B1074="","",VLOOKUP($B1074,Jogos!$A$2:$K$105,11,FALSE))</f>
        <v/>
      </c>
      <c r="I1074" s="5">
        <f>IF(OR($A1074="", $B1074="", $E1074="", $F1074="", $G1074="", $H1074=""), "",IF(AND($E1074=$G1074, $F1074=$H1074), 3, IF(SIGN($E1074-$F1074)=SIGN($G1074-$H1074), 1, 0))))</f>
        <v/>
      </c>
    </row>
    <row r="1075">
      <c r="A1075" s="5" t="inlineStr"/>
      <c r="B1075" s="5" t="inlineStr"/>
      <c r="C1075" s="5">
        <f>IF($B1075="","",VLOOKUP($B1075,Jogos!$A$2:$K$105,8,FALSE))</f>
        <v/>
      </c>
      <c r="D1075" s="5">
        <f>IF($B1075="","",VLOOKUP($B1075,Jogos!$A$2:$K$105,10,FALSE))</f>
        <v/>
      </c>
      <c r="E1075" s="5" t="inlineStr"/>
      <c r="F1075" s="5" t="inlineStr"/>
      <c r="G1075" s="8">
        <f>IF($B1075="","",VLOOKUP($B1075,Jogos!$A$2:$K$105,9,FALSE))</f>
        <v/>
      </c>
      <c r="H1075" s="8">
        <f>IF($B1075="","",VLOOKUP($B1075,Jogos!$A$2:$K$105,11,FALSE))</f>
        <v/>
      </c>
      <c r="I1075" s="5">
        <f>IF(OR($A1075="", $B1075="", $E1075="", $F1075="", $G1075="", $H1075=""), "",IF(AND($E1075=$G1075, $F1075=$H1075), 3, IF(SIGN($E1075-$F1075)=SIGN($G1075-$H1075), 1, 0))))</f>
        <v/>
      </c>
    </row>
    <row r="1076">
      <c r="A1076" s="5" t="inlineStr"/>
      <c r="B1076" s="5" t="inlineStr"/>
      <c r="C1076" s="5">
        <f>IF($B1076="","",VLOOKUP($B1076,Jogos!$A$2:$K$105,8,FALSE))</f>
        <v/>
      </c>
      <c r="D1076" s="5">
        <f>IF($B1076="","",VLOOKUP($B1076,Jogos!$A$2:$K$105,10,FALSE))</f>
        <v/>
      </c>
      <c r="E1076" s="5" t="inlineStr"/>
      <c r="F1076" s="5" t="inlineStr"/>
      <c r="G1076" s="8">
        <f>IF($B1076="","",VLOOKUP($B1076,Jogos!$A$2:$K$105,9,FALSE))</f>
        <v/>
      </c>
      <c r="H1076" s="8">
        <f>IF($B1076="","",VLOOKUP($B1076,Jogos!$A$2:$K$105,11,FALSE))</f>
        <v/>
      </c>
      <c r="I1076" s="5">
        <f>IF(OR($A1076="", $B1076="", $E1076="", $F1076="", $G1076="", $H1076=""), "",IF(AND($E1076=$G1076, $F1076=$H1076), 3, IF(SIGN($E1076-$F1076)=SIGN($G1076-$H1076), 1, 0))))</f>
        <v/>
      </c>
    </row>
    <row r="1077">
      <c r="A1077" s="5" t="inlineStr"/>
      <c r="B1077" s="5" t="inlineStr"/>
      <c r="C1077" s="5">
        <f>IF($B1077="","",VLOOKUP($B1077,Jogos!$A$2:$K$105,8,FALSE))</f>
        <v/>
      </c>
      <c r="D1077" s="5">
        <f>IF($B1077="","",VLOOKUP($B1077,Jogos!$A$2:$K$105,10,FALSE))</f>
        <v/>
      </c>
      <c r="E1077" s="5" t="inlineStr"/>
      <c r="F1077" s="5" t="inlineStr"/>
      <c r="G1077" s="8">
        <f>IF($B1077="","",VLOOKUP($B1077,Jogos!$A$2:$K$105,9,FALSE))</f>
        <v/>
      </c>
      <c r="H1077" s="8">
        <f>IF($B1077="","",VLOOKUP($B1077,Jogos!$A$2:$K$105,11,FALSE))</f>
        <v/>
      </c>
      <c r="I1077" s="5">
        <f>IF(OR($A1077="", $B1077="", $E1077="", $F1077="", $G1077="", $H1077=""), "",IF(AND($E1077=$G1077, $F1077=$H1077), 3, IF(SIGN($E1077-$F1077)=SIGN($G1077-$H1077), 1, 0))))</f>
        <v/>
      </c>
    </row>
    <row r="1078">
      <c r="A1078" s="5" t="inlineStr"/>
      <c r="B1078" s="5" t="inlineStr"/>
      <c r="C1078" s="5">
        <f>IF($B1078="","",VLOOKUP($B1078,Jogos!$A$2:$K$105,8,FALSE))</f>
        <v/>
      </c>
      <c r="D1078" s="5">
        <f>IF($B1078="","",VLOOKUP($B1078,Jogos!$A$2:$K$105,10,FALSE))</f>
        <v/>
      </c>
      <c r="E1078" s="5" t="inlineStr"/>
      <c r="F1078" s="5" t="inlineStr"/>
      <c r="G1078" s="8">
        <f>IF($B1078="","",VLOOKUP($B1078,Jogos!$A$2:$K$105,9,FALSE))</f>
        <v/>
      </c>
      <c r="H1078" s="8">
        <f>IF($B1078="","",VLOOKUP($B1078,Jogos!$A$2:$K$105,11,FALSE))</f>
        <v/>
      </c>
      <c r="I1078" s="5">
        <f>IF(OR($A1078="", $B1078="", $E1078="", $F1078="", $G1078="", $H1078=""), "",IF(AND($E1078=$G1078, $F1078=$H1078), 3, IF(SIGN($E1078-$F1078)=SIGN($G1078-$H1078), 1, 0))))</f>
        <v/>
      </c>
    </row>
    <row r="1079">
      <c r="A1079" s="5" t="inlineStr"/>
      <c r="B1079" s="5" t="inlineStr"/>
      <c r="C1079" s="5">
        <f>IF($B1079="","",VLOOKUP($B1079,Jogos!$A$2:$K$105,8,FALSE))</f>
        <v/>
      </c>
      <c r="D1079" s="5">
        <f>IF($B1079="","",VLOOKUP($B1079,Jogos!$A$2:$K$105,10,FALSE))</f>
        <v/>
      </c>
      <c r="E1079" s="5" t="inlineStr"/>
      <c r="F1079" s="5" t="inlineStr"/>
      <c r="G1079" s="8">
        <f>IF($B1079="","",VLOOKUP($B1079,Jogos!$A$2:$K$105,9,FALSE))</f>
        <v/>
      </c>
      <c r="H1079" s="8">
        <f>IF($B1079="","",VLOOKUP($B1079,Jogos!$A$2:$K$105,11,FALSE))</f>
        <v/>
      </c>
      <c r="I1079" s="5">
        <f>IF(OR($A1079="", $B1079="", $E1079="", $F1079="", $G1079="", $H1079=""), "",IF(AND($E1079=$G1079, $F1079=$H1079), 3, IF(SIGN($E1079-$F1079)=SIGN($G1079-$H1079), 1, 0))))</f>
        <v/>
      </c>
    </row>
    <row r="1080">
      <c r="A1080" s="5" t="inlineStr"/>
      <c r="B1080" s="5" t="inlineStr"/>
      <c r="C1080" s="5">
        <f>IF($B1080="","",VLOOKUP($B1080,Jogos!$A$2:$K$105,8,FALSE))</f>
        <v/>
      </c>
      <c r="D1080" s="5">
        <f>IF($B1080="","",VLOOKUP($B1080,Jogos!$A$2:$K$105,10,FALSE))</f>
        <v/>
      </c>
      <c r="E1080" s="5" t="inlineStr"/>
      <c r="F1080" s="5" t="inlineStr"/>
      <c r="G1080" s="8">
        <f>IF($B1080="","",VLOOKUP($B1080,Jogos!$A$2:$K$105,9,FALSE))</f>
        <v/>
      </c>
      <c r="H1080" s="8">
        <f>IF($B1080="","",VLOOKUP($B1080,Jogos!$A$2:$K$105,11,FALSE))</f>
        <v/>
      </c>
      <c r="I1080" s="5">
        <f>IF(OR($A1080="", $B1080="", $E1080="", $F1080="", $G1080="", $H1080=""), "",IF(AND($E1080=$G1080, $F1080=$H1080), 3, IF(SIGN($E1080-$F1080)=SIGN($G1080-$H1080), 1, 0))))</f>
        <v/>
      </c>
    </row>
    <row r="1081">
      <c r="A1081" s="5" t="inlineStr"/>
      <c r="B1081" s="5" t="inlineStr"/>
      <c r="C1081" s="5">
        <f>IF($B1081="","",VLOOKUP($B1081,Jogos!$A$2:$K$105,8,FALSE))</f>
        <v/>
      </c>
      <c r="D1081" s="5">
        <f>IF($B1081="","",VLOOKUP($B1081,Jogos!$A$2:$K$105,10,FALSE))</f>
        <v/>
      </c>
      <c r="E1081" s="5" t="inlineStr"/>
      <c r="F1081" s="5" t="inlineStr"/>
      <c r="G1081" s="8">
        <f>IF($B1081="","",VLOOKUP($B1081,Jogos!$A$2:$K$105,9,FALSE))</f>
        <v/>
      </c>
      <c r="H1081" s="8">
        <f>IF($B1081="","",VLOOKUP($B1081,Jogos!$A$2:$K$105,11,FALSE))</f>
        <v/>
      </c>
      <c r="I1081" s="5">
        <f>IF(OR($A1081="", $B1081="", $E1081="", $F1081="", $G1081="", $H1081=""), "",IF(AND($E1081=$G1081, $F1081=$H1081), 3, IF(SIGN($E1081-$F1081)=SIGN($G1081-$H1081), 1, 0))))</f>
        <v/>
      </c>
    </row>
    <row r="1082">
      <c r="A1082" s="5" t="inlineStr"/>
      <c r="B1082" s="5" t="inlineStr"/>
      <c r="C1082" s="5">
        <f>IF($B1082="","",VLOOKUP($B1082,Jogos!$A$2:$K$105,8,FALSE))</f>
        <v/>
      </c>
      <c r="D1082" s="5">
        <f>IF($B1082="","",VLOOKUP($B1082,Jogos!$A$2:$K$105,10,FALSE))</f>
        <v/>
      </c>
      <c r="E1082" s="5" t="inlineStr"/>
      <c r="F1082" s="5" t="inlineStr"/>
      <c r="G1082" s="8">
        <f>IF($B1082="","",VLOOKUP($B1082,Jogos!$A$2:$K$105,9,FALSE))</f>
        <v/>
      </c>
      <c r="H1082" s="8">
        <f>IF($B1082="","",VLOOKUP($B1082,Jogos!$A$2:$K$105,11,FALSE))</f>
        <v/>
      </c>
      <c r="I1082" s="5">
        <f>IF(OR($A1082="", $B1082="", $E1082="", $F1082="", $G1082="", $H1082=""), "",IF(AND($E1082=$G1082, $F1082=$H1082), 3, IF(SIGN($E1082-$F1082)=SIGN($G1082-$H1082), 1, 0))))</f>
        <v/>
      </c>
    </row>
    <row r="1083">
      <c r="A1083" s="5" t="inlineStr"/>
      <c r="B1083" s="5" t="inlineStr"/>
      <c r="C1083" s="5">
        <f>IF($B1083="","",VLOOKUP($B1083,Jogos!$A$2:$K$105,8,FALSE))</f>
        <v/>
      </c>
      <c r="D1083" s="5">
        <f>IF($B1083="","",VLOOKUP($B1083,Jogos!$A$2:$K$105,10,FALSE))</f>
        <v/>
      </c>
      <c r="E1083" s="5" t="inlineStr"/>
      <c r="F1083" s="5" t="inlineStr"/>
      <c r="G1083" s="8">
        <f>IF($B1083="","",VLOOKUP($B1083,Jogos!$A$2:$K$105,9,FALSE))</f>
        <v/>
      </c>
      <c r="H1083" s="8">
        <f>IF($B1083="","",VLOOKUP($B1083,Jogos!$A$2:$K$105,11,FALSE))</f>
        <v/>
      </c>
      <c r="I1083" s="5">
        <f>IF(OR($A1083="", $B1083="", $E1083="", $F1083="", $G1083="", $H1083=""), "",IF(AND($E1083=$G1083, $F1083=$H1083), 3, IF(SIGN($E1083-$F1083)=SIGN($G1083-$H1083), 1, 0))))</f>
        <v/>
      </c>
    </row>
    <row r="1084">
      <c r="A1084" s="5" t="inlineStr"/>
      <c r="B1084" s="5" t="inlineStr"/>
      <c r="C1084" s="5">
        <f>IF($B1084="","",VLOOKUP($B1084,Jogos!$A$2:$K$105,8,FALSE))</f>
        <v/>
      </c>
      <c r="D1084" s="5">
        <f>IF($B1084="","",VLOOKUP($B1084,Jogos!$A$2:$K$105,10,FALSE))</f>
        <v/>
      </c>
      <c r="E1084" s="5" t="inlineStr"/>
      <c r="F1084" s="5" t="inlineStr"/>
      <c r="G1084" s="8">
        <f>IF($B1084="","",VLOOKUP($B1084,Jogos!$A$2:$K$105,9,FALSE))</f>
        <v/>
      </c>
      <c r="H1084" s="8">
        <f>IF($B1084="","",VLOOKUP($B1084,Jogos!$A$2:$K$105,11,FALSE))</f>
        <v/>
      </c>
      <c r="I1084" s="5">
        <f>IF(OR($A1084="", $B1084="", $E1084="", $F1084="", $G1084="", $H1084=""), "",IF(AND($E1084=$G1084, $F1084=$H1084), 3, IF(SIGN($E1084-$F1084)=SIGN($G1084-$H1084), 1, 0))))</f>
        <v/>
      </c>
    </row>
    <row r="1085">
      <c r="A1085" s="5" t="inlineStr"/>
      <c r="B1085" s="5" t="inlineStr"/>
      <c r="C1085" s="5">
        <f>IF($B1085="","",VLOOKUP($B1085,Jogos!$A$2:$K$105,8,FALSE))</f>
        <v/>
      </c>
      <c r="D1085" s="5">
        <f>IF($B1085="","",VLOOKUP($B1085,Jogos!$A$2:$K$105,10,FALSE))</f>
        <v/>
      </c>
      <c r="E1085" s="5" t="inlineStr"/>
      <c r="F1085" s="5" t="inlineStr"/>
      <c r="G1085" s="8">
        <f>IF($B1085="","",VLOOKUP($B1085,Jogos!$A$2:$K$105,9,FALSE))</f>
        <v/>
      </c>
      <c r="H1085" s="8">
        <f>IF($B1085="","",VLOOKUP($B1085,Jogos!$A$2:$K$105,11,FALSE))</f>
        <v/>
      </c>
      <c r="I1085" s="5">
        <f>IF(OR($A1085="", $B1085="", $E1085="", $F1085="", $G1085="", $H1085=""), "",IF(AND($E1085=$G1085, $F1085=$H1085), 3, IF(SIGN($E1085-$F1085)=SIGN($G1085-$H1085), 1, 0))))</f>
        <v/>
      </c>
    </row>
    <row r="1086">
      <c r="A1086" s="5" t="inlineStr"/>
      <c r="B1086" s="5" t="inlineStr"/>
      <c r="C1086" s="5">
        <f>IF($B1086="","",VLOOKUP($B1086,Jogos!$A$2:$K$105,8,FALSE))</f>
        <v/>
      </c>
      <c r="D1086" s="5">
        <f>IF($B1086="","",VLOOKUP($B1086,Jogos!$A$2:$K$105,10,FALSE))</f>
        <v/>
      </c>
      <c r="E1086" s="5" t="inlineStr"/>
      <c r="F1086" s="5" t="inlineStr"/>
      <c r="G1086" s="8">
        <f>IF($B1086="","",VLOOKUP($B1086,Jogos!$A$2:$K$105,9,FALSE))</f>
        <v/>
      </c>
      <c r="H1086" s="8">
        <f>IF($B1086="","",VLOOKUP($B1086,Jogos!$A$2:$K$105,11,FALSE))</f>
        <v/>
      </c>
      <c r="I1086" s="5">
        <f>IF(OR($A1086="", $B1086="", $E1086="", $F1086="", $G1086="", $H1086=""), "",IF(AND($E1086=$G1086, $F1086=$H1086), 3, IF(SIGN($E1086-$F1086)=SIGN($G1086-$H1086), 1, 0))))</f>
        <v/>
      </c>
    </row>
    <row r="1087">
      <c r="A1087" s="5" t="inlineStr"/>
      <c r="B1087" s="5" t="inlineStr"/>
      <c r="C1087" s="5">
        <f>IF($B1087="","",VLOOKUP($B1087,Jogos!$A$2:$K$105,8,FALSE))</f>
        <v/>
      </c>
      <c r="D1087" s="5">
        <f>IF($B1087="","",VLOOKUP($B1087,Jogos!$A$2:$K$105,10,FALSE))</f>
        <v/>
      </c>
      <c r="E1087" s="5" t="inlineStr"/>
      <c r="F1087" s="5" t="inlineStr"/>
      <c r="G1087" s="8">
        <f>IF($B1087="","",VLOOKUP($B1087,Jogos!$A$2:$K$105,9,FALSE))</f>
        <v/>
      </c>
      <c r="H1087" s="8">
        <f>IF($B1087="","",VLOOKUP($B1087,Jogos!$A$2:$K$105,11,FALSE))</f>
        <v/>
      </c>
      <c r="I1087" s="5">
        <f>IF(OR($A1087="", $B1087="", $E1087="", $F1087="", $G1087="", $H1087=""), "",IF(AND($E1087=$G1087, $F1087=$H1087), 3, IF(SIGN($E1087-$F1087)=SIGN($G1087-$H1087), 1, 0))))</f>
        <v/>
      </c>
    </row>
    <row r="1088">
      <c r="A1088" s="5" t="inlineStr"/>
      <c r="B1088" s="5" t="inlineStr"/>
      <c r="C1088" s="5">
        <f>IF($B1088="","",VLOOKUP($B1088,Jogos!$A$2:$K$105,8,FALSE))</f>
        <v/>
      </c>
      <c r="D1088" s="5">
        <f>IF($B1088="","",VLOOKUP($B1088,Jogos!$A$2:$K$105,10,FALSE))</f>
        <v/>
      </c>
      <c r="E1088" s="5" t="inlineStr"/>
      <c r="F1088" s="5" t="inlineStr"/>
      <c r="G1088" s="8">
        <f>IF($B1088="","",VLOOKUP($B1088,Jogos!$A$2:$K$105,9,FALSE))</f>
        <v/>
      </c>
      <c r="H1088" s="8">
        <f>IF($B1088="","",VLOOKUP($B1088,Jogos!$A$2:$K$105,11,FALSE))</f>
        <v/>
      </c>
      <c r="I1088" s="5">
        <f>IF(OR($A1088="", $B1088="", $E1088="", $F1088="", $G1088="", $H1088=""), "",IF(AND($E1088=$G1088, $F1088=$H1088), 3, IF(SIGN($E1088-$F1088)=SIGN($G1088-$H1088), 1, 0))))</f>
        <v/>
      </c>
    </row>
    <row r="1089">
      <c r="A1089" s="5" t="inlineStr"/>
      <c r="B1089" s="5" t="inlineStr"/>
      <c r="C1089" s="5">
        <f>IF($B1089="","",VLOOKUP($B1089,Jogos!$A$2:$K$105,8,FALSE))</f>
        <v/>
      </c>
      <c r="D1089" s="5">
        <f>IF($B1089="","",VLOOKUP($B1089,Jogos!$A$2:$K$105,10,FALSE))</f>
        <v/>
      </c>
      <c r="E1089" s="5" t="inlineStr"/>
      <c r="F1089" s="5" t="inlineStr"/>
      <c r="G1089" s="8">
        <f>IF($B1089="","",VLOOKUP($B1089,Jogos!$A$2:$K$105,9,FALSE))</f>
        <v/>
      </c>
      <c r="H1089" s="8">
        <f>IF($B1089="","",VLOOKUP($B1089,Jogos!$A$2:$K$105,11,FALSE))</f>
        <v/>
      </c>
      <c r="I1089" s="5">
        <f>IF(OR($A1089="", $B1089="", $E1089="", $F1089="", $G1089="", $H1089=""), "",IF(AND($E1089=$G1089, $F1089=$H1089), 3, IF(SIGN($E1089-$F1089)=SIGN($G1089-$H1089), 1, 0))))</f>
        <v/>
      </c>
    </row>
    <row r="1090">
      <c r="A1090" s="5" t="inlineStr"/>
      <c r="B1090" s="5" t="inlineStr"/>
      <c r="C1090" s="5">
        <f>IF($B1090="","",VLOOKUP($B1090,Jogos!$A$2:$K$105,8,FALSE))</f>
        <v/>
      </c>
      <c r="D1090" s="5">
        <f>IF($B1090="","",VLOOKUP($B1090,Jogos!$A$2:$K$105,10,FALSE))</f>
        <v/>
      </c>
      <c r="E1090" s="5" t="inlineStr"/>
      <c r="F1090" s="5" t="inlineStr"/>
      <c r="G1090" s="8">
        <f>IF($B1090="","",VLOOKUP($B1090,Jogos!$A$2:$K$105,9,FALSE))</f>
        <v/>
      </c>
      <c r="H1090" s="8">
        <f>IF($B1090="","",VLOOKUP($B1090,Jogos!$A$2:$K$105,11,FALSE))</f>
        <v/>
      </c>
      <c r="I1090" s="5">
        <f>IF(OR($A1090="", $B1090="", $E1090="", $F1090="", $G1090="", $H1090=""), "",IF(AND($E1090=$G1090, $F1090=$H1090), 3, IF(SIGN($E1090-$F1090)=SIGN($G1090-$H1090), 1, 0))))</f>
        <v/>
      </c>
    </row>
    <row r="1091">
      <c r="A1091" s="5" t="inlineStr"/>
      <c r="B1091" s="5" t="inlineStr"/>
      <c r="C1091" s="5">
        <f>IF($B1091="","",VLOOKUP($B1091,Jogos!$A$2:$K$105,8,FALSE))</f>
        <v/>
      </c>
      <c r="D1091" s="5">
        <f>IF($B1091="","",VLOOKUP($B1091,Jogos!$A$2:$K$105,10,FALSE))</f>
        <v/>
      </c>
      <c r="E1091" s="5" t="inlineStr"/>
      <c r="F1091" s="5" t="inlineStr"/>
      <c r="G1091" s="8">
        <f>IF($B1091="","",VLOOKUP($B1091,Jogos!$A$2:$K$105,9,FALSE))</f>
        <v/>
      </c>
      <c r="H1091" s="8">
        <f>IF($B1091="","",VLOOKUP($B1091,Jogos!$A$2:$K$105,11,FALSE))</f>
        <v/>
      </c>
      <c r="I1091" s="5">
        <f>IF(OR($A1091="", $B1091="", $E1091="", $F1091="", $G1091="", $H1091=""), "",IF(AND($E1091=$G1091, $F1091=$H1091), 3, IF(SIGN($E1091-$F1091)=SIGN($G1091-$H1091), 1, 0))))</f>
        <v/>
      </c>
    </row>
    <row r="1092">
      <c r="A1092" s="5" t="inlineStr"/>
      <c r="B1092" s="5" t="inlineStr"/>
      <c r="C1092" s="5">
        <f>IF($B1092="","",VLOOKUP($B1092,Jogos!$A$2:$K$105,8,FALSE))</f>
        <v/>
      </c>
      <c r="D1092" s="5">
        <f>IF($B1092="","",VLOOKUP($B1092,Jogos!$A$2:$K$105,10,FALSE))</f>
        <v/>
      </c>
      <c r="E1092" s="5" t="inlineStr"/>
      <c r="F1092" s="5" t="inlineStr"/>
      <c r="G1092" s="8">
        <f>IF($B1092="","",VLOOKUP($B1092,Jogos!$A$2:$K$105,9,FALSE))</f>
        <v/>
      </c>
      <c r="H1092" s="8">
        <f>IF($B1092="","",VLOOKUP($B1092,Jogos!$A$2:$K$105,11,FALSE))</f>
        <v/>
      </c>
      <c r="I1092" s="5">
        <f>IF(OR($A1092="", $B1092="", $E1092="", $F1092="", $G1092="", $H1092=""), "",IF(AND($E1092=$G1092, $F1092=$H1092), 3, IF(SIGN($E1092-$F1092)=SIGN($G1092-$H1092), 1, 0))))</f>
        <v/>
      </c>
    </row>
    <row r="1093">
      <c r="A1093" s="5" t="inlineStr"/>
      <c r="B1093" s="5" t="inlineStr"/>
      <c r="C1093" s="5">
        <f>IF($B1093="","",VLOOKUP($B1093,Jogos!$A$2:$K$105,8,FALSE))</f>
        <v/>
      </c>
      <c r="D1093" s="5">
        <f>IF($B1093="","",VLOOKUP($B1093,Jogos!$A$2:$K$105,10,FALSE))</f>
        <v/>
      </c>
      <c r="E1093" s="5" t="inlineStr"/>
      <c r="F1093" s="5" t="inlineStr"/>
      <c r="G1093" s="8">
        <f>IF($B1093="","",VLOOKUP($B1093,Jogos!$A$2:$K$105,9,FALSE))</f>
        <v/>
      </c>
      <c r="H1093" s="8">
        <f>IF($B1093="","",VLOOKUP($B1093,Jogos!$A$2:$K$105,11,FALSE))</f>
        <v/>
      </c>
      <c r="I1093" s="5">
        <f>IF(OR($A1093="", $B1093="", $E1093="", $F1093="", $G1093="", $H1093=""), "",IF(AND($E1093=$G1093, $F1093=$H1093), 3, IF(SIGN($E1093-$F1093)=SIGN($G1093-$H1093), 1, 0))))</f>
        <v/>
      </c>
    </row>
    <row r="1094">
      <c r="A1094" s="5" t="inlineStr"/>
      <c r="B1094" s="5" t="inlineStr"/>
      <c r="C1094" s="5">
        <f>IF($B1094="","",VLOOKUP($B1094,Jogos!$A$2:$K$105,8,FALSE))</f>
        <v/>
      </c>
      <c r="D1094" s="5">
        <f>IF($B1094="","",VLOOKUP($B1094,Jogos!$A$2:$K$105,10,FALSE))</f>
        <v/>
      </c>
      <c r="E1094" s="5" t="inlineStr"/>
      <c r="F1094" s="5" t="inlineStr"/>
      <c r="G1094" s="8">
        <f>IF($B1094="","",VLOOKUP($B1094,Jogos!$A$2:$K$105,9,FALSE))</f>
        <v/>
      </c>
      <c r="H1094" s="8">
        <f>IF($B1094="","",VLOOKUP($B1094,Jogos!$A$2:$K$105,11,FALSE))</f>
        <v/>
      </c>
      <c r="I1094" s="5">
        <f>IF(OR($A1094="", $B1094="", $E1094="", $F1094="", $G1094="", $H1094=""), "",IF(AND($E1094=$G1094, $F1094=$H1094), 3, IF(SIGN($E1094-$F1094)=SIGN($G1094-$H1094), 1, 0))))</f>
        <v/>
      </c>
    </row>
    <row r="1095">
      <c r="A1095" s="5" t="inlineStr"/>
      <c r="B1095" s="5" t="inlineStr"/>
      <c r="C1095" s="5">
        <f>IF($B1095="","",VLOOKUP($B1095,Jogos!$A$2:$K$105,8,FALSE))</f>
        <v/>
      </c>
      <c r="D1095" s="5">
        <f>IF($B1095="","",VLOOKUP($B1095,Jogos!$A$2:$K$105,10,FALSE))</f>
        <v/>
      </c>
      <c r="E1095" s="5" t="inlineStr"/>
      <c r="F1095" s="5" t="inlineStr"/>
      <c r="G1095" s="8">
        <f>IF($B1095="","",VLOOKUP($B1095,Jogos!$A$2:$K$105,9,FALSE))</f>
        <v/>
      </c>
      <c r="H1095" s="8">
        <f>IF($B1095="","",VLOOKUP($B1095,Jogos!$A$2:$K$105,11,FALSE))</f>
        <v/>
      </c>
      <c r="I1095" s="5">
        <f>IF(OR($A1095="", $B1095="", $E1095="", $F1095="", $G1095="", $H1095=""), "",IF(AND($E1095=$G1095, $F1095=$H1095), 3, IF(SIGN($E1095-$F1095)=SIGN($G1095-$H1095), 1, 0))))</f>
        <v/>
      </c>
    </row>
    <row r="1096">
      <c r="A1096" s="5" t="inlineStr"/>
      <c r="B1096" s="5" t="inlineStr"/>
      <c r="C1096" s="5">
        <f>IF($B1096="","",VLOOKUP($B1096,Jogos!$A$2:$K$105,8,FALSE))</f>
        <v/>
      </c>
      <c r="D1096" s="5">
        <f>IF($B1096="","",VLOOKUP($B1096,Jogos!$A$2:$K$105,10,FALSE))</f>
        <v/>
      </c>
      <c r="E1096" s="5" t="inlineStr"/>
      <c r="F1096" s="5" t="inlineStr"/>
      <c r="G1096" s="8">
        <f>IF($B1096="","",VLOOKUP($B1096,Jogos!$A$2:$K$105,9,FALSE))</f>
        <v/>
      </c>
      <c r="H1096" s="8">
        <f>IF($B1096="","",VLOOKUP($B1096,Jogos!$A$2:$K$105,11,FALSE))</f>
        <v/>
      </c>
      <c r="I1096" s="5">
        <f>IF(OR($A1096="", $B1096="", $E1096="", $F1096="", $G1096="", $H1096=""), "",IF(AND($E1096=$G1096, $F1096=$H1096), 3, IF(SIGN($E1096-$F1096)=SIGN($G1096-$H1096), 1, 0))))</f>
        <v/>
      </c>
    </row>
    <row r="1097">
      <c r="A1097" s="5" t="inlineStr"/>
      <c r="B1097" s="5" t="inlineStr"/>
      <c r="C1097" s="5">
        <f>IF($B1097="","",VLOOKUP($B1097,Jogos!$A$2:$K$105,8,FALSE))</f>
        <v/>
      </c>
      <c r="D1097" s="5">
        <f>IF($B1097="","",VLOOKUP($B1097,Jogos!$A$2:$K$105,10,FALSE))</f>
        <v/>
      </c>
      <c r="E1097" s="5" t="inlineStr"/>
      <c r="F1097" s="5" t="inlineStr"/>
      <c r="G1097" s="8">
        <f>IF($B1097="","",VLOOKUP($B1097,Jogos!$A$2:$K$105,9,FALSE))</f>
        <v/>
      </c>
      <c r="H1097" s="8">
        <f>IF($B1097="","",VLOOKUP($B1097,Jogos!$A$2:$K$105,11,FALSE))</f>
        <v/>
      </c>
      <c r="I1097" s="5">
        <f>IF(OR($A1097="", $B1097="", $E1097="", $F1097="", $G1097="", $H1097=""), "",IF(AND($E1097=$G1097, $F1097=$H1097), 3, IF(SIGN($E1097-$F1097)=SIGN($G1097-$H1097), 1, 0))))</f>
        <v/>
      </c>
    </row>
    <row r="1098">
      <c r="A1098" s="5" t="inlineStr"/>
      <c r="B1098" s="5" t="inlineStr"/>
      <c r="C1098" s="5">
        <f>IF($B1098="","",VLOOKUP($B1098,Jogos!$A$2:$K$105,8,FALSE))</f>
        <v/>
      </c>
      <c r="D1098" s="5">
        <f>IF($B1098="","",VLOOKUP($B1098,Jogos!$A$2:$K$105,10,FALSE))</f>
        <v/>
      </c>
      <c r="E1098" s="5" t="inlineStr"/>
      <c r="F1098" s="5" t="inlineStr"/>
      <c r="G1098" s="8">
        <f>IF($B1098="","",VLOOKUP($B1098,Jogos!$A$2:$K$105,9,FALSE))</f>
        <v/>
      </c>
      <c r="H1098" s="8">
        <f>IF($B1098="","",VLOOKUP($B1098,Jogos!$A$2:$K$105,11,FALSE))</f>
        <v/>
      </c>
      <c r="I1098" s="5">
        <f>IF(OR($A1098="", $B1098="", $E1098="", $F1098="", $G1098="", $H1098=""), "",IF(AND($E1098=$G1098, $F1098=$H1098), 3, IF(SIGN($E1098-$F1098)=SIGN($G1098-$H1098), 1, 0))))</f>
        <v/>
      </c>
    </row>
    <row r="1099">
      <c r="A1099" s="5" t="inlineStr"/>
      <c r="B1099" s="5" t="inlineStr"/>
      <c r="C1099" s="5">
        <f>IF($B1099="","",VLOOKUP($B1099,Jogos!$A$2:$K$105,8,FALSE))</f>
        <v/>
      </c>
      <c r="D1099" s="5">
        <f>IF($B1099="","",VLOOKUP($B1099,Jogos!$A$2:$K$105,10,FALSE))</f>
        <v/>
      </c>
      <c r="E1099" s="5" t="inlineStr"/>
      <c r="F1099" s="5" t="inlineStr"/>
      <c r="G1099" s="8">
        <f>IF($B1099="","",VLOOKUP($B1099,Jogos!$A$2:$K$105,9,FALSE))</f>
        <v/>
      </c>
      <c r="H1099" s="8">
        <f>IF($B1099="","",VLOOKUP($B1099,Jogos!$A$2:$K$105,11,FALSE))</f>
        <v/>
      </c>
      <c r="I1099" s="5">
        <f>IF(OR($A1099="", $B1099="", $E1099="", $F1099="", $G1099="", $H1099=""), "",IF(AND($E1099=$G1099, $F1099=$H1099), 3, IF(SIGN($E1099-$F1099)=SIGN($G1099-$H1099), 1, 0))))</f>
        <v/>
      </c>
    </row>
    <row r="1100">
      <c r="A1100" s="5" t="inlineStr"/>
      <c r="B1100" s="5" t="inlineStr"/>
      <c r="C1100" s="5">
        <f>IF($B1100="","",VLOOKUP($B1100,Jogos!$A$2:$K$105,8,FALSE))</f>
        <v/>
      </c>
      <c r="D1100" s="5">
        <f>IF($B1100="","",VLOOKUP($B1100,Jogos!$A$2:$K$105,10,FALSE))</f>
        <v/>
      </c>
      <c r="E1100" s="5" t="inlineStr"/>
      <c r="F1100" s="5" t="inlineStr"/>
      <c r="G1100" s="8">
        <f>IF($B1100="","",VLOOKUP($B1100,Jogos!$A$2:$K$105,9,FALSE))</f>
        <v/>
      </c>
      <c r="H1100" s="8">
        <f>IF($B1100="","",VLOOKUP($B1100,Jogos!$A$2:$K$105,11,FALSE))</f>
        <v/>
      </c>
      <c r="I1100" s="5">
        <f>IF(OR($A1100="", $B1100="", $E1100="", $F1100="", $G1100="", $H1100=""), "",IF(AND($E1100=$G1100, $F1100=$H1100), 3, IF(SIGN($E1100-$F1100)=SIGN($G1100-$H1100), 1, 0))))</f>
        <v/>
      </c>
    </row>
    <row r="1101">
      <c r="A1101" s="5" t="inlineStr"/>
      <c r="B1101" s="5" t="inlineStr"/>
      <c r="C1101" s="5">
        <f>IF($B1101="","",VLOOKUP($B1101,Jogos!$A$2:$K$105,8,FALSE))</f>
        <v/>
      </c>
      <c r="D1101" s="5">
        <f>IF($B1101="","",VLOOKUP($B1101,Jogos!$A$2:$K$105,10,FALSE))</f>
        <v/>
      </c>
      <c r="E1101" s="5" t="inlineStr"/>
      <c r="F1101" s="5" t="inlineStr"/>
      <c r="G1101" s="8">
        <f>IF($B1101="","",VLOOKUP($B1101,Jogos!$A$2:$K$105,9,FALSE))</f>
        <v/>
      </c>
      <c r="H1101" s="8">
        <f>IF($B1101="","",VLOOKUP($B1101,Jogos!$A$2:$K$105,11,FALSE))</f>
        <v/>
      </c>
      <c r="I1101" s="5">
        <f>IF(OR($A1101="", $B1101="", $E1101="", $F1101="", $G1101="", $H1101=""), "",IF(AND($E1101=$G1101, $F1101=$H1101), 3, IF(SIGN($E1101-$F1101)=SIGN($G1101-$H1101), 1, 0))))</f>
        <v/>
      </c>
    </row>
    <row r="1102">
      <c r="A1102" s="5" t="inlineStr"/>
      <c r="B1102" s="5" t="inlineStr"/>
      <c r="C1102" s="5">
        <f>IF($B1102="","",VLOOKUP($B1102,Jogos!$A$2:$K$105,8,FALSE))</f>
        <v/>
      </c>
      <c r="D1102" s="5">
        <f>IF($B1102="","",VLOOKUP($B1102,Jogos!$A$2:$K$105,10,FALSE))</f>
        <v/>
      </c>
      <c r="E1102" s="5" t="inlineStr"/>
      <c r="F1102" s="5" t="inlineStr"/>
      <c r="G1102" s="8">
        <f>IF($B1102="","",VLOOKUP($B1102,Jogos!$A$2:$K$105,9,FALSE))</f>
        <v/>
      </c>
      <c r="H1102" s="8">
        <f>IF($B1102="","",VLOOKUP($B1102,Jogos!$A$2:$K$105,11,FALSE))</f>
        <v/>
      </c>
      <c r="I1102" s="5">
        <f>IF(OR($A1102="", $B1102="", $E1102="", $F1102="", $G1102="", $H1102=""), "",IF(AND($E1102=$G1102, $F1102=$H1102), 3, IF(SIGN($E1102-$F1102)=SIGN($G1102-$H1102), 1, 0))))</f>
        <v/>
      </c>
    </row>
    <row r="1103">
      <c r="A1103" s="5" t="inlineStr"/>
      <c r="B1103" s="5" t="inlineStr"/>
      <c r="C1103" s="5">
        <f>IF($B1103="","",VLOOKUP($B1103,Jogos!$A$2:$K$105,8,FALSE))</f>
        <v/>
      </c>
      <c r="D1103" s="5">
        <f>IF($B1103="","",VLOOKUP($B1103,Jogos!$A$2:$K$105,10,FALSE))</f>
        <v/>
      </c>
      <c r="E1103" s="5" t="inlineStr"/>
      <c r="F1103" s="5" t="inlineStr"/>
      <c r="G1103" s="8">
        <f>IF($B1103="","",VLOOKUP($B1103,Jogos!$A$2:$K$105,9,FALSE))</f>
        <v/>
      </c>
      <c r="H1103" s="8">
        <f>IF($B1103="","",VLOOKUP($B1103,Jogos!$A$2:$K$105,11,FALSE))</f>
        <v/>
      </c>
      <c r="I1103" s="5">
        <f>IF(OR($A1103="", $B1103="", $E1103="", $F1103="", $G1103="", $H1103=""), "",IF(AND($E1103=$G1103, $F1103=$H1103), 3, IF(SIGN($E1103-$F1103)=SIGN($G1103-$H1103), 1, 0))))</f>
        <v/>
      </c>
    </row>
    <row r="1104">
      <c r="A1104" s="5" t="inlineStr"/>
      <c r="B1104" s="5" t="inlineStr"/>
      <c r="C1104" s="5">
        <f>IF($B1104="","",VLOOKUP($B1104,Jogos!$A$2:$K$105,8,FALSE))</f>
        <v/>
      </c>
      <c r="D1104" s="5">
        <f>IF($B1104="","",VLOOKUP($B1104,Jogos!$A$2:$K$105,10,FALSE))</f>
        <v/>
      </c>
      <c r="E1104" s="5" t="inlineStr"/>
      <c r="F1104" s="5" t="inlineStr"/>
      <c r="G1104" s="8">
        <f>IF($B1104="","",VLOOKUP($B1104,Jogos!$A$2:$K$105,9,FALSE))</f>
        <v/>
      </c>
      <c r="H1104" s="8">
        <f>IF($B1104="","",VLOOKUP($B1104,Jogos!$A$2:$K$105,11,FALSE))</f>
        <v/>
      </c>
      <c r="I1104" s="5">
        <f>IF(OR($A1104="", $B1104="", $E1104="", $F1104="", $G1104="", $H1104=""), "",IF(AND($E1104=$G1104, $F1104=$H1104), 3, IF(SIGN($E1104-$F1104)=SIGN($G1104-$H1104), 1, 0))))</f>
        <v/>
      </c>
    </row>
    <row r="1105">
      <c r="A1105" s="5" t="inlineStr"/>
      <c r="B1105" s="5" t="inlineStr"/>
      <c r="C1105" s="5">
        <f>IF($B1105="","",VLOOKUP($B1105,Jogos!$A$2:$K$105,8,FALSE))</f>
        <v/>
      </c>
      <c r="D1105" s="5">
        <f>IF($B1105="","",VLOOKUP($B1105,Jogos!$A$2:$K$105,10,FALSE))</f>
        <v/>
      </c>
      <c r="E1105" s="5" t="inlineStr"/>
      <c r="F1105" s="5" t="inlineStr"/>
      <c r="G1105" s="8">
        <f>IF($B1105="","",VLOOKUP($B1105,Jogos!$A$2:$K$105,9,FALSE))</f>
        <v/>
      </c>
      <c r="H1105" s="8">
        <f>IF($B1105="","",VLOOKUP($B1105,Jogos!$A$2:$K$105,11,FALSE))</f>
        <v/>
      </c>
      <c r="I1105" s="5">
        <f>IF(OR($A1105="", $B1105="", $E1105="", $F1105="", $G1105="", $H1105=""), "",IF(AND($E1105=$G1105, $F1105=$H1105), 3, IF(SIGN($E1105-$F1105)=SIGN($G1105-$H1105), 1, 0))))</f>
        <v/>
      </c>
    </row>
    <row r="1106">
      <c r="A1106" s="5" t="inlineStr"/>
      <c r="B1106" s="5" t="inlineStr"/>
      <c r="C1106" s="5">
        <f>IF($B1106="","",VLOOKUP($B1106,Jogos!$A$2:$K$105,8,FALSE))</f>
        <v/>
      </c>
      <c r="D1106" s="5">
        <f>IF($B1106="","",VLOOKUP($B1106,Jogos!$A$2:$K$105,10,FALSE))</f>
        <v/>
      </c>
      <c r="E1106" s="5" t="inlineStr"/>
      <c r="F1106" s="5" t="inlineStr"/>
      <c r="G1106" s="8">
        <f>IF($B1106="","",VLOOKUP($B1106,Jogos!$A$2:$K$105,9,FALSE))</f>
        <v/>
      </c>
      <c r="H1106" s="8">
        <f>IF($B1106="","",VLOOKUP($B1106,Jogos!$A$2:$K$105,11,FALSE))</f>
        <v/>
      </c>
      <c r="I1106" s="5">
        <f>IF(OR($A1106="", $B1106="", $E1106="", $F1106="", $G1106="", $H1106=""), "",IF(AND($E1106=$G1106, $F1106=$H1106), 3, IF(SIGN($E1106-$F1106)=SIGN($G1106-$H1106), 1, 0))))</f>
        <v/>
      </c>
    </row>
    <row r="1107">
      <c r="A1107" s="5" t="inlineStr"/>
      <c r="B1107" s="5" t="inlineStr"/>
      <c r="C1107" s="5">
        <f>IF($B1107="","",VLOOKUP($B1107,Jogos!$A$2:$K$105,8,FALSE))</f>
        <v/>
      </c>
      <c r="D1107" s="5">
        <f>IF($B1107="","",VLOOKUP($B1107,Jogos!$A$2:$K$105,10,FALSE))</f>
        <v/>
      </c>
      <c r="E1107" s="5" t="inlineStr"/>
      <c r="F1107" s="5" t="inlineStr"/>
      <c r="G1107" s="8">
        <f>IF($B1107="","",VLOOKUP($B1107,Jogos!$A$2:$K$105,9,FALSE))</f>
        <v/>
      </c>
      <c r="H1107" s="8">
        <f>IF($B1107="","",VLOOKUP($B1107,Jogos!$A$2:$K$105,11,FALSE))</f>
        <v/>
      </c>
      <c r="I1107" s="5">
        <f>IF(OR($A1107="", $B1107="", $E1107="", $F1107="", $G1107="", $H1107=""), "",IF(AND($E1107=$G1107, $F1107=$H1107), 3, IF(SIGN($E1107-$F1107)=SIGN($G1107-$H1107), 1, 0))))</f>
        <v/>
      </c>
    </row>
    <row r="1108">
      <c r="A1108" s="5" t="inlineStr"/>
      <c r="B1108" s="5" t="inlineStr"/>
      <c r="C1108" s="5">
        <f>IF($B1108="","",VLOOKUP($B1108,Jogos!$A$2:$K$105,8,FALSE))</f>
        <v/>
      </c>
      <c r="D1108" s="5">
        <f>IF($B1108="","",VLOOKUP($B1108,Jogos!$A$2:$K$105,10,FALSE))</f>
        <v/>
      </c>
      <c r="E1108" s="5" t="inlineStr"/>
      <c r="F1108" s="5" t="inlineStr"/>
      <c r="G1108" s="8">
        <f>IF($B1108="","",VLOOKUP($B1108,Jogos!$A$2:$K$105,9,FALSE))</f>
        <v/>
      </c>
      <c r="H1108" s="8">
        <f>IF($B1108="","",VLOOKUP($B1108,Jogos!$A$2:$K$105,11,FALSE))</f>
        <v/>
      </c>
      <c r="I1108" s="5">
        <f>IF(OR($A1108="", $B1108="", $E1108="", $F1108="", $G1108="", $H1108=""), "",IF(AND($E1108=$G1108, $F1108=$H1108), 3, IF(SIGN($E1108-$F1108)=SIGN($G1108-$H1108), 1, 0))))</f>
        <v/>
      </c>
    </row>
    <row r="1109">
      <c r="A1109" s="5" t="inlineStr"/>
      <c r="B1109" s="5" t="inlineStr"/>
      <c r="C1109" s="5">
        <f>IF($B1109="","",VLOOKUP($B1109,Jogos!$A$2:$K$105,8,FALSE))</f>
        <v/>
      </c>
      <c r="D1109" s="5">
        <f>IF($B1109="","",VLOOKUP($B1109,Jogos!$A$2:$K$105,10,FALSE))</f>
        <v/>
      </c>
      <c r="E1109" s="5" t="inlineStr"/>
      <c r="F1109" s="5" t="inlineStr"/>
      <c r="G1109" s="8">
        <f>IF($B1109="","",VLOOKUP($B1109,Jogos!$A$2:$K$105,9,FALSE))</f>
        <v/>
      </c>
      <c r="H1109" s="8">
        <f>IF($B1109="","",VLOOKUP($B1109,Jogos!$A$2:$K$105,11,FALSE))</f>
        <v/>
      </c>
      <c r="I1109" s="5">
        <f>IF(OR($A1109="", $B1109="", $E1109="", $F1109="", $G1109="", $H1109=""), "",IF(AND($E1109=$G1109, $F1109=$H1109), 3, IF(SIGN($E1109-$F1109)=SIGN($G1109-$H1109), 1, 0))))</f>
        <v/>
      </c>
    </row>
    <row r="1110">
      <c r="A1110" s="5" t="inlineStr"/>
      <c r="B1110" s="5" t="inlineStr"/>
      <c r="C1110" s="5">
        <f>IF($B1110="","",VLOOKUP($B1110,Jogos!$A$2:$K$105,8,FALSE))</f>
        <v/>
      </c>
      <c r="D1110" s="5">
        <f>IF($B1110="","",VLOOKUP($B1110,Jogos!$A$2:$K$105,10,FALSE))</f>
        <v/>
      </c>
      <c r="E1110" s="5" t="inlineStr"/>
      <c r="F1110" s="5" t="inlineStr"/>
      <c r="G1110" s="8">
        <f>IF($B1110="","",VLOOKUP($B1110,Jogos!$A$2:$K$105,9,FALSE))</f>
        <v/>
      </c>
      <c r="H1110" s="8">
        <f>IF($B1110="","",VLOOKUP($B1110,Jogos!$A$2:$K$105,11,FALSE))</f>
        <v/>
      </c>
      <c r="I1110" s="5">
        <f>IF(OR($A1110="", $B1110="", $E1110="", $F1110="", $G1110="", $H1110=""), "",IF(AND($E1110=$G1110, $F1110=$H1110), 3, IF(SIGN($E1110-$F1110)=SIGN($G1110-$H1110), 1, 0))))</f>
        <v/>
      </c>
    </row>
    <row r="1111">
      <c r="A1111" s="5" t="inlineStr"/>
      <c r="B1111" s="5" t="inlineStr"/>
      <c r="C1111" s="5">
        <f>IF($B1111="","",VLOOKUP($B1111,Jogos!$A$2:$K$105,8,FALSE))</f>
        <v/>
      </c>
      <c r="D1111" s="5">
        <f>IF($B1111="","",VLOOKUP($B1111,Jogos!$A$2:$K$105,10,FALSE))</f>
        <v/>
      </c>
      <c r="E1111" s="5" t="inlineStr"/>
      <c r="F1111" s="5" t="inlineStr"/>
      <c r="G1111" s="8">
        <f>IF($B1111="","",VLOOKUP($B1111,Jogos!$A$2:$K$105,9,FALSE))</f>
        <v/>
      </c>
      <c r="H1111" s="8">
        <f>IF($B1111="","",VLOOKUP($B1111,Jogos!$A$2:$K$105,11,FALSE))</f>
        <v/>
      </c>
      <c r="I1111" s="5">
        <f>IF(OR($A1111="", $B1111="", $E1111="", $F1111="", $G1111="", $H1111=""), "",IF(AND($E1111=$G1111, $F1111=$H1111), 3, IF(SIGN($E1111-$F1111)=SIGN($G1111-$H1111), 1, 0))))</f>
        <v/>
      </c>
    </row>
    <row r="1112">
      <c r="A1112" s="5" t="inlineStr"/>
      <c r="B1112" s="5" t="inlineStr"/>
      <c r="C1112" s="5">
        <f>IF($B1112="","",VLOOKUP($B1112,Jogos!$A$2:$K$105,8,FALSE))</f>
        <v/>
      </c>
      <c r="D1112" s="5">
        <f>IF($B1112="","",VLOOKUP($B1112,Jogos!$A$2:$K$105,10,FALSE))</f>
        <v/>
      </c>
      <c r="E1112" s="5" t="inlineStr"/>
      <c r="F1112" s="5" t="inlineStr"/>
      <c r="G1112" s="8">
        <f>IF($B1112="","",VLOOKUP($B1112,Jogos!$A$2:$K$105,9,FALSE))</f>
        <v/>
      </c>
      <c r="H1112" s="8">
        <f>IF($B1112="","",VLOOKUP($B1112,Jogos!$A$2:$K$105,11,FALSE))</f>
        <v/>
      </c>
      <c r="I1112" s="5">
        <f>IF(OR($A1112="", $B1112="", $E1112="", $F1112="", $G1112="", $H1112=""), "",IF(AND($E1112=$G1112, $F1112=$H1112), 3, IF(SIGN($E1112-$F1112)=SIGN($G1112-$H1112), 1, 0))))</f>
        <v/>
      </c>
    </row>
    <row r="1113">
      <c r="A1113" s="5" t="inlineStr"/>
      <c r="B1113" s="5" t="inlineStr"/>
      <c r="C1113" s="5">
        <f>IF($B1113="","",VLOOKUP($B1113,Jogos!$A$2:$K$105,8,FALSE))</f>
        <v/>
      </c>
      <c r="D1113" s="5">
        <f>IF($B1113="","",VLOOKUP($B1113,Jogos!$A$2:$K$105,10,FALSE))</f>
        <v/>
      </c>
      <c r="E1113" s="5" t="inlineStr"/>
      <c r="F1113" s="5" t="inlineStr"/>
      <c r="G1113" s="8">
        <f>IF($B1113="","",VLOOKUP($B1113,Jogos!$A$2:$K$105,9,FALSE))</f>
        <v/>
      </c>
      <c r="H1113" s="8">
        <f>IF($B1113="","",VLOOKUP($B1113,Jogos!$A$2:$K$105,11,FALSE))</f>
        <v/>
      </c>
      <c r="I1113" s="5">
        <f>IF(OR($A1113="", $B1113="", $E1113="", $F1113="", $G1113="", $H1113=""), "",IF(AND($E1113=$G1113, $F1113=$H1113), 3, IF(SIGN($E1113-$F1113)=SIGN($G1113-$H1113), 1, 0))))</f>
        <v/>
      </c>
    </row>
    <row r="1114">
      <c r="A1114" s="5" t="inlineStr"/>
      <c r="B1114" s="5" t="inlineStr"/>
      <c r="C1114" s="5">
        <f>IF($B1114="","",VLOOKUP($B1114,Jogos!$A$2:$K$105,8,FALSE))</f>
        <v/>
      </c>
      <c r="D1114" s="5">
        <f>IF($B1114="","",VLOOKUP($B1114,Jogos!$A$2:$K$105,10,FALSE))</f>
        <v/>
      </c>
      <c r="E1114" s="5" t="inlineStr"/>
      <c r="F1114" s="5" t="inlineStr"/>
      <c r="G1114" s="8">
        <f>IF($B1114="","",VLOOKUP($B1114,Jogos!$A$2:$K$105,9,FALSE))</f>
        <v/>
      </c>
      <c r="H1114" s="8">
        <f>IF($B1114="","",VLOOKUP($B1114,Jogos!$A$2:$K$105,11,FALSE))</f>
        <v/>
      </c>
      <c r="I1114" s="5">
        <f>IF(OR($A1114="", $B1114="", $E1114="", $F1114="", $G1114="", $H1114=""), "",IF(AND($E1114=$G1114, $F1114=$H1114), 3, IF(SIGN($E1114-$F1114)=SIGN($G1114-$H1114), 1, 0))))</f>
        <v/>
      </c>
    </row>
    <row r="1115">
      <c r="A1115" s="5" t="inlineStr"/>
      <c r="B1115" s="5" t="inlineStr"/>
      <c r="C1115" s="5">
        <f>IF($B1115="","",VLOOKUP($B1115,Jogos!$A$2:$K$105,8,FALSE))</f>
        <v/>
      </c>
      <c r="D1115" s="5">
        <f>IF($B1115="","",VLOOKUP($B1115,Jogos!$A$2:$K$105,10,FALSE))</f>
        <v/>
      </c>
      <c r="E1115" s="5" t="inlineStr"/>
      <c r="F1115" s="5" t="inlineStr"/>
      <c r="G1115" s="8">
        <f>IF($B1115="","",VLOOKUP($B1115,Jogos!$A$2:$K$105,9,FALSE))</f>
        <v/>
      </c>
      <c r="H1115" s="8">
        <f>IF($B1115="","",VLOOKUP($B1115,Jogos!$A$2:$K$105,11,FALSE))</f>
        <v/>
      </c>
      <c r="I1115" s="5">
        <f>IF(OR($A1115="", $B1115="", $E1115="", $F1115="", $G1115="", $H1115=""), "",IF(AND($E1115=$G1115, $F1115=$H1115), 3, IF(SIGN($E1115-$F1115)=SIGN($G1115-$H1115), 1, 0))))</f>
        <v/>
      </c>
    </row>
    <row r="1116">
      <c r="A1116" s="5" t="inlineStr"/>
      <c r="B1116" s="5" t="inlineStr"/>
      <c r="C1116" s="5">
        <f>IF($B1116="","",VLOOKUP($B1116,Jogos!$A$2:$K$105,8,FALSE))</f>
        <v/>
      </c>
      <c r="D1116" s="5">
        <f>IF($B1116="","",VLOOKUP($B1116,Jogos!$A$2:$K$105,10,FALSE))</f>
        <v/>
      </c>
      <c r="E1116" s="5" t="inlineStr"/>
      <c r="F1116" s="5" t="inlineStr"/>
      <c r="G1116" s="8">
        <f>IF($B1116="","",VLOOKUP($B1116,Jogos!$A$2:$K$105,9,FALSE))</f>
        <v/>
      </c>
      <c r="H1116" s="8">
        <f>IF($B1116="","",VLOOKUP($B1116,Jogos!$A$2:$K$105,11,FALSE))</f>
        <v/>
      </c>
      <c r="I1116" s="5">
        <f>IF(OR($A1116="", $B1116="", $E1116="", $F1116="", $G1116="", $H1116=""), "",IF(AND($E1116=$G1116, $F1116=$H1116), 3, IF(SIGN($E1116-$F1116)=SIGN($G1116-$H1116), 1, 0))))</f>
        <v/>
      </c>
    </row>
    <row r="1117">
      <c r="A1117" s="5" t="inlineStr"/>
      <c r="B1117" s="5" t="inlineStr"/>
      <c r="C1117" s="5">
        <f>IF($B1117="","",VLOOKUP($B1117,Jogos!$A$2:$K$105,8,FALSE))</f>
        <v/>
      </c>
      <c r="D1117" s="5">
        <f>IF($B1117="","",VLOOKUP($B1117,Jogos!$A$2:$K$105,10,FALSE))</f>
        <v/>
      </c>
      <c r="E1117" s="5" t="inlineStr"/>
      <c r="F1117" s="5" t="inlineStr"/>
      <c r="G1117" s="8">
        <f>IF($B1117="","",VLOOKUP($B1117,Jogos!$A$2:$K$105,9,FALSE))</f>
        <v/>
      </c>
      <c r="H1117" s="8">
        <f>IF($B1117="","",VLOOKUP($B1117,Jogos!$A$2:$K$105,11,FALSE))</f>
        <v/>
      </c>
      <c r="I1117" s="5">
        <f>IF(OR($A1117="", $B1117="", $E1117="", $F1117="", $G1117="", $H1117=""), "",IF(AND($E1117=$G1117, $F1117=$H1117), 3, IF(SIGN($E1117-$F1117)=SIGN($G1117-$H1117), 1, 0))))</f>
        <v/>
      </c>
    </row>
    <row r="1118">
      <c r="A1118" s="5" t="inlineStr"/>
      <c r="B1118" s="5" t="inlineStr"/>
      <c r="C1118" s="5">
        <f>IF($B1118="","",VLOOKUP($B1118,Jogos!$A$2:$K$105,8,FALSE))</f>
        <v/>
      </c>
      <c r="D1118" s="5">
        <f>IF($B1118="","",VLOOKUP($B1118,Jogos!$A$2:$K$105,10,FALSE))</f>
        <v/>
      </c>
      <c r="E1118" s="5" t="inlineStr"/>
      <c r="F1118" s="5" t="inlineStr"/>
      <c r="G1118" s="8">
        <f>IF($B1118="","",VLOOKUP($B1118,Jogos!$A$2:$K$105,9,FALSE))</f>
        <v/>
      </c>
      <c r="H1118" s="8">
        <f>IF($B1118="","",VLOOKUP($B1118,Jogos!$A$2:$K$105,11,FALSE))</f>
        <v/>
      </c>
      <c r="I1118" s="5">
        <f>IF(OR($A1118="", $B1118="", $E1118="", $F1118="", $G1118="", $H1118=""), "",IF(AND($E1118=$G1118, $F1118=$H1118), 3, IF(SIGN($E1118-$F1118)=SIGN($G1118-$H1118), 1, 0))))</f>
        <v/>
      </c>
    </row>
    <row r="1119">
      <c r="A1119" s="5" t="inlineStr"/>
      <c r="B1119" s="5" t="inlineStr"/>
      <c r="C1119" s="5">
        <f>IF($B1119="","",VLOOKUP($B1119,Jogos!$A$2:$K$105,8,FALSE))</f>
        <v/>
      </c>
      <c r="D1119" s="5">
        <f>IF($B1119="","",VLOOKUP($B1119,Jogos!$A$2:$K$105,10,FALSE))</f>
        <v/>
      </c>
      <c r="E1119" s="5" t="inlineStr"/>
      <c r="F1119" s="5" t="inlineStr"/>
      <c r="G1119" s="8">
        <f>IF($B1119="","",VLOOKUP($B1119,Jogos!$A$2:$K$105,9,FALSE))</f>
        <v/>
      </c>
      <c r="H1119" s="8">
        <f>IF($B1119="","",VLOOKUP($B1119,Jogos!$A$2:$K$105,11,FALSE))</f>
        <v/>
      </c>
      <c r="I1119" s="5">
        <f>IF(OR($A1119="", $B1119="", $E1119="", $F1119="", $G1119="", $H1119=""), "",IF(AND($E1119=$G1119, $F1119=$H1119), 3, IF(SIGN($E1119-$F1119)=SIGN($G1119-$H1119), 1, 0))))</f>
        <v/>
      </c>
    </row>
    <row r="1120">
      <c r="A1120" s="5" t="inlineStr"/>
      <c r="B1120" s="5" t="inlineStr"/>
      <c r="C1120" s="5">
        <f>IF($B1120="","",VLOOKUP($B1120,Jogos!$A$2:$K$105,8,FALSE))</f>
        <v/>
      </c>
      <c r="D1120" s="5">
        <f>IF($B1120="","",VLOOKUP($B1120,Jogos!$A$2:$K$105,10,FALSE))</f>
        <v/>
      </c>
      <c r="E1120" s="5" t="inlineStr"/>
      <c r="F1120" s="5" t="inlineStr"/>
      <c r="G1120" s="8">
        <f>IF($B1120="","",VLOOKUP($B1120,Jogos!$A$2:$K$105,9,FALSE))</f>
        <v/>
      </c>
      <c r="H1120" s="8">
        <f>IF($B1120="","",VLOOKUP($B1120,Jogos!$A$2:$K$105,11,FALSE))</f>
        <v/>
      </c>
      <c r="I1120" s="5">
        <f>IF(OR($A1120="", $B1120="", $E1120="", $F1120="", $G1120="", $H1120=""), "",IF(AND($E1120=$G1120, $F1120=$H1120), 3, IF(SIGN($E1120-$F1120)=SIGN($G1120-$H1120), 1, 0))))</f>
        <v/>
      </c>
    </row>
    <row r="1121">
      <c r="A1121" s="5" t="inlineStr"/>
      <c r="B1121" s="5" t="inlineStr"/>
      <c r="C1121" s="5">
        <f>IF($B1121="","",VLOOKUP($B1121,Jogos!$A$2:$K$105,8,FALSE))</f>
        <v/>
      </c>
      <c r="D1121" s="5">
        <f>IF($B1121="","",VLOOKUP($B1121,Jogos!$A$2:$K$105,10,FALSE))</f>
        <v/>
      </c>
      <c r="E1121" s="5" t="inlineStr"/>
      <c r="F1121" s="5" t="inlineStr"/>
      <c r="G1121" s="8">
        <f>IF($B1121="","",VLOOKUP($B1121,Jogos!$A$2:$K$105,9,FALSE))</f>
        <v/>
      </c>
      <c r="H1121" s="8">
        <f>IF($B1121="","",VLOOKUP($B1121,Jogos!$A$2:$K$105,11,FALSE))</f>
        <v/>
      </c>
      <c r="I1121" s="5">
        <f>IF(OR($A1121="", $B1121="", $E1121="", $F1121="", $G1121="", $H1121=""), "",IF(AND($E1121=$G1121, $F1121=$H1121), 3, IF(SIGN($E1121-$F1121)=SIGN($G1121-$H1121), 1, 0))))</f>
        <v/>
      </c>
    </row>
    <row r="1122">
      <c r="A1122" s="5" t="inlineStr"/>
      <c r="B1122" s="5" t="inlineStr"/>
      <c r="C1122" s="5">
        <f>IF($B1122="","",VLOOKUP($B1122,Jogos!$A$2:$K$105,8,FALSE))</f>
        <v/>
      </c>
      <c r="D1122" s="5">
        <f>IF($B1122="","",VLOOKUP($B1122,Jogos!$A$2:$K$105,10,FALSE))</f>
        <v/>
      </c>
      <c r="E1122" s="5" t="inlineStr"/>
      <c r="F1122" s="5" t="inlineStr"/>
      <c r="G1122" s="8">
        <f>IF($B1122="","",VLOOKUP($B1122,Jogos!$A$2:$K$105,9,FALSE))</f>
        <v/>
      </c>
      <c r="H1122" s="8">
        <f>IF($B1122="","",VLOOKUP($B1122,Jogos!$A$2:$K$105,11,FALSE))</f>
        <v/>
      </c>
      <c r="I1122" s="5">
        <f>IF(OR($A1122="", $B1122="", $E1122="", $F1122="", $G1122="", $H1122=""), "",IF(AND($E1122=$G1122, $F1122=$H1122), 3, IF(SIGN($E1122-$F1122)=SIGN($G1122-$H1122), 1, 0))))</f>
        <v/>
      </c>
    </row>
    <row r="1123">
      <c r="A1123" s="5" t="inlineStr"/>
      <c r="B1123" s="5" t="inlineStr"/>
      <c r="C1123" s="5">
        <f>IF($B1123="","",VLOOKUP($B1123,Jogos!$A$2:$K$105,8,FALSE))</f>
        <v/>
      </c>
      <c r="D1123" s="5">
        <f>IF($B1123="","",VLOOKUP($B1123,Jogos!$A$2:$K$105,10,FALSE))</f>
        <v/>
      </c>
      <c r="E1123" s="5" t="inlineStr"/>
      <c r="F1123" s="5" t="inlineStr"/>
      <c r="G1123" s="8">
        <f>IF($B1123="","",VLOOKUP($B1123,Jogos!$A$2:$K$105,9,FALSE))</f>
        <v/>
      </c>
      <c r="H1123" s="8">
        <f>IF($B1123="","",VLOOKUP($B1123,Jogos!$A$2:$K$105,11,FALSE))</f>
        <v/>
      </c>
      <c r="I1123" s="5">
        <f>IF(OR($A1123="", $B1123="", $E1123="", $F1123="", $G1123="", $H1123=""), "",IF(AND($E1123=$G1123, $F1123=$H1123), 3, IF(SIGN($E1123-$F1123)=SIGN($G1123-$H1123), 1, 0))))</f>
        <v/>
      </c>
    </row>
    <row r="1124">
      <c r="A1124" s="5" t="inlineStr"/>
      <c r="B1124" s="5" t="inlineStr"/>
      <c r="C1124" s="5">
        <f>IF($B1124="","",VLOOKUP($B1124,Jogos!$A$2:$K$105,8,FALSE))</f>
        <v/>
      </c>
      <c r="D1124" s="5">
        <f>IF($B1124="","",VLOOKUP($B1124,Jogos!$A$2:$K$105,10,FALSE))</f>
        <v/>
      </c>
      <c r="E1124" s="5" t="inlineStr"/>
      <c r="F1124" s="5" t="inlineStr"/>
      <c r="G1124" s="8">
        <f>IF($B1124="","",VLOOKUP($B1124,Jogos!$A$2:$K$105,9,FALSE))</f>
        <v/>
      </c>
      <c r="H1124" s="8">
        <f>IF($B1124="","",VLOOKUP($B1124,Jogos!$A$2:$K$105,11,FALSE))</f>
        <v/>
      </c>
      <c r="I1124" s="5">
        <f>IF(OR($A1124="", $B1124="", $E1124="", $F1124="", $G1124="", $H1124=""), "",IF(AND($E1124=$G1124, $F1124=$H1124), 3, IF(SIGN($E1124-$F1124)=SIGN($G1124-$H1124), 1, 0))))</f>
        <v/>
      </c>
    </row>
    <row r="1125">
      <c r="A1125" s="5" t="inlineStr"/>
      <c r="B1125" s="5" t="inlineStr"/>
      <c r="C1125" s="5">
        <f>IF($B1125="","",VLOOKUP($B1125,Jogos!$A$2:$K$105,8,FALSE))</f>
        <v/>
      </c>
      <c r="D1125" s="5">
        <f>IF($B1125="","",VLOOKUP($B1125,Jogos!$A$2:$K$105,10,FALSE))</f>
        <v/>
      </c>
      <c r="E1125" s="5" t="inlineStr"/>
      <c r="F1125" s="5" t="inlineStr"/>
      <c r="G1125" s="8">
        <f>IF($B1125="","",VLOOKUP($B1125,Jogos!$A$2:$K$105,9,FALSE))</f>
        <v/>
      </c>
      <c r="H1125" s="8">
        <f>IF($B1125="","",VLOOKUP($B1125,Jogos!$A$2:$K$105,11,FALSE))</f>
        <v/>
      </c>
      <c r="I1125" s="5">
        <f>IF(OR($A1125="", $B1125="", $E1125="", $F1125="", $G1125="", $H1125=""), "",IF(AND($E1125=$G1125, $F1125=$H1125), 3, IF(SIGN($E1125-$F1125)=SIGN($G1125-$H1125), 1, 0))))</f>
        <v/>
      </c>
    </row>
    <row r="1126">
      <c r="A1126" s="5" t="inlineStr"/>
      <c r="B1126" s="5" t="inlineStr"/>
      <c r="C1126" s="5">
        <f>IF($B1126="","",VLOOKUP($B1126,Jogos!$A$2:$K$105,8,FALSE))</f>
        <v/>
      </c>
      <c r="D1126" s="5">
        <f>IF($B1126="","",VLOOKUP($B1126,Jogos!$A$2:$K$105,10,FALSE))</f>
        <v/>
      </c>
      <c r="E1126" s="5" t="inlineStr"/>
      <c r="F1126" s="5" t="inlineStr"/>
      <c r="G1126" s="8">
        <f>IF($B1126="","",VLOOKUP($B1126,Jogos!$A$2:$K$105,9,FALSE))</f>
        <v/>
      </c>
      <c r="H1126" s="8">
        <f>IF($B1126="","",VLOOKUP($B1126,Jogos!$A$2:$K$105,11,FALSE))</f>
        <v/>
      </c>
      <c r="I1126" s="5">
        <f>IF(OR($A1126="", $B1126="", $E1126="", $F1126="", $G1126="", $H1126=""), "",IF(AND($E1126=$G1126, $F1126=$H1126), 3, IF(SIGN($E1126-$F1126)=SIGN($G1126-$H1126), 1, 0))))</f>
        <v/>
      </c>
    </row>
    <row r="1127">
      <c r="A1127" s="5" t="inlineStr"/>
      <c r="B1127" s="5" t="inlineStr"/>
      <c r="C1127" s="5">
        <f>IF($B1127="","",VLOOKUP($B1127,Jogos!$A$2:$K$105,8,FALSE))</f>
        <v/>
      </c>
      <c r="D1127" s="5">
        <f>IF($B1127="","",VLOOKUP($B1127,Jogos!$A$2:$K$105,10,FALSE))</f>
        <v/>
      </c>
      <c r="E1127" s="5" t="inlineStr"/>
      <c r="F1127" s="5" t="inlineStr"/>
      <c r="G1127" s="8">
        <f>IF($B1127="","",VLOOKUP($B1127,Jogos!$A$2:$K$105,9,FALSE))</f>
        <v/>
      </c>
      <c r="H1127" s="8">
        <f>IF($B1127="","",VLOOKUP($B1127,Jogos!$A$2:$K$105,11,FALSE))</f>
        <v/>
      </c>
      <c r="I1127" s="5">
        <f>IF(OR($A1127="", $B1127="", $E1127="", $F1127="", $G1127="", $H1127=""), "",IF(AND($E1127=$G1127, $F1127=$H1127), 3, IF(SIGN($E1127-$F1127)=SIGN($G1127-$H1127), 1, 0))))</f>
        <v/>
      </c>
    </row>
    <row r="1128">
      <c r="A1128" s="5" t="inlineStr"/>
      <c r="B1128" s="5" t="inlineStr"/>
      <c r="C1128" s="5">
        <f>IF($B1128="","",VLOOKUP($B1128,Jogos!$A$2:$K$105,8,FALSE))</f>
        <v/>
      </c>
      <c r="D1128" s="5">
        <f>IF($B1128="","",VLOOKUP($B1128,Jogos!$A$2:$K$105,10,FALSE))</f>
        <v/>
      </c>
      <c r="E1128" s="5" t="inlineStr"/>
      <c r="F1128" s="5" t="inlineStr"/>
      <c r="G1128" s="8">
        <f>IF($B1128="","",VLOOKUP($B1128,Jogos!$A$2:$K$105,9,FALSE))</f>
        <v/>
      </c>
      <c r="H1128" s="8">
        <f>IF($B1128="","",VLOOKUP($B1128,Jogos!$A$2:$K$105,11,FALSE))</f>
        <v/>
      </c>
      <c r="I1128" s="5">
        <f>IF(OR($A1128="", $B1128="", $E1128="", $F1128="", $G1128="", $H1128=""), "",IF(AND($E1128=$G1128, $F1128=$H1128), 3, IF(SIGN($E1128-$F1128)=SIGN($G1128-$H1128), 1, 0))))</f>
        <v/>
      </c>
    </row>
    <row r="1129">
      <c r="A1129" s="5" t="inlineStr"/>
      <c r="B1129" s="5" t="inlineStr"/>
      <c r="C1129" s="5">
        <f>IF($B1129="","",VLOOKUP($B1129,Jogos!$A$2:$K$105,8,FALSE))</f>
        <v/>
      </c>
      <c r="D1129" s="5">
        <f>IF($B1129="","",VLOOKUP($B1129,Jogos!$A$2:$K$105,10,FALSE))</f>
        <v/>
      </c>
      <c r="E1129" s="5" t="inlineStr"/>
      <c r="F1129" s="5" t="inlineStr"/>
      <c r="G1129" s="8">
        <f>IF($B1129="","",VLOOKUP($B1129,Jogos!$A$2:$K$105,9,FALSE))</f>
        <v/>
      </c>
      <c r="H1129" s="8">
        <f>IF($B1129="","",VLOOKUP($B1129,Jogos!$A$2:$K$105,11,FALSE))</f>
        <v/>
      </c>
      <c r="I1129" s="5">
        <f>IF(OR($A1129="", $B1129="", $E1129="", $F1129="", $G1129="", $H1129=""), "",IF(AND($E1129=$G1129, $F1129=$H1129), 3, IF(SIGN($E1129-$F1129)=SIGN($G1129-$H1129), 1, 0))))</f>
        <v/>
      </c>
    </row>
    <row r="1130">
      <c r="A1130" s="5" t="inlineStr"/>
      <c r="B1130" s="5" t="inlineStr"/>
      <c r="C1130" s="5">
        <f>IF($B1130="","",VLOOKUP($B1130,Jogos!$A$2:$K$105,8,FALSE))</f>
        <v/>
      </c>
      <c r="D1130" s="5">
        <f>IF($B1130="","",VLOOKUP($B1130,Jogos!$A$2:$K$105,10,FALSE))</f>
        <v/>
      </c>
      <c r="E1130" s="5" t="inlineStr"/>
      <c r="F1130" s="5" t="inlineStr"/>
      <c r="G1130" s="8">
        <f>IF($B1130="","",VLOOKUP($B1130,Jogos!$A$2:$K$105,9,FALSE))</f>
        <v/>
      </c>
      <c r="H1130" s="8">
        <f>IF($B1130="","",VLOOKUP($B1130,Jogos!$A$2:$K$105,11,FALSE))</f>
        <v/>
      </c>
      <c r="I1130" s="5">
        <f>IF(OR($A1130="", $B1130="", $E1130="", $F1130="", $G1130="", $H1130=""), "",IF(AND($E1130=$G1130, $F1130=$H1130), 3, IF(SIGN($E1130-$F1130)=SIGN($G1130-$H1130), 1, 0))))</f>
        <v/>
      </c>
    </row>
    <row r="1131">
      <c r="A1131" s="5" t="inlineStr"/>
      <c r="B1131" s="5" t="inlineStr"/>
      <c r="C1131" s="5">
        <f>IF($B1131="","",VLOOKUP($B1131,Jogos!$A$2:$K$105,8,FALSE))</f>
        <v/>
      </c>
      <c r="D1131" s="5">
        <f>IF($B1131="","",VLOOKUP($B1131,Jogos!$A$2:$K$105,10,FALSE))</f>
        <v/>
      </c>
      <c r="E1131" s="5" t="inlineStr"/>
      <c r="F1131" s="5" t="inlineStr"/>
      <c r="G1131" s="8">
        <f>IF($B1131="","",VLOOKUP($B1131,Jogos!$A$2:$K$105,9,FALSE))</f>
        <v/>
      </c>
      <c r="H1131" s="8">
        <f>IF($B1131="","",VLOOKUP($B1131,Jogos!$A$2:$K$105,11,FALSE))</f>
        <v/>
      </c>
      <c r="I1131" s="5">
        <f>IF(OR($A1131="", $B1131="", $E1131="", $F1131="", $G1131="", $H1131=""), "",IF(AND($E1131=$G1131, $F1131=$H1131), 3, IF(SIGN($E1131-$F1131)=SIGN($G1131-$H1131), 1, 0))))</f>
        <v/>
      </c>
    </row>
    <row r="1132">
      <c r="A1132" s="5" t="inlineStr"/>
      <c r="B1132" s="5" t="inlineStr"/>
      <c r="C1132" s="5">
        <f>IF($B1132="","",VLOOKUP($B1132,Jogos!$A$2:$K$105,8,FALSE))</f>
        <v/>
      </c>
      <c r="D1132" s="5">
        <f>IF($B1132="","",VLOOKUP($B1132,Jogos!$A$2:$K$105,10,FALSE))</f>
        <v/>
      </c>
      <c r="E1132" s="5" t="inlineStr"/>
      <c r="F1132" s="5" t="inlineStr"/>
      <c r="G1132" s="8">
        <f>IF($B1132="","",VLOOKUP($B1132,Jogos!$A$2:$K$105,9,FALSE))</f>
        <v/>
      </c>
      <c r="H1132" s="8">
        <f>IF($B1132="","",VLOOKUP($B1132,Jogos!$A$2:$K$105,11,FALSE))</f>
        <v/>
      </c>
      <c r="I1132" s="5">
        <f>IF(OR($A1132="", $B1132="", $E1132="", $F1132="", $G1132="", $H1132=""), "",IF(AND($E1132=$G1132, $F1132=$H1132), 3, IF(SIGN($E1132-$F1132)=SIGN($G1132-$H1132), 1, 0))))</f>
        <v/>
      </c>
    </row>
    <row r="1133">
      <c r="A1133" s="5" t="inlineStr"/>
      <c r="B1133" s="5" t="inlineStr"/>
      <c r="C1133" s="5">
        <f>IF($B1133="","",VLOOKUP($B1133,Jogos!$A$2:$K$105,8,FALSE))</f>
        <v/>
      </c>
      <c r="D1133" s="5">
        <f>IF($B1133="","",VLOOKUP($B1133,Jogos!$A$2:$K$105,10,FALSE))</f>
        <v/>
      </c>
      <c r="E1133" s="5" t="inlineStr"/>
      <c r="F1133" s="5" t="inlineStr"/>
      <c r="G1133" s="8">
        <f>IF($B1133="","",VLOOKUP($B1133,Jogos!$A$2:$K$105,9,FALSE))</f>
        <v/>
      </c>
      <c r="H1133" s="8">
        <f>IF($B1133="","",VLOOKUP($B1133,Jogos!$A$2:$K$105,11,FALSE))</f>
        <v/>
      </c>
      <c r="I1133" s="5">
        <f>IF(OR($A1133="", $B1133="", $E1133="", $F1133="", $G1133="", $H1133=""), "",IF(AND($E1133=$G1133, $F1133=$H1133), 3, IF(SIGN($E1133-$F1133)=SIGN($G1133-$H1133), 1, 0))))</f>
        <v/>
      </c>
    </row>
    <row r="1134">
      <c r="A1134" s="5" t="inlineStr"/>
      <c r="B1134" s="5" t="inlineStr"/>
      <c r="C1134" s="5">
        <f>IF($B1134="","",VLOOKUP($B1134,Jogos!$A$2:$K$105,8,FALSE))</f>
        <v/>
      </c>
      <c r="D1134" s="5">
        <f>IF($B1134="","",VLOOKUP($B1134,Jogos!$A$2:$K$105,10,FALSE))</f>
        <v/>
      </c>
      <c r="E1134" s="5" t="inlineStr"/>
      <c r="F1134" s="5" t="inlineStr"/>
      <c r="G1134" s="8">
        <f>IF($B1134="","",VLOOKUP($B1134,Jogos!$A$2:$K$105,9,FALSE))</f>
        <v/>
      </c>
      <c r="H1134" s="8">
        <f>IF($B1134="","",VLOOKUP($B1134,Jogos!$A$2:$K$105,11,FALSE))</f>
        <v/>
      </c>
      <c r="I1134" s="5">
        <f>IF(OR($A1134="", $B1134="", $E1134="", $F1134="", $G1134="", $H1134=""), "",IF(AND($E1134=$G1134, $F1134=$H1134), 3, IF(SIGN($E1134-$F1134)=SIGN($G1134-$H1134), 1, 0))))</f>
        <v/>
      </c>
    </row>
    <row r="1135">
      <c r="A1135" s="5" t="inlineStr"/>
      <c r="B1135" s="5" t="inlineStr"/>
      <c r="C1135" s="5">
        <f>IF($B1135="","",VLOOKUP($B1135,Jogos!$A$2:$K$105,8,FALSE))</f>
        <v/>
      </c>
      <c r="D1135" s="5">
        <f>IF($B1135="","",VLOOKUP($B1135,Jogos!$A$2:$K$105,10,FALSE))</f>
        <v/>
      </c>
      <c r="E1135" s="5" t="inlineStr"/>
      <c r="F1135" s="5" t="inlineStr"/>
      <c r="G1135" s="8">
        <f>IF($B1135="","",VLOOKUP($B1135,Jogos!$A$2:$K$105,9,FALSE))</f>
        <v/>
      </c>
      <c r="H1135" s="8">
        <f>IF($B1135="","",VLOOKUP($B1135,Jogos!$A$2:$K$105,11,FALSE))</f>
        <v/>
      </c>
      <c r="I1135" s="5">
        <f>IF(OR($A1135="", $B1135="", $E1135="", $F1135="", $G1135="", $H1135=""), "",IF(AND($E1135=$G1135, $F1135=$H1135), 3, IF(SIGN($E1135-$F1135)=SIGN($G1135-$H1135), 1, 0))))</f>
        <v/>
      </c>
    </row>
    <row r="1136">
      <c r="A1136" s="5" t="inlineStr"/>
      <c r="B1136" s="5" t="inlineStr"/>
      <c r="C1136" s="5">
        <f>IF($B1136="","",VLOOKUP($B1136,Jogos!$A$2:$K$105,8,FALSE))</f>
        <v/>
      </c>
      <c r="D1136" s="5">
        <f>IF($B1136="","",VLOOKUP($B1136,Jogos!$A$2:$K$105,10,FALSE))</f>
        <v/>
      </c>
      <c r="E1136" s="5" t="inlineStr"/>
      <c r="F1136" s="5" t="inlineStr"/>
      <c r="G1136" s="8">
        <f>IF($B1136="","",VLOOKUP($B1136,Jogos!$A$2:$K$105,9,FALSE))</f>
        <v/>
      </c>
      <c r="H1136" s="8">
        <f>IF($B1136="","",VLOOKUP($B1136,Jogos!$A$2:$K$105,11,FALSE))</f>
        <v/>
      </c>
      <c r="I1136" s="5">
        <f>IF(OR($A1136="", $B1136="", $E1136="", $F1136="", $G1136="", $H1136=""), "",IF(AND($E1136=$G1136, $F1136=$H1136), 3, IF(SIGN($E1136-$F1136)=SIGN($G1136-$H1136), 1, 0))))</f>
        <v/>
      </c>
    </row>
    <row r="1137">
      <c r="A1137" s="5" t="inlineStr"/>
      <c r="B1137" s="5" t="inlineStr"/>
      <c r="C1137" s="5">
        <f>IF($B1137="","",VLOOKUP($B1137,Jogos!$A$2:$K$105,8,FALSE))</f>
        <v/>
      </c>
      <c r="D1137" s="5">
        <f>IF($B1137="","",VLOOKUP($B1137,Jogos!$A$2:$K$105,10,FALSE))</f>
        <v/>
      </c>
      <c r="E1137" s="5" t="inlineStr"/>
      <c r="F1137" s="5" t="inlineStr"/>
      <c r="G1137" s="8">
        <f>IF($B1137="","",VLOOKUP($B1137,Jogos!$A$2:$K$105,9,FALSE))</f>
        <v/>
      </c>
      <c r="H1137" s="8">
        <f>IF($B1137="","",VLOOKUP($B1137,Jogos!$A$2:$K$105,11,FALSE))</f>
        <v/>
      </c>
      <c r="I1137" s="5">
        <f>IF(OR($A1137="", $B1137="", $E1137="", $F1137="", $G1137="", $H1137=""), "",IF(AND($E1137=$G1137, $F1137=$H1137), 3, IF(SIGN($E1137-$F1137)=SIGN($G1137-$H1137), 1, 0))))</f>
        <v/>
      </c>
    </row>
    <row r="1138">
      <c r="A1138" s="5" t="inlineStr"/>
      <c r="B1138" s="5" t="inlineStr"/>
      <c r="C1138" s="5">
        <f>IF($B1138="","",VLOOKUP($B1138,Jogos!$A$2:$K$105,8,FALSE))</f>
        <v/>
      </c>
      <c r="D1138" s="5">
        <f>IF($B1138="","",VLOOKUP($B1138,Jogos!$A$2:$K$105,10,FALSE))</f>
        <v/>
      </c>
      <c r="E1138" s="5" t="inlineStr"/>
      <c r="F1138" s="5" t="inlineStr"/>
      <c r="G1138" s="8">
        <f>IF($B1138="","",VLOOKUP($B1138,Jogos!$A$2:$K$105,9,FALSE))</f>
        <v/>
      </c>
      <c r="H1138" s="8">
        <f>IF($B1138="","",VLOOKUP($B1138,Jogos!$A$2:$K$105,11,FALSE))</f>
        <v/>
      </c>
      <c r="I1138" s="5">
        <f>IF(OR($A1138="", $B1138="", $E1138="", $F1138="", $G1138="", $H1138=""), "",IF(AND($E1138=$G1138, $F1138=$H1138), 3, IF(SIGN($E1138-$F1138)=SIGN($G1138-$H1138), 1, 0))))</f>
        <v/>
      </c>
    </row>
    <row r="1139">
      <c r="A1139" s="5" t="inlineStr"/>
      <c r="B1139" s="5" t="inlineStr"/>
      <c r="C1139" s="5">
        <f>IF($B1139="","",VLOOKUP($B1139,Jogos!$A$2:$K$105,8,FALSE))</f>
        <v/>
      </c>
      <c r="D1139" s="5">
        <f>IF($B1139="","",VLOOKUP($B1139,Jogos!$A$2:$K$105,10,FALSE))</f>
        <v/>
      </c>
      <c r="E1139" s="5" t="inlineStr"/>
      <c r="F1139" s="5" t="inlineStr"/>
      <c r="G1139" s="8">
        <f>IF($B1139="","",VLOOKUP($B1139,Jogos!$A$2:$K$105,9,FALSE))</f>
        <v/>
      </c>
      <c r="H1139" s="8">
        <f>IF($B1139="","",VLOOKUP($B1139,Jogos!$A$2:$K$105,11,FALSE))</f>
        <v/>
      </c>
      <c r="I1139" s="5">
        <f>IF(OR($A1139="", $B1139="", $E1139="", $F1139="", $G1139="", $H1139=""), "",IF(AND($E1139=$G1139, $F1139=$H1139), 3, IF(SIGN($E1139-$F1139)=SIGN($G1139-$H1139), 1, 0))))</f>
        <v/>
      </c>
    </row>
    <row r="1140">
      <c r="A1140" s="5" t="inlineStr"/>
      <c r="B1140" s="5" t="inlineStr"/>
      <c r="C1140" s="5">
        <f>IF($B1140="","",VLOOKUP($B1140,Jogos!$A$2:$K$105,8,FALSE))</f>
        <v/>
      </c>
      <c r="D1140" s="5">
        <f>IF($B1140="","",VLOOKUP($B1140,Jogos!$A$2:$K$105,10,FALSE))</f>
        <v/>
      </c>
      <c r="E1140" s="5" t="inlineStr"/>
      <c r="F1140" s="5" t="inlineStr"/>
      <c r="G1140" s="8">
        <f>IF($B1140="","",VLOOKUP($B1140,Jogos!$A$2:$K$105,9,FALSE))</f>
        <v/>
      </c>
      <c r="H1140" s="8">
        <f>IF($B1140="","",VLOOKUP($B1140,Jogos!$A$2:$K$105,11,FALSE))</f>
        <v/>
      </c>
      <c r="I1140" s="5">
        <f>IF(OR($A1140="", $B1140="", $E1140="", $F1140="", $G1140="", $H1140=""), "",IF(AND($E1140=$G1140, $F1140=$H1140), 3, IF(SIGN($E1140-$F1140)=SIGN($G1140-$H1140), 1, 0))))</f>
        <v/>
      </c>
    </row>
    <row r="1141">
      <c r="A1141" s="5" t="inlineStr"/>
      <c r="B1141" s="5" t="inlineStr"/>
      <c r="C1141" s="5">
        <f>IF($B1141="","",VLOOKUP($B1141,Jogos!$A$2:$K$105,8,FALSE))</f>
        <v/>
      </c>
      <c r="D1141" s="5">
        <f>IF($B1141="","",VLOOKUP($B1141,Jogos!$A$2:$K$105,10,FALSE))</f>
        <v/>
      </c>
      <c r="E1141" s="5" t="inlineStr"/>
      <c r="F1141" s="5" t="inlineStr"/>
      <c r="G1141" s="8">
        <f>IF($B1141="","",VLOOKUP($B1141,Jogos!$A$2:$K$105,9,FALSE))</f>
        <v/>
      </c>
      <c r="H1141" s="8">
        <f>IF($B1141="","",VLOOKUP($B1141,Jogos!$A$2:$K$105,11,FALSE))</f>
        <v/>
      </c>
      <c r="I1141" s="5">
        <f>IF(OR($A1141="", $B1141="", $E1141="", $F1141="", $G1141="", $H1141=""), "",IF(AND($E1141=$G1141, $F1141=$H1141), 3, IF(SIGN($E1141-$F1141)=SIGN($G1141-$H1141), 1, 0))))</f>
        <v/>
      </c>
    </row>
    <row r="1142">
      <c r="A1142" s="5" t="inlineStr"/>
      <c r="B1142" s="5" t="inlineStr"/>
      <c r="C1142" s="5">
        <f>IF($B1142="","",VLOOKUP($B1142,Jogos!$A$2:$K$105,8,FALSE))</f>
        <v/>
      </c>
      <c r="D1142" s="5">
        <f>IF($B1142="","",VLOOKUP($B1142,Jogos!$A$2:$K$105,10,FALSE))</f>
        <v/>
      </c>
      <c r="E1142" s="5" t="inlineStr"/>
      <c r="F1142" s="5" t="inlineStr"/>
      <c r="G1142" s="8">
        <f>IF($B1142="","",VLOOKUP($B1142,Jogos!$A$2:$K$105,9,FALSE))</f>
        <v/>
      </c>
      <c r="H1142" s="8">
        <f>IF($B1142="","",VLOOKUP($B1142,Jogos!$A$2:$K$105,11,FALSE))</f>
        <v/>
      </c>
      <c r="I1142" s="5">
        <f>IF(OR($A1142="", $B1142="", $E1142="", $F1142="", $G1142="", $H1142=""), "",IF(AND($E1142=$G1142, $F1142=$H1142), 3, IF(SIGN($E1142-$F1142)=SIGN($G1142-$H1142), 1, 0))))</f>
        <v/>
      </c>
    </row>
    <row r="1143">
      <c r="A1143" s="5" t="inlineStr"/>
      <c r="B1143" s="5" t="inlineStr"/>
      <c r="C1143" s="5">
        <f>IF($B1143="","",VLOOKUP($B1143,Jogos!$A$2:$K$105,8,FALSE))</f>
        <v/>
      </c>
      <c r="D1143" s="5">
        <f>IF($B1143="","",VLOOKUP($B1143,Jogos!$A$2:$K$105,10,FALSE))</f>
        <v/>
      </c>
      <c r="E1143" s="5" t="inlineStr"/>
      <c r="F1143" s="5" t="inlineStr"/>
      <c r="G1143" s="8">
        <f>IF($B1143="","",VLOOKUP($B1143,Jogos!$A$2:$K$105,9,FALSE))</f>
        <v/>
      </c>
      <c r="H1143" s="8">
        <f>IF($B1143="","",VLOOKUP($B1143,Jogos!$A$2:$K$105,11,FALSE))</f>
        <v/>
      </c>
      <c r="I1143" s="5">
        <f>IF(OR($A1143="", $B1143="", $E1143="", $F1143="", $G1143="", $H1143=""), "",IF(AND($E1143=$G1143, $F1143=$H1143), 3, IF(SIGN($E1143-$F1143)=SIGN($G1143-$H1143), 1, 0))))</f>
        <v/>
      </c>
    </row>
    <row r="1144">
      <c r="A1144" s="5" t="inlineStr"/>
      <c r="B1144" s="5" t="inlineStr"/>
      <c r="C1144" s="5">
        <f>IF($B1144="","",VLOOKUP($B1144,Jogos!$A$2:$K$105,8,FALSE))</f>
        <v/>
      </c>
      <c r="D1144" s="5">
        <f>IF($B1144="","",VLOOKUP($B1144,Jogos!$A$2:$K$105,10,FALSE))</f>
        <v/>
      </c>
      <c r="E1144" s="5" t="inlineStr"/>
      <c r="F1144" s="5" t="inlineStr"/>
      <c r="G1144" s="8">
        <f>IF($B1144="","",VLOOKUP($B1144,Jogos!$A$2:$K$105,9,FALSE))</f>
        <v/>
      </c>
      <c r="H1144" s="8">
        <f>IF($B1144="","",VLOOKUP($B1144,Jogos!$A$2:$K$105,11,FALSE))</f>
        <v/>
      </c>
      <c r="I1144" s="5">
        <f>IF(OR($A1144="", $B1144="", $E1144="", $F1144="", $G1144="", $H1144=""), "",IF(AND($E1144=$G1144, $F1144=$H1144), 3, IF(SIGN($E1144-$F1144)=SIGN($G1144-$H1144), 1, 0))))</f>
        <v/>
      </c>
    </row>
    <row r="1145">
      <c r="A1145" s="5" t="inlineStr"/>
      <c r="B1145" s="5" t="inlineStr"/>
      <c r="C1145" s="5">
        <f>IF($B1145="","",VLOOKUP($B1145,Jogos!$A$2:$K$105,8,FALSE))</f>
        <v/>
      </c>
      <c r="D1145" s="5">
        <f>IF($B1145="","",VLOOKUP($B1145,Jogos!$A$2:$K$105,10,FALSE))</f>
        <v/>
      </c>
      <c r="E1145" s="5" t="inlineStr"/>
      <c r="F1145" s="5" t="inlineStr"/>
      <c r="G1145" s="8">
        <f>IF($B1145="","",VLOOKUP($B1145,Jogos!$A$2:$K$105,9,FALSE))</f>
        <v/>
      </c>
      <c r="H1145" s="8">
        <f>IF($B1145="","",VLOOKUP($B1145,Jogos!$A$2:$K$105,11,FALSE))</f>
        <v/>
      </c>
      <c r="I1145" s="5">
        <f>IF(OR($A1145="", $B1145="", $E1145="", $F1145="", $G1145="", $H1145=""), "",IF(AND($E1145=$G1145, $F1145=$H1145), 3, IF(SIGN($E1145-$F1145)=SIGN($G1145-$H1145), 1, 0))))</f>
        <v/>
      </c>
    </row>
    <row r="1146">
      <c r="A1146" s="5" t="inlineStr"/>
      <c r="B1146" s="5" t="inlineStr"/>
      <c r="C1146" s="5">
        <f>IF($B1146="","",VLOOKUP($B1146,Jogos!$A$2:$K$105,8,FALSE))</f>
        <v/>
      </c>
      <c r="D1146" s="5">
        <f>IF($B1146="","",VLOOKUP($B1146,Jogos!$A$2:$K$105,10,FALSE))</f>
        <v/>
      </c>
      <c r="E1146" s="5" t="inlineStr"/>
      <c r="F1146" s="5" t="inlineStr"/>
      <c r="G1146" s="8">
        <f>IF($B1146="","",VLOOKUP($B1146,Jogos!$A$2:$K$105,9,FALSE))</f>
        <v/>
      </c>
      <c r="H1146" s="8">
        <f>IF($B1146="","",VLOOKUP($B1146,Jogos!$A$2:$K$105,11,FALSE))</f>
        <v/>
      </c>
      <c r="I1146" s="5">
        <f>IF(OR($A1146="", $B1146="", $E1146="", $F1146="", $G1146="", $H1146=""), "",IF(AND($E1146=$G1146, $F1146=$H1146), 3, IF(SIGN($E1146-$F1146)=SIGN($G1146-$H1146), 1, 0))))</f>
        <v/>
      </c>
    </row>
    <row r="1147">
      <c r="A1147" s="5" t="inlineStr"/>
      <c r="B1147" s="5" t="inlineStr"/>
      <c r="C1147" s="5">
        <f>IF($B1147="","",VLOOKUP($B1147,Jogos!$A$2:$K$105,8,FALSE))</f>
        <v/>
      </c>
      <c r="D1147" s="5">
        <f>IF($B1147="","",VLOOKUP($B1147,Jogos!$A$2:$K$105,10,FALSE))</f>
        <v/>
      </c>
      <c r="E1147" s="5" t="inlineStr"/>
      <c r="F1147" s="5" t="inlineStr"/>
      <c r="G1147" s="8">
        <f>IF($B1147="","",VLOOKUP($B1147,Jogos!$A$2:$K$105,9,FALSE))</f>
        <v/>
      </c>
      <c r="H1147" s="8">
        <f>IF($B1147="","",VLOOKUP($B1147,Jogos!$A$2:$K$105,11,FALSE))</f>
        <v/>
      </c>
      <c r="I1147" s="5">
        <f>IF(OR($A1147="", $B1147="", $E1147="", $F1147="", $G1147="", $H1147=""), "",IF(AND($E1147=$G1147, $F1147=$H1147), 3, IF(SIGN($E1147-$F1147)=SIGN($G1147-$H1147), 1, 0))))</f>
        <v/>
      </c>
    </row>
    <row r="1148">
      <c r="A1148" s="5" t="inlineStr"/>
      <c r="B1148" s="5" t="inlineStr"/>
      <c r="C1148" s="5">
        <f>IF($B1148="","",VLOOKUP($B1148,Jogos!$A$2:$K$105,8,FALSE))</f>
        <v/>
      </c>
      <c r="D1148" s="5">
        <f>IF($B1148="","",VLOOKUP($B1148,Jogos!$A$2:$K$105,10,FALSE))</f>
        <v/>
      </c>
      <c r="E1148" s="5" t="inlineStr"/>
      <c r="F1148" s="5" t="inlineStr"/>
      <c r="G1148" s="8">
        <f>IF($B1148="","",VLOOKUP($B1148,Jogos!$A$2:$K$105,9,FALSE))</f>
        <v/>
      </c>
      <c r="H1148" s="8">
        <f>IF($B1148="","",VLOOKUP($B1148,Jogos!$A$2:$K$105,11,FALSE))</f>
        <v/>
      </c>
      <c r="I1148" s="5">
        <f>IF(OR($A1148="", $B1148="", $E1148="", $F1148="", $G1148="", $H1148=""), "",IF(AND($E1148=$G1148, $F1148=$H1148), 3, IF(SIGN($E1148-$F1148)=SIGN($G1148-$H1148), 1, 0))))</f>
        <v/>
      </c>
    </row>
    <row r="1149">
      <c r="A1149" s="5" t="inlineStr"/>
      <c r="B1149" s="5" t="inlineStr"/>
      <c r="C1149" s="5">
        <f>IF($B1149="","",VLOOKUP($B1149,Jogos!$A$2:$K$105,8,FALSE))</f>
        <v/>
      </c>
      <c r="D1149" s="5">
        <f>IF($B1149="","",VLOOKUP($B1149,Jogos!$A$2:$K$105,10,FALSE))</f>
        <v/>
      </c>
      <c r="E1149" s="5" t="inlineStr"/>
      <c r="F1149" s="5" t="inlineStr"/>
      <c r="G1149" s="8">
        <f>IF($B1149="","",VLOOKUP($B1149,Jogos!$A$2:$K$105,9,FALSE))</f>
        <v/>
      </c>
      <c r="H1149" s="8">
        <f>IF($B1149="","",VLOOKUP($B1149,Jogos!$A$2:$K$105,11,FALSE))</f>
        <v/>
      </c>
      <c r="I1149" s="5">
        <f>IF(OR($A1149="", $B1149="", $E1149="", $F1149="", $G1149="", $H1149=""), "",IF(AND($E1149=$G1149, $F1149=$H1149), 3, IF(SIGN($E1149-$F1149)=SIGN($G1149-$H1149), 1, 0))))</f>
        <v/>
      </c>
    </row>
    <row r="1150">
      <c r="A1150" s="5" t="inlineStr"/>
      <c r="B1150" s="5" t="inlineStr"/>
      <c r="C1150" s="5">
        <f>IF($B1150="","",VLOOKUP($B1150,Jogos!$A$2:$K$105,8,FALSE))</f>
        <v/>
      </c>
      <c r="D1150" s="5">
        <f>IF($B1150="","",VLOOKUP($B1150,Jogos!$A$2:$K$105,10,FALSE))</f>
        <v/>
      </c>
      <c r="E1150" s="5" t="inlineStr"/>
      <c r="F1150" s="5" t="inlineStr"/>
      <c r="G1150" s="8">
        <f>IF($B1150="","",VLOOKUP($B1150,Jogos!$A$2:$K$105,9,FALSE))</f>
        <v/>
      </c>
      <c r="H1150" s="8">
        <f>IF($B1150="","",VLOOKUP($B1150,Jogos!$A$2:$K$105,11,FALSE))</f>
        <v/>
      </c>
      <c r="I1150" s="5">
        <f>IF(OR($A1150="", $B1150="", $E1150="", $F1150="", $G1150="", $H1150=""), "",IF(AND($E1150=$G1150, $F1150=$H1150), 3, IF(SIGN($E1150-$F1150)=SIGN($G1150-$H1150), 1, 0))))</f>
        <v/>
      </c>
    </row>
    <row r="1151">
      <c r="A1151" s="5" t="inlineStr"/>
      <c r="B1151" s="5" t="inlineStr"/>
      <c r="C1151" s="5">
        <f>IF($B1151="","",VLOOKUP($B1151,Jogos!$A$2:$K$105,8,FALSE))</f>
        <v/>
      </c>
      <c r="D1151" s="5">
        <f>IF($B1151="","",VLOOKUP($B1151,Jogos!$A$2:$K$105,10,FALSE))</f>
        <v/>
      </c>
      <c r="E1151" s="5" t="inlineStr"/>
      <c r="F1151" s="5" t="inlineStr"/>
      <c r="G1151" s="8">
        <f>IF($B1151="","",VLOOKUP($B1151,Jogos!$A$2:$K$105,9,FALSE))</f>
        <v/>
      </c>
      <c r="H1151" s="8">
        <f>IF($B1151="","",VLOOKUP($B1151,Jogos!$A$2:$K$105,11,FALSE))</f>
        <v/>
      </c>
      <c r="I1151" s="5">
        <f>IF(OR($A1151="", $B1151="", $E1151="", $F1151="", $G1151="", $H1151=""), "",IF(AND($E1151=$G1151, $F1151=$H1151), 3, IF(SIGN($E1151-$F1151)=SIGN($G1151-$H1151), 1, 0))))</f>
        <v/>
      </c>
    </row>
    <row r="1152">
      <c r="A1152" s="5" t="inlineStr"/>
      <c r="B1152" s="5" t="inlineStr"/>
      <c r="C1152" s="5">
        <f>IF($B1152="","",VLOOKUP($B1152,Jogos!$A$2:$K$105,8,FALSE))</f>
        <v/>
      </c>
      <c r="D1152" s="5">
        <f>IF($B1152="","",VLOOKUP($B1152,Jogos!$A$2:$K$105,10,FALSE))</f>
        <v/>
      </c>
      <c r="E1152" s="5" t="inlineStr"/>
      <c r="F1152" s="5" t="inlineStr"/>
      <c r="G1152" s="8">
        <f>IF($B1152="","",VLOOKUP($B1152,Jogos!$A$2:$K$105,9,FALSE))</f>
        <v/>
      </c>
      <c r="H1152" s="8">
        <f>IF($B1152="","",VLOOKUP($B1152,Jogos!$A$2:$K$105,11,FALSE))</f>
        <v/>
      </c>
      <c r="I1152" s="5">
        <f>IF(OR($A1152="", $B1152="", $E1152="", $F1152="", $G1152="", $H1152=""), "",IF(AND($E1152=$G1152, $F1152=$H1152), 3, IF(SIGN($E1152-$F1152)=SIGN($G1152-$H1152), 1, 0))))</f>
        <v/>
      </c>
    </row>
    <row r="1153">
      <c r="A1153" s="5" t="inlineStr"/>
      <c r="B1153" s="5" t="inlineStr"/>
      <c r="C1153" s="5">
        <f>IF($B1153="","",VLOOKUP($B1153,Jogos!$A$2:$K$105,8,FALSE))</f>
        <v/>
      </c>
      <c r="D1153" s="5">
        <f>IF($B1153="","",VLOOKUP($B1153,Jogos!$A$2:$K$105,10,FALSE))</f>
        <v/>
      </c>
      <c r="E1153" s="5" t="inlineStr"/>
      <c r="F1153" s="5" t="inlineStr"/>
      <c r="G1153" s="8">
        <f>IF($B1153="","",VLOOKUP($B1153,Jogos!$A$2:$K$105,9,FALSE))</f>
        <v/>
      </c>
      <c r="H1153" s="8">
        <f>IF($B1153="","",VLOOKUP($B1153,Jogos!$A$2:$K$105,11,FALSE))</f>
        <v/>
      </c>
      <c r="I1153" s="5">
        <f>IF(OR($A1153="", $B1153="", $E1153="", $F1153="", $G1153="", $H1153=""), "",IF(AND($E1153=$G1153, $F1153=$H1153), 3, IF(SIGN($E1153-$F1153)=SIGN($G1153-$H1153), 1, 0))))</f>
        <v/>
      </c>
    </row>
    <row r="1154">
      <c r="A1154" s="5" t="inlineStr"/>
      <c r="B1154" s="5" t="inlineStr"/>
      <c r="C1154" s="5">
        <f>IF($B1154="","",VLOOKUP($B1154,Jogos!$A$2:$K$105,8,FALSE))</f>
        <v/>
      </c>
      <c r="D1154" s="5">
        <f>IF($B1154="","",VLOOKUP($B1154,Jogos!$A$2:$K$105,10,FALSE))</f>
        <v/>
      </c>
      <c r="E1154" s="5" t="inlineStr"/>
      <c r="F1154" s="5" t="inlineStr"/>
      <c r="G1154" s="8">
        <f>IF($B1154="","",VLOOKUP($B1154,Jogos!$A$2:$K$105,9,FALSE))</f>
        <v/>
      </c>
      <c r="H1154" s="8">
        <f>IF($B1154="","",VLOOKUP($B1154,Jogos!$A$2:$K$105,11,FALSE))</f>
        <v/>
      </c>
      <c r="I1154" s="5">
        <f>IF(OR($A1154="", $B1154="", $E1154="", $F1154="", $G1154="", $H1154=""), "",IF(AND($E1154=$G1154, $F1154=$H1154), 3, IF(SIGN($E1154-$F1154)=SIGN($G1154-$H1154), 1, 0))))</f>
        <v/>
      </c>
    </row>
    <row r="1155">
      <c r="A1155" s="5" t="inlineStr"/>
      <c r="B1155" s="5" t="inlineStr"/>
      <c r="C1155" s="5">
        <f>IF($B1155="","",VLOOKUP($B1155,Jogos!$A$2:$K$105,8,FALSE))</f>
        <v/>
      </c>
      <c r="D1155" s="5">
        <f>IF($B1155="","",VLOOKUP($B1155,Jogos!$A$2:$K$105,10,FALSE))</f>
        <v/>
      </c>
      <c r="E1155" s="5" t="inlineStr"/>
      <c r="F1155" s="5" t="inlineStr"/>
      <c r="G1155" s="8">
        <f>IF($B1155="","",VLOOKUP($B1155,Jogos!$A$2:$K$105,9,FALSE))</f>
        <v/>
      </c>
      <c r="H1155" s="8">
        <f>IF($B1155="","",VLOOKUP($B1155,Jogos!$A$2:$K$105,11,FALSE))</f>
        <v/>
      </c>
      <c r="I1155" s="5">
        <f>IF(OR($A1155="", $B1155="", $E1155="", $F1155="", $G1155="", $H1155=""), "",IF(AND($E1155=$G1155, $F1155=$H1155), 3, IF(SIGN($E1155-$F1155)=SIGN($G1155-$H1155), 1, 0))))</f>
        <v/>
      </c>
    </row>
    <row r="1156">
      <c r="A1156" s="5" t="inlineStr"/>
      <c r="B1156" s="5" t="inlineStr"/>
      <c r="C1156" s="5">
        <f>IF($B1156="","",VLOOKUP($B1156,Jogos!$A$2:$K$105,8,FALSE))</f>
        <v/>
      </c>
      <c r="D1156" s="5">
        <f>IF($B1156="","",VLOOKUP($B1156,Jogos!$A$2:$K$105,10,FALSE))</f>
        <v/>
      </c>
      <c r="E1156" s="5" t="inlineStr"/>
      <c r="F1156" s="5" t="inlineStr"/>
      <c r="G1156" s="8">
        <f>IF($B1156="","",VLOOKUP($B1156,Jogos!$A$2:$K$105,9,FALSE))</f>
        <v/>
      </c>
      <c r="H1156" s="8">
        <f>IF($B1156="","",VLOOKUP($B1156,Jogos!$A$2:$K$105,11,FALSE))</f>
        <v/>
      </c>
      <c r="I1156" s="5">
        <f>IF(OR($A1156="", $B1156="", $E1156="", $F1156="", $G1156="", $H1156=""), "",IF(AND($E1156=$G1156, $F1156=$H1156), 3, IF(SIGN($E1156-$F1156)=SIGN($G1156-$H1156), 1, 0))))</f>
        <v/>
      </c>
    </row>
    <row r="1157">
      <c r="A1157" s="5" t="inlineStr"/>
      <c r="B1157" s="5" t="inlineStr"/>
      <c r="C1157" s="5">
        <f>IF($B1157="","",VLOOKUP($B1157,Jogos!$A$2:$K$105,8,FALSE))</f>
        <v/>
      </c>
      <c r="D1157" s="5">
        <f>IF($B1157="","",VLOOKUP($B1157,Jogos!$A$2:$K$105,10,FALSE))</f>
        <v/>
      </c>
      <c r="E1157" s="5" t="inlineStr"/>
      <c r="F1157" s="5" t="inlineStr"/>
      <c r="G1157" s="8">
        <f>IF($B1157="","",VLOOKUP($B1157,Jogos!$A$2:$K$105,9,FALSE))</f>
        <v/>
      </c>
      <c r="H1157" s="8">
        <f>IF($B1157="","",VLOOKUP($B1157,Jogos!$A$2:$K$105,11,FALSE))</f>
        <v/>
      </c>
      <c r="I1157" s="5">
        <f>IF(OR($A1157="", $B1157="", $E1157="", $F1157="", $G1157="", $H1157=""), "",IF(AND($E1157=$G1157, $F1157=$H1157), 3, IF(SIGN($E1157-$F1157)=SIGN($G1157-$H1157), 1, 0))))</f>
        <v/>
      </c>
    </row>
    <row r="1158">
      <c r="A1158" s="5" t="inlineStr"/>
      <c r="B1158" s="5" t="inlineStr"/>
      <c r="C1158" s="5">
        <f>IF($B1158="","",VLOOKUP($B1158,Jogos!$A$2:$K$105,8,FALSE))</f>
        <v/>
      </c>
      <c r="D1158" s="5">
        <f>IF($B1158="","",VLOOKUP($B1158,Jogos!$A$2:$K$105,10,FALSE))</f>
        <v/>
      </c>
      <c r="E1158" s="5" t="inlineStr"/>
      <c r="F1158" s="5" t="inlineStr"/>
      <c r="G1158" s="8">
        <f>IF($B1158="","",VLOOKUP($B1158,Jogos!$A$2:$K$105,9,FALSE))</f>
        <v/>
      </c>
      <c r="H1158" s="8">
        <f>IF($B1158="","",VLOOKUP($B1158,Jogos!$A$2:$K$105,11,FALSE))</f>
        <v/>
      </c>
      <c r="I1158" s="5">
        <f>IF(OR($A1158="", $B1158="", $E1158="", $F1158="", $G1158="", $H1158=""), "",IF(AND($E1158=$G1158, $F1158=$H1158), 3, IF(SIGN($E1158-$F1158)=SIGN($G1158-$H1158), 1, 0))))</f>
        <v/>
      </c>
    </row>
    <row r="1159">
      <c r="A1159" s="5" t="inlineStr"/>
      <c r="B1159" s="5" t="inlineStr"/>
      <c r="C1159" s="5">
        <f>IF($B1159="","",VLOOKUP($B1159,Jogos!$A$2:$K$105,8,FALSE))</f>
        <v/>
      </c>
      <c r="D1159" s="5">
        <f>IF($B1159="","",VLOOKUP($B1159,Jogos!$A$2:$K$105,10,FALSE))</f>
        <v/>
      </c>
      <c r="E1159" s="5" t="inlineStr"/>
      <c r="F1159" s="5" t="inlineStr"/>
      <c r="G1159" s="8">
        <f>IF($B1159="","",VLOOKUP($B1159,Jogos!$A$2:$K$105,9,FALSE))</f>
        <v/>
      </c>
      <c r="H1159" s="8">
        <f>IF($B1159="","",VLOOKUP($B1159,Jogos!$A$2:$K$105,11,FALSE))</f>
        <v/>
      </c>
      <c r="I1159" s="5">
        <f>IF(OR($A1159="", $B1159="", $E1159="", $F1159="", $G1159="", $H1159=""), "",IF(AND($E1159=$G1159, $F1159=$H1159), 3, IF(SIGN($E1159-$F1159)=SIGN($G1159-$H1159), 1, 0))))</f>
        <v/>
      </c>
    </row>
    <row r="1160">
      <c r="A1160" s="5" t="inlineStr"/>
      <c r="B1160" s="5" t="inlineStr"/>
      <c r="C1160" s="5">
        <f>IF($B1160="","",VLOOKUP($B1160,Jogos!$A$2:$K$105,8,FALSE))</f>
        <v/>
      </c>
      <c r="D1160" s="5">
        <f>IF($B1160="","",VLOOKUP($B1160,Jogos!$A$2:$K$105,10,FALSE))</f>
        <v/>
      </c>
      <c r="E1160" s="5" t="inlineStr"/>
      <c r="F1160" s="5" t="inlineStr"/>
      <c r="G1160" s="8">
        <f>IF($B1160="","",VLOOKUP($B1160,Jogos!$A$2:$K$105,9,FALSE))</f>
        <v/>
      </c>
      <c r="H1160" s="8">
        <f>IF($B1160="","",VLOOKUP($B1160,Jogos!$A$2:$K$105,11,FALSE))</f>
        <v/>
      </c>
      <c r="I1160" s="5">
        <f>IF(OR($A1160="", $B1160="", $E1160="", $F1160="", $G1160="", $H1160=""), "",IF(AND($E1160=$G1160, $F1160=$H1160), 3, IF(SIGN($E1160-$F1160)=SIGN($G1160-$H1160), 1, 0))))</f>
        <v/>
      </c>
    </row>
    <row r="1161">
      <c r="A1161" s="5" t="inlineStr"/>
      <c r="B1161" s="5" t="inlineStr"/>
      <c r="C1161" s="5">
        <f>IF($B1161="","",VLOOKUP($B1161,Jogos!$A$2:$K$105,8,FALSE))</f>
        <v/>
      </c>
      <c r="D1161" s="5">
        <f>IF($B1161="","",VLOOKUP($B1161,Jogos!$A$2:$K$105,10,FALSE))</f>
        <v/>
      </c>
      <c r="E1161" s="5" t="inlineStr"/>
      <c r="F1161" s="5" t="inlineStr"/>
      <c r="G1161" s="8">
        <f>IF($B1161="","",VLOOKUP($B1161,Jogos!$A$2:$K$105,9,FALSE))</f>
        <v/>
      </c>
      <c r="H1161" s="8">
        <f>IF($B1161="","",VLOOKUP($B1161,Jogos!$A$2:$K$105,11,FALSE))</f>
        <v/>
      </c>
      <c r="I1161" s="5">
        <f>IF(OR($A1161="", $B1161="", $E1161="", $F1161="", $G1161="", $H1161=""), "",IF(AND($E1161=$G1161, $F1161=$H1161), 3, IF(SIGN($E1161-$F1161)=SIGN($G1161-$H1161), 1, 0))))</f>
        <v/>
      </c>
    </row>
    <row r="1162">
      <c r="A1162" s="5" t="inlineStr"/>
      <c r="B1162" s="5" t="inlineStr"/>
      <c r="C1162" s="5">
        <f>IF($B1162="","",VLOOKUP($B1162,Jogos!$A$2:$K$105,8,FALSE))</f>
        <v/>
      </c>
      <c r="D1162" s="5">
        <f>IF($B1162="","",VLOOKUP($B1162,Jogos!$A$2:$K$105,10,FALSE))</f>
        <v/>
      </c>
      <c r="E1162" s="5" t="inlineStr"/>
      <c r="F1162" s="5" t="inlineStr"/>
      <c r="G1162" s="8">
        <f>IF($B1162="","",VLOOKUP($B1162,Jogos!$A$2:$K$105,9,FALSE))</f>
        <v/>
      </c>
      <c r="H1162" s="8">
        <f>IF($B1162="","",VLOOKUP($B1162,Jogos!$A$2:$K$105,11,FALSE))</f>
        <v/>
      </c>
      <c r="I1162" s="5">
        <f>IF(OR($A1162="", $B1162="", $E1162="", $F1162="", $G1162="", $H1162=""), "",IF(AND($E1162=$G1162, $F1162=$H1162), 3, IF(SIGN($E1162-$F1162)=SIGN($G1162-$H1162), 1, 0))))</f>
        <v/>
      </c>
    </row>
    <row r="1163">
      <c r="A1163" s="5" t="inlineStr"/>
      <c r="B1163" s="5" t="inlineStr"/>
      <c r="C1163" s="5">
        <f>IF($B1163="","",VLOOKUP($B1163,Jogos!$A$2:$K$105,8,FALSE))</f>
        <v/>
      </c>
      <c r="D1163" s="5">
        <f>IF($B1163="","",VLOOKUP($B1163,Jogos!$A$2:$K$105,10,FALSE))</f>
        <v/>
      </c>
      <c r="E1163" s="5" t="inlineStr"/>
      <c r="F1163" s="5" t="inlineStr"/>
      <c r="G1163" s="8">
        <f>IF($B1163="","",VLOOKUP($B1163,Jogos!$A$2:$K$105,9,FALSE))</f>
        <v/>
      </c>
      <c r="H1163" s="8">
        <f>IF($B1163="","",VLOOKUP($B1163,Jogos!$A$2:$K$105,11,FALSE))</f>
        <v/>
      </c>
      <c r="I1163" s="5">
        <f>IF(OR($A1163="", $B1163="", $E1163="", $F1163="", $G1163="", $H1163=""), "",IF(AND($E1163=$G1163, $F1163=$H1163), 3, IF(SIGN($E1163-$F1163)=SIGN($G1163-$H1163), 1, 0))))</f>
        <v/>
      </c>
    </row>
    <row r="1164">
      <c r="A1164" s="5" t="inlineStr"/>
      <c r="B1164" s="5" t="inlineStr"/>
      <c r="C1164" s="5">
        <f>IF($B1164="","",VLOOKUP($B1164,Jogos!$A$2:$K$105,8,FALSE))</f>
        <v/>
      </c>
      <c r="D1164" s="5">
        <f>IF($B1164="","",VLOOKUP($B1164,Jogos!$A$2:$K$105,10,FALSE))</f>
        <v/>
      </c>
      <c r="E1164" s="5" t="inlineStr"/>
      <c r="F1164" s="5" t="inlineStr"/>
      <c r="G1164" s="8">
        <f>IF($B1164="","",VLOOKUP($B1164,Jogos!$A$2:$K$105,9,FALSE))</f>
        <v/>
      </c>
      <c r="H1164" s="8">
        <f>IF($B1164="","",VLOOKUP($B1164,Jogos!$A$2:$K$105,11,FALSE))</f>
        <v/>
      </c>
      <c r="I1164" s="5">
        <f>IF(OR($A1164="", $B1164="", $E1164="", $F1164="", $G1164="", $H1164=""), "",IF(AND($E1164=$G1164, $F1164=$H1164), 3, IF(SIGN($E1164-$F1164)=SIGN($G1164-$H1164), 1, 0))))</f>
        <v/>
      </c>
    </row>
    <row r="1165">
      <c r="A1165" s="5" t="inlineStr"/>
      <c r="B1165" s="5" t="inlineStr"/>
      <c r="C1165" s="5">
        <f>IF($B1165="","",VLOOKUP($B1165,Jogos!$A$2:$K$105,8,FALSE))</f>
        <v/>
      </c>
      <c r="D1165" s="5">
        <f>IF($B1165="","",VLOOKUP($B1165,Jogos!$A$2:$K$105,10,FALSE))</f>
        <v/>
      </c>
      <c r="E1165" s="5" t="inlineStr"/>
      <c r="F1165" s="5" t="inlineStr"/>
      <c r="G1165" s="8">
        <f>IF($B1165="","",VLOOKUP($B1165,Jogos!$A$2:$K$105,9,FALSE))</f>
        <v/>
      </c>
      <c r="H1165" s="8">
        <f>IF($B1165="","",VLOOKUP($B1165,Jogos!$A$2:$K$105,11,FALSE))</f>
        <v/>
      </c>
      <c r="I1165" s="5">
        <f>IF(OR($A1165="", $B1165="", $E1165="", $F1165="", $G1165="", $H1165=""), "",IF(AND($E1165=$G1165, $F1165=$H1165), 3, IF(SIGN($E1165-$F1165)=SIGN($G1165-$H1165), 1, 0))))</f>
        <v/>
      </c>
    </row>
    <row r="1166">
      <c r="A1166" s="5" t="inlineStr"/>
      <c r="B1166" s="5" t="inlineStr"/>
      <c r="C1166" s="5">
        <f>IF($B1166="","",VLOOKUP($B1166,Jogos!$A$2:$K$105,8,FALSE))</f>
        <v/>
      </c>
      <c r="D1166" s="5">
        <f>IF($B1166="","",VLOOKUP($B1166,Jogos!$A$2:$K$105,10,FALSE))</f>
        <v/>
      </c>
      <c r="E1166" s="5" t="inlineStr"/>
      <c r="F1166" s="5" t="inlineStr"/>
      <c r="G1166" s="8">
        <f>IF($B1166="","",VLOOKUP($B1166,Jogos!$A$2:$K$105,9,FALSE))</f>
        <v/>
      </c>
      <c r="H1166" s="8">
        <f>IF($B1166="","",VLOOKUP($B1166,Jogos!$A$2:$K$105,11,FALSE))</f>
        <v/>
      </c>
      <c r="I1166" s="5">
        <f>IF(OR($A1166="", $B1166="", $E1166="", $F1166="", $G1166="", $H1166=""), "",IF(AND($E1166=$G1166, $F1166=$H1166), 3, IF(SIGN($E1166-$F1166)=SIGN($G1166-$H1166), 1, 0))))</f>
        <v/>
      </c>
    </row>
    <row r="1167">
      <c r="A1167" s="5" t="inlineStr"/>
      <c r="B1167" s="5" t="inlineStr"/>
      <c r="C1167" s="5">
        <f>IF($B1167="","",VLOOKUP($B1167,Jogos!$A$2:$K$105,8,FALSE))</f>
        <v/>
      </c>
      <c r="D1167" s="5">
        <f>IF($B1167="","",VLOOKUP($B1167,Jogos!$A$2:$K$105,10,FALSE))</f>
        <v/>
      </c>
      <c r="E1167" s="5" t="inlineStr"/>
      <c r="F1167" s="5" t="inlineStr"/>
      <c r="G1167" s="8">
        <f>IF($B1167="","",VLOOKUP($B1167,Jogos!$A$2:$K$105,9,FALSE))</f>
        <v/>
      </c>
      <c r="H1167" s="8">
        <f>IF($B1167="","",VLOOKUP($B1167,Jogos!$A$2:$K$105,11,FALSE))</f>
        <v/>
      </c>
      <c r="I1167" s="5">
        <f>IF(OR($A1167="", $B1167="", $E1167="", $F1167="", $G1167="", $H1167=""), "",IF(AND($E1167=$G1167, $F1167=$H1167), 3, IF(SIGN($E1167-$F1167)=SIGN($G1167-$H1167), 1, 0))))</f>
        <v/>
      </c>
    </row>
    <row r="1168">
      <c r="A1168" s="5" t="inlineStr"/>
      <c r="B1168" s="5" t="inlineStr"/>
      <c r="C1168" s="5">
        <f>IF($B1168="","",VLOOKUP($B1168,Jogos!$A$2:$K$105,8,FALSE))</f>
        <v/>
      </c>
      <c r="D1168" s="5">
        <f>IF($B1168="","",VLOOKUP($B1168,Jogos!$A$2:$K$105,10,FALSE))</f>
        <v/>
      </c>
      <c r="E1168" s="5" t="inlineStr"/>
      <c r="F1168" s="5" t="inlineStr"/>
      <c r="G1168" s="8">
        <f>IF($B1168="","",VLOOKUP($B1168,Jogos!$A$2:$K$105,9,FALSE))</f>
        <v/>
      </c>
      <c r="H1168" s="8">
        <f>IF($B1168="","",VLOOKUP($B1168,Jogos!$A$2:$K$105,11,FALSE))</f>
        <v/>
      </c>
      <c r="I1168" s="5">
        <f>IF(OR($A1168="", $B1168="", $E1168="", $F1168="", $G1168="", $H1168=""), "",IF(AND($E1168=$G1168, $F1168=$H1168), 3, IF(SIGN($E1168-$F1168)=SIGN($G1168-$H1168), 1, 0))))</f>
        <v/>
      </c>
    </row>
    <row r="1169">
      <c r="A1169" s="5" t="inlineStr"/>
      <c r="B1169" s="5" t="inlineStr"/>
      <c r="C1169" s="5">
        <f>IF($B1169="","",VLOOKUP($B1169,Jogos!$A$2:$K$105,8,FALSE))</f>
        <v/>
      </c>
      <c r="D1169" s="5">
        <f>IF($B1169="","",VLOOKUP($B1169,Jogos!$A$2:$K$105,10,FALSE))</f>
        <v/>
      </c>
      <c r="E1169" s="5" t="inlineStr"/>
      <c r="F1169" s="5" t="inlineStr"/>
      <c r="G1169" s="8">
        <f>IF($B1169="","",VLOOKUP($B1169,Jogos!$A$2:$K$105,9,FALSE))</f>
        <v/>
      </c>
      <c r="H1169" s="8">
        <f>IF($B1169="","",VLOOKUP($B1169,Jogos!$A$2:$K$105,11,FALSE))</f>
        <v/>
      </c>
      <c r="I1169" s="5">
        <f>IF(OR($A1169="", $B1169="", $E1169="", $F1169="", $G1169="", $H1169=""), "",IF(AND($E1169=$G1169, $F1169=$H1169), 3, IF(SIGN($E1169-$F1169)=SIGN($G1169-$H1169), 1, 0))))</f>
        <v/>
      </c>
    </row>
    <row r="1170">
      <c r="A1170" s="5" t="inlineStr"/>
      <c r="B1170" s="5" t="inlineStr"/>
      <c r="C1170" s="5">
        <f>IF($B1170="","",VLOOKUP($B1170,Jogos!$A$2:$K$105,8,FALSE))</f>
        <v/>
      </c>
      <c r="D1170" s="5">
        <f>IF($B1170="","",VLOOKUP($B1170,Jogos!$A$2:$K$105,10,FALSE))</f>
        <v/>
      </c>
      <c r="E1170" s="5" t="inlineStr"/>
      <c r="F1170" s="5" t="inlineStr"/>
      <c r="G1170" s="8">
        <f>IF($B1170="","",VLOOKUP($B1170,Jogos!$A$2:$K$105,9,FALSE))</f>
        <v/>
      </c>
      <c r="H1170" s="8">
        <f>IF($B1170="","",VLOOKUP($B1170,Jogos!$A$2:$K$105,11,FALSE))</f>
        <v/>
      </c>
      <c r="I1170" s="5">
        <f>IF(OR($A1170="", $B1170="", $E1170="", $F1170="", $G1170="", $H1170=""), "",IF(AND($E1170=$G1170, $F1170=$H1170), 3, IF(SIGN($E1170-$F1170)=SIGN($G1170-$H1170), 1, 0))))</f>
        <v/>
      </c>
    </row>
    <row r="1171">
      <c r="A1171" s="5" t="inlineStr"/>
      <c r="B1171" s="5" t="inlineStr"/>
      <c r="C1171" s="5">
        <f>IF($B1171="","",VLOOKUP($B1171,Jogos!$A$2:$K$105,8,FALSE))</f>
        <v/>
      </c>
      <c r="D1171" s="5">
        <f>IF($B1171="","",VLOOKUP($B1171,Jogos!$A$2:$K$105,10,FALSE))</f>
        <v/>
      </c>
      <c r="E1171" s="5" t="inlineStr"/>
      <c r="F1171" s="5" t="inlineStr"/>
      <c r="G1171" s="8">
        <f>IF($B1171="","",VLOOKUP($B1171,Jogos!$A$2:$K$105,9,FALSE))</f>
        <v/>
      </c>
      <c r="H1171" s="8">
        <f>IF($B1171="","",VLOOKUP($B1171,Jogos!$A$2:$K$105,11,FALSE))</f>
        <v/>
      </c>
      <c r="I1171" s="5">
        <f>IF(OR($A1171="", $B1171="", $E1171="", $F1171="", $G1171="", $H1171=""), "",IF(AND($E1171=$G1171, $F1171=$H1171), 3, IF(SIGN($E1171-$F1171)=SIGN($G1171-$H1171), 1, 0))))</f>
        <v/>
      </c>
    </row>
    <row r="1172">
      <c r="A1172" s="5" t="inlineStr"/>
      <c r="B1172" s="5" t="inlineStr"/>
      <c r="C1172" s="5">
        <f>IF($B1172="","",VLOOKUP($B1172,Jogos!$A$2:$K$105,8,FALSE))</f>
        <v/>
      </c>
      <c r="D1172" s="5">
        <f>IF($B1172="","",VLOOKUP($B1172,Jogos!$A$2:$K$105,10,FALSE))</f>
        <v/>
      </c>
      <c r="E1172" s="5" t="inlineStr"/>
      <c r="F1172" s="5" t="inlineStr"/>
      <c r="G1172" s="8">
        <f>IF($B1172="","",VLOOKUP($B1172,Jogos!$A$2:$K$105,9,FALSE))</f>
        <v/>
      </c>
      <c r="H1172" s="8">
        <f>IF($B1172="","",VLOOKUP($B1172,Jogos!$A$2:$K$105,11,FALSE))</f>
        <v/>
      </c>
      <c r="I1172" s="5">
        <f>IF(OR($A1172="", $B1172="", $E1172="", $F1172="", $G1172="", $H1172=""), "",IF(AND($E1172=$G1172, $F1172=$H1172), 3, IF(SIGN($E1172-$F1172)=SIGN($G1172-$H1172), 1, 0))))</f>
        <v/>
      </c>
    </row>
    <row r="1173">
      <c r="A1173" s="5" t="inlineStr"/>
      <c r="B1173" s="5" t="inlineStr"/>
      <c r="C1173" s="5">
        <f>IF($B1173="","",VLOOKUP($B1173,Jogos!$A$2:$K$105,8,FALSE))</f>
        <v/>
      </c>
      <c r="D1173" s="5">
        <f>IF($B1173="","",VLOOKUP($B1173,Jogos!$A$2:$K$105,10,FALSE))</f>
        <v/>
      </c>
      <c r="E1173" s="5" t="inlineStr"/>
      <c r="F1173" s="5" t="inlineStr"/>
      <c r="G1173" s="8">
        <f>IF($B1173="","",VLOOKUP($B1173,Jogos!$A$2:$K$105,9,FALSE))</f>
        <v/>
      </c>
      <c r="H1173" s="8">
        <f>IF($B1173="","",VLOOKUP($B1173,Jogos!$A$2:$K$105,11,FALSE))</f>
        <v/>
      </c>
      <c r="I1173" s="5">
        <f>IF(OR($A1173="", $B1173="", $E1173="", $F1173="", $G1173="", $H1173=""), "",IF(AND($E1173=$G1173, $F1173=$H1173), 3, IF(SIGN($E1173-$F1173)=SIGN($G1173-$H1173), 1, 0))))</f>
        <v/>
      </c>
    </row>
    <row r="1174">
      <c r="A1174" s="5" t="inlineStr"/>
      <c r="B1174" s="5" t="inlineStr"/>
      <c r="C1174" s="5">
        <f>IF($B1174="","",VLOOKUP($B1174,Jogos!$A$2:$K$105,8,FALSE))</f>
        <v/>
      </c>
      <c r="D1174" s="5">
        <f>IF($B1174="","",VLOOKUP($B1174,Jogos!$A$2:$K$105,10,FALSE))</f>
        <v/>
      </c>
      <c r="E1174" s="5" t="inlineStr"/>
      <c r="F1174" s="5" t="inlineStr"/>
      <c r="G1174" s="8">
        <f>IF($B1174="","",VLOOKUP($B1174,Jogos!$A$2:$K$105,9,FALSE))</f>
        <v/>
      </c>
      <c r="H1174" s="8">
        <f>IF($B1174="","",VLOOKUP($B1174,Jogos!$A$2:$K$105,11,FALSE))</f>
        <v/>
      </c>
      <c r="I1174" s="5">
        <f>IF(OR($A1174="", $B1174="", $E1174="", $F1174="", $G1174="", $H1174=""), "",IF(AND($E1174=$G1174, $F1174=$H1174), 3, IF(SIGN($E1174-$F1174)=SIGN($G1174-$H1174), 1, 0))))</f>
        <v/>
      </c>
    </row>
    <row r="1175">
      <c r="A1175" s="5" t="inlineStr"/>
      <c r="B1175" s="5" t="inlineStr"/>
      <c r="C1175" s="5">
        <f>IF($B1175="","",VLOOKUP($B1175,Jogos!$A$2:$K$105,8,FALSE))</f>
        <v/>
      </c>
      <c r="D1175" s="5">
        <f>IF($B1175="","",VLOOKUP($B1175,Jogos!$A$2:$K$105,10,FALSE))</f>
        <v/>
      </c>
      <c r="E1175" s="5" t="inlineStr"/>
      <c r="F1175" s="5" t="inlineStr"/>
      <c r="G1175" s="8">
        <f>IF($B1175="","",VLOOKUP($B1175,Jogos!$A$2:$K$105,9,FALSE))</f>
        <v/>
      </c>
      <c r="H1175" s="8">
        <f>IF($B1175="","",VLOOKUP($B1175,Jogos!$A$2:$K$105,11,FALSE))</f>
        <v/>
      </c>
      <c r="I1175" s="5">
        <f>IF(OR($A1175="", $B1175="", $E1175="", $F1175="", $G1175="", $H1175=""), "",IF(AND($E1175=$G1175, $F1175=$H1175), 3, IF(SIGN($E1175-$F1175)=SIGN($G1175-$H1175), 1, 0))))</f>
        <v/>
      </c>
    </row>
    <row r="1176">
      <c r="A1176" s="5" t="inlineStr"/>
      <c r="B1176" s="5" t="inlineStr"/>
      <c r="C1176" s="5">
        <f>IF($B1176="","",VLOOKUP($B1176,Jogos!$A$2:$K$105,8,FALSE))</f>
        <v/>
      </c>
      <c r="D1176" s="5">
        <f>IF($B1176="","",VLOOKUP($B1176,Jogos!$A$2:$K$105,10,FALSE))</f>
        <v/>
      </c>
      <c r="E1176" s="5" t="inlineStr"/>
      <c r="F1176" s="5" t="inlineStr"/>
      <c r="G1176" s="8">
        <f>IF($B1176="","",VLOOKUP($B1176,Jogos!$A$2:$K$105,9,FALSE))</f>
        <v/>
      </c>
      <c r="H1176" s="8">
        <f>IF($B1176="","",VLOOKUP($B1176,Jogos!$A$2:$K$105,11,FALSE))</f>
        <v/>
      </c>
      <c r="I1176" s="5">
        <f>IF(OR($A1176="", $B1176="", $E1176="", $F1176="", $G1176="", $H1176=""), "",IF(AND($E1176=$G1176, $F1176=$H1176), 3, IF(SIGN($E1176-$F1176)=SIGN($G1176-$H1176), 1, 0))))</f>
        <v/>
      </c>
    </row>
    <row r="1177">
      <c r="A1177" s="5" t="inlineStr"/>
      <c r="B1177" s="5" t="inlineStr"/>
      <c r="C1177" s="5">
        <f>IF($B1177="","",VLOOKUP($B1177,Jogos!$A$2:$K$105,8,FALSE))</f>
        <v/>
      </c>
      <c r="D1177" s="5">
        <f>IF($B1177="","",VLOOKUP($B1177,Jogos!$A$2:$K$105,10,FALSE))</f>
        <v/>
      </c>
      <c r="E1177" s="5" t="inlineStr"/>
      <c r="F1177" s="5" t="inlineStr"/>
      <c r="G1177" s="8">
        <f>IF($B1177="","",VLOOKUP($B1177,Jogos!$A$2:$K$105,9,FALSE))</f>
        <v/>
      </c>
      <c r="H1177" s="8">
        <f>IF($B1177="","",VLOOKUP($B1177,Jogos!$A$2:$K$105,11,FALSE))</f>
        <v/>
      </c>
      <c r="I1177" s="5">
        <f>IF(OR($A1177="", $B1177="", $E1177="", $F1177="", $G1177="", $H1177=""), "",IF(AND($E1177=$G1177, $F1177=$H1177), 3, IF(SIGN($E1177-$F1177)=SIGN($G1177-$H1177), 1, 0))))</f>
        <v/>
      </c>
    </row>
    <row r="1178">
      <c r="A1178" s="5" t="inlineStr"/>
      <c r="B1178" s="5" t="inlineStr"/>
      <c r="C1178" s="5">
        <f>IF($B1178="","",VLOOKUP($B1178,Jogos!$A$2:$K$105,8,FALSE))</f>
        <v/>
      </c>
      <c r="D1178" s="5">
        <f>IF($B1178="","",VLOOKUP($B1178,Jogos!$A$2:$K$105,10,FALSE))</f>
        <v/>
      </c>
      <c r="E1178" s="5" t="inlineStr"/>
      <c r="F1178" s="5" t="inlineStr"/>
      <c r="G1178" s="8">
        <f>IF($B1178="","",VLOOKUP($B1178,Jogos!$A$2:$K$105,9,FALSE))</f>
        <v/>
      </c>
      <c r="H1178" s="8">
        <f>IF($B1178="","",VLOOKUP($B1178,Jogos!$A$2:$K$105,11,FALSE))</f>
        <v/>
      </c>
      <c r="I1178" s="5">
        <f>IF(OR($A1178="", $B1178="", $E1178="", $F1178="", $G1178="", $H1178=""), "",IF(AND($E1178=$G1178, $F1178=$H1178), 3, IF(SIGN($E1178-$F1178)=SIGN($G1178-$H1178), 1, 0))))</f>
        <v/>
      </c>
    </row>
    <row r="1179">
      <c r="A1179" s="5" t="inlineStr"/>
      <c r="B1179" s="5" t="inlineStr"/>
      <c r="C1179" s="5">
        <f>IF($B1179="","",VLOOKUP($B1179,Jogos!$A$2:$K$105,8,FALSE))</f>
        <v/>
      </c>
      <c r="D1179" s="5">
        <f>IF($B1179="","",VLOOKUP($B1179,Jogos!$A$2:$K$105,10,FALSE))</f>
        <v/>
      </c>
      <c r="E1179" s="5" t="inlineStr"/>
      <c r="F1179" s="5" t="inlineStr"/>
      <c r="G1179" s="8">
        <f>IF($B1179="","",VLOOKUP($B1179,Jogos!$A$2:$K$105,9,FALSE))</f>
        <v/>
      </c>
      <c r="H1179" s="8">
        <f>IF($B1179="","",VLOOKUP($B1179,Jogos!$A$2:$K$105,11,FALSE))</f>
        <v/>
      </c>
      <c r="I1179" s="5">
        <f>IF(OR($A1179="", $B1179="", $E1179="", $F1179="", $G1179="", $H1179=""), "",IF(AND($E1179=$G1179, $F1179=$H1179), 3, IF(SIGN($E1179-$F1179)=SIGN($G1179-$H1179), 1, 0))))</f>
        <v/>
      </c>
    </row>
    <row r="1180">
      <c r="A1180" s="5" t="inlineStr"/>
      <c r="B1180" s="5" t="inlineStr"/>
      <c r="C1180" s="5">
        <f>IF($B1180="","",VLOOKUP($B1180,Jogos!$A$2:$K$105,8,FALSE))</f>
        <v/>
      </c>
      <c r="D1180" s="5">
        <f>IF($B1180="","",VLOOKUP($B1180,Jogos!$A$2:$K$105,10,FALSE))</f>
        <v/>
      </c>
      <c r="E1180" s="5" t="inlineStr"/>
      <c r="F1180" s="5" t="inlineStr"/>
      <c r="G1180" s="8">
        <f>IF($B1180="","",VLOOKUP($B1180,Jogos!$A$2:$K$105,9,FALSE))</f>
        <v/>
      </c>
      <c r="H1180" s="8">
        <f>IF($B1180="","",VLOOKUP($B1180,Jogos!$A$2:$K$105,11,FALSE))</f>
        <v/>
      </c>
      <c r="I1180" s="5">
        <f>IF(OR($A1180="", $B1180="", $E1180="", $F1180="", $G1180="", $H1180=""), "",IF(AND($E1180=$G1180, $F1180=$H1180), 3, IF(SIGN($E1180-$F1180)=SIGN($G1180-$H1180), 1, 0))))</f>
        <v/>
      </c>
    </row>
    <row r="1181">
      <c r="A1181" s="5" t="inlineStr"/>
      <c r="B1181" s="5" t="inlineStr"/>
      <c r="C1181" s="5">
        <f>IF($B1181="","",VLOOKUP($B1181,Jogos!$A$2:$K$105,8,FALSE))</f>
        <v/>
      </c>
      <c r="D1181" s="5">
        <f>IF($B1181="","",VLOOKUP($B1181,Jogos!$A$2:$K$105,10,FALSE))</f>
        <v/>
      </c>
      <c r="E1181" s="5" t="inlineStr"/>
      <c r="F1181" s="5" t="inlineStr"/>
      <c r="G1181" s="8">
        <f>IF($B1181="","",VLOOKUP($B1181,Jogos!$A$2:$K$105,9,FALSE))</f>
        <v/>
      </c>
      <c r="H1181" s="8">
        <f>IF($B1181="","",VLOOKUP($B1181,Jogos!$A$2:$K$105,11,FALSE))</f>
        <v/>
      </c>
      <c r="I1181" s="5">
        <f>IF(OR($A1181="", $B1181="", $E1181="", $F1181="", $G1181="", $H1181=""), "",IF(AND($E1181=$G1181, $F1181=$H1181), 3, IF(SIGN($E1181-$F1181)=SIGN($G1181-$H1181), 1, 0))))</f>
        <v/>
      </c>
    </row>
    <row r="1182">
      <c r="A1182" s="5" t="inlineStr"/>
      <c r="B1182" s="5" t="inlineStr"/>
      <c r="C1182" s="5">
        <f>IF($B1182="","",VLOOKUP($B1182,Jogos!$A$2:$K$105,8,FALSE))</f>
        <v/>
      </c>
      <c r="D1182" s="5">
        <f>IF($B1182="","",VLOOKUP($B1182,Jogos!$A$2:$K$105,10,FALSE))</f>
        <v/>
      </c>
      <c r="E1182" s="5" t="inlineStr"/>
      <c r="F1182" s="5" t="inlineStr"/>
      <c r="G1182" s="8">
        <f>IF($B1182="","",VLOOKUP($B1182,Jogos!$A$2:$K$105,9,FALSE))</f>
        <v/>
      </c>
      <c r="H1182" s="8">
        <f>IF($B1182="","",VLOOKUP($B1182,Jogos!$A$2:$K$105,11,FALSE))</f>
        <v/>
      </c>
      <c r="I1182" s="5">
        <f>IF(OR($A1182="", $B1182="", $E1182="", $F1182="", $G1182="", $H1182=""), "",IF(AND($E1182=$G1182, $F1182=$H1182), 3, IF(SIGN($E1182-$F1182)=SIGN($G1182-$H1182), 1, 0))))</f>
        <v/>
      </c>
    </row>
    <row r="1183">
      <c r="A1183" s="5" t="inlineStr"/>
      <c r="B1183" s="5" t="inlineStr"/>
      <c r="C1183" s="5">
        <f>IF($B1183="","",VLOOKUP($B1183,Jogos!$A$2:$K$105,8,FALSE))</f>
        <v/>
      </c>
      <c r="D1183" s="5">
        <f>IF($B1183="","",VLOOKUP($B1183,Jogos!$A$2:$K$105,10,FALSE))</f>
        <v/>
      </c>
      <c r="E1183" s="5" t="inlineStr"/>
      <c r="F1183" s="5" t="inlineStr"/>
      <c r="G1183" s="8">
        <f>IF($B1183="","",VLOOKUP($B1183,Jogos!$A$2:$K$105,9,FALSE))</f>
        <v/>
      </c>
      <c r="H1183" s="8">
        <f>IF($B1183="","",VLOOKUP($B1183,Jogos!$A$2:$K$105,11,FALSE))</f>
        <v/>
      </c>
      <c r="I1183" s="5">
        <f>IF(OR($A1183="", $B1183="", $E1183="", $F1183="", $G1183="", $H1183=""), "",IF(AND($E1183=$G1183, $F1183=$H1183), 3, IF(SIGN($E1183-$F1183)=SIGN($G1183-$H1183), 1, 0))))</f>
        <v/>
      </c>
    </row>
    <row r="1184">
      <c r="A1184" s="5" t="inlineStr"/>
      <c r="B1184" s="5" t="inlineStr"/>
      <c r="C1184" s="5">
        <f>IF($B1184="","",VLOOKUP($B1184,Jogos!$A$2:$K$105,8,FALSE))</f>
        <v/>
      </c>
      <c r="D1184" s="5">
        <f>IF($B1184="","",VLOOKUP($B1184,Jogos!$A$2:$K$105,10,FALSE))</f>
        <v/>
      </c>
      <c r="E1184" s="5" t="inlineStr"/>
      <c r="F1184" s="5" t="inlineStr"/>
      <c r="G1184" s="8">
        <f>IF($B1184="","",VLOOKUP($B1184,Jogos!$A$2:$K$105,9,FALSE))</f>
        <v/>
      </c>
      <c r="H1184" s="8">
        <f>IF($B1184="","",VLOOKUP($B1184,Jogos!$A$2:$K$105,11,FALSE))</f>
        <v/>
      </c>
      <c r="I1184" s="5">
        <f>IF(OR($A1184="", $B1184="", $E1184="", $F1184="", $G1184="", $H1184=""), "",IF(AND($E1184=$G1184, $F1184=$H1184), 3, IF(SIGN($E1184-$F1184)=SIGN($G1184-$H1184), 1, 0))))</f>
        <v/>
      </c>
    </row>
    <row r="1185">
      <c r="A1185" s="5" t="inlineStr"/>
      <c r="B1185" s="5" t="inlineStr"/>
      <c r="C1185" s="5">
        <f>IF($B1185="","",VLOOKUP($B1185,Jogos!$A$2:$K$105,8,FALSE))</f>
        <v/>
      </c>
      <c r="D1185" s="5">
        <f>IF($B1185="","",VLOOKUP($B1185,Jogos!$A$2:$K$105,10,FALSE))</f>
        <v/>
      </c>
      <c r="E1185" s="5" t="inlineStr"/>
      <c r="F1185" s="5" t="inlineStr"/>
      <c r="G1185" s="8">
        <f>IF($B1185="","",VLOOKUP($B1185,Jogos!$A$2:$K$105,9,FALSE))</f>
        <v/>
      </c>
      <c r="H1185" s="8">
        <f>IF($B1185="","",VLOOKUP($B1185,Jogos!$A$2:$K$105,11,FALSE))</f>
        <v/>
      </c>
      <c r="I1185" s="5">
        <f>IF(OR($A1185="", $B1185="", $E1185="", $F1185="", $G1185="", $H1185=""), "",IF(AND($E1185=$G1185, $F1185=$H1185), 3, IF(SIGN($E1185-$F1185)=SIGN($G1185-$H1185), 1, 0))))</f>
        <v/>
      </c>
    </row>
    <row r="1186">
      <c r="A1186" s="5" t="inlineStr"/>
      <c r="B1186" s="5" t="inlineStr"/>
      <c r="C1186" s="5">
        <f>IF($B1186="","",VLOOKUP($B1186,Jogos!$A$2:$K$105,8,FALSE))</f>
        <v/>
      </c>
      <c r="D1186" s="5">
        <f>IF($B1186="","",VLOOKUP($B1186,Jogos!$A$2:$K$105,10,FALSE))</f>
        <v/>
      </c>
      <c r="E1186" s="5" t="inlineStr"/>
      <c r="F1186" s="5" t="inlineStr"/>
      <c r="G1186" s="8">
        <f>IF($B1186="","",VLOOKUP($B1186,Jogos!$A$2:$K$105,9,FALSE))</f>
        <v/>
      </c>
      <c r="H1186" s="8">
        <f>IF($B1186="","",VLOOKUP($B1186,Jogos!$A$2:$K$105,11,FALSE))</f>
        <v/>
      </c>
      <c r="I1186" s="5">
        <f>IF(OR($A1186="", $B1186="", $E1186="", $F1186="", $G1186="", $H1186=""), "",IF(AND($E1186=$G1186, $F1186=$H1186), 3, IF(SIGN($E1186-$F1186)=SIGN($G1186-$H1186), 1, 0))))</f>
        <v/>
      </c>
    </row>
    <row r="1187">
      <c r="A1187" s="5" t="inlineStr"/>
      <c r="B1187" s="5" t="inlineStr"/>
      <c r="C1187" s="5">
        <f>IF($B1187="","",VLOOKUP($B1187,Jogos!$A$2:$K$105,8,FALSE))</f>
        <v/>
      </c>
      <c r="D1187" s="5">
        <f>IF($B1187="","",VLOOKUP($B1187,Jogos!$A$2:$K$105,10,FALSE))</f>
        <v/>
      </c>
      <c r="E1187" s="5" t="inlineStr"/>
      <c r="F1187" s="5" t="inlineStr"/>
      <c r="G1187" s="8">
        <f>IF($B1187="","",VLOOKUP($B1187,Jogos!$A$2:$K$105,9,FALSE))</f>
        <v/>
      </c>
      <c r="H1187" s="8">
        <f>IF($B1187="","",VLOOKUP($B1187,Jogos!$A$2:$K$105,11,FALSE))</f>
        <v/>
      </c>
      <c r="I1187" s="5">
        <f>IF(OR($A1187="", $B1187="", $E1187="", $F1187="", $G1187="", $H1187=""), "",IF(AND($E1187=$G1187, $F1187=$H1187), 3, IF(SIGN($E1187-$F1187)=SIGN($G1187-$H1187), 1, 0))))</f>
        <v/>
      </c>
    </row>
    <row r="1188">
      <c r="A1188" s="5" t="inlineStr"/>
      <c r="B1188" s="5" t="inlineStr"/>
      <c r="C1188" s="5">
        <f>IF($B1188="","",VLOOKUP($B1188,Jogos!$A$2:$K$105,8,FALSE))</f>
        <v/>
      </c>
      <c r="D1188" s="5">
        <f>IF($B1188="","",VLOOKUP($B1188,Jogos!$A$2:$K$105,10,FALSE))</f>
        <v/>
      </c>
      <c r="E1188" s="5" t="inlineStr"/>
      <c r="F1188" s="5" t="inlineStr"/>
      <c r="G1188" s="8">
        <f>IF($B1188="","",VLOOKUP($B1188,Jogos!$A$2:$K$105,9,FALSE))</f>
        <v/>
      </c>
      <c r="H1188" s="8">
        <f>IF($B1188="","",VLOOKUP($B1188,Jogos!$A$2:$K$105,11,FALSE))</f>
        <v/>
      </c>
      <c r="I1188" s="5">
        <f>IF(OR($A1188="", $B1188="", $E1188="", $F1188="", $G1188="", $H1188=""), "",IF(AND($E1188=$G1188, $F1188=$H1188), 3, IF(SIGN($E1188-$F1188)=SIGN($G1188-$H1188), 1, 0))))</f>
        <v/>
      </c>
    </row>
    <row r="1189">
      <c r="A1189" s="5" t="inlineStr"/>
      <c r="B1189" s="5" t="inlineStr"/>
      <c r="C1189" s="5">
        <f>IF($B1189="","",VLOOKUP($B1189,Jogos!$A$2:$K$105,8,FALSE))</f>
        <v/>
      </c>
      <c r="D1189" s="5">
        <f>IF($B1189="","",VLOOKUP($B1189,Jogos!$A$2:$K$105,10,FALSE))</f>
        <v/>
      </c>
      <c r="E1189" s="5" t="inlineStr"/>
      <c r="F1189" s="5" t="inlineStr"/>
      <c r="G1189" s="8">
        <f>IF($B1189="","",VLOOKUP($B1189,Jogos!$A$2:$K$105,9,FALSE))</f>
        <v/>
      </c>
      <c r="H1189" s="8">
        <f>IF($B1189="","",VLOOKUP($B1189,Jogos!$A$2:$K$105,11,FALSE))</f>
        <v/>
      </c>
      <c r="I1189" s="5">
        <f>IF(OR($A1189="", $B1189="", $E1189="", $F1189="", $G1189="", $H1189=""), "",IF(AND($E1189=$G1189, $F1189=$H1189), 3, IF(SIGN($E1189-$F1189)=SIGN($G1189-$H1189), 1, 0))))</f>
        <v/>
      </c>
    </row>
    <row r="1190">
      <c r="A1190" s="5" t="inlineStr"/>
      <c r="B1190" s="5" t="inlineStr"/>
      <c r="C1190" s="5">
        <f>IF($B1190="","",VLOOKUP($B1190,Jogos!$A$2:$K$105,8,FALSE))</f>
        <v/>
      </c>
      <c r="D1190" s="5">
        <f>IF($B1190="","",VLOOKUP($B1190,Jogos!$A$2:$K$105,10,FALSE))</f>
        <v/>
      </c>
      <c r="E1190" s="5" t="inlineStr"/>
      <c r="F1190" s="5" t="inlineStr"/>
      <c r="G1190" s="8">
        <f>IF($B1190="","",VLOOKUP($B1190,Jogos!$A$2:$K$105,9,FALSE))</f>
        <v/>
      </c>
      <c r="H1190" s="8">
        <f>IF($B1190="","",VLOOKUP($B1190,Jogos!$A$2:$K$105,11,FALSE))</f>
        <v/>
      </c>
      <c r="I1190" s="5">
        <f>IF(OR($A1190="", $B1190="", $E1190="", $F1190="", $G1190="", $H1190=""), "",IF(AND($E1190=$G1190, $F1190=$H1190), 3, IF(SIGN($E1190-$F1190)=SIGN($G1190-$H1190), 1, 0))))</f>
        <v/>
      </c>
    </row>
    <row r="1191">
      <c r="A1191" s="5" t="inlineStr"/>
      <c r="B1191" s="5" t="inlineStr"/>
      <c r="C1191" s="5">
        <f>IF($B1191="","",VLOOKUP($B1191,Jogos!$A$2:$K$105,8,FALSE))</f>
        <v/>
      </c>
      <c r="D1191" s="5">
        <f>IF($B1191="","",VLOOKUP($B1191,Jogos!$A$2:$K$105,10,FALSE))</f>
        <v/>
      </c>
      <c r="E1191" s="5" t="inlineStr"/>
      <c r="F1191" s="5" t="inlineStr"/>
      <c r="G1191" s="8">
        <f>IF($B1191="","",VLOOKUP($B1191,Jogos!$A$2:$K$105,9,FALSE))</f>
        <v/>
      </c>
      <c r="H1191" s="8">
        <f>IF($B1191="","",VLOOKUP($B1191,Jogos!$A$2:$K$105,11,FALSE))</f>
        <v/>
      </c>
      <c r="I1191" s="5">
        <f>IF(OR($A1191="", $B1191="", $E1191="", $F1191="", $G1191="", $H1191=""), "",IF(AND($E1191=$G1191, $F1191=$H1191), 3, IF(SIGN($E1191-$F1191)=SIGN($G1191-$H1191), 1, 0))))</f>
        <v/>
      </c>
    </row>
    <row r="1192">
      <c r="A1192" s="5" t="inlineStr"/>
      <c r="B1192" s="5" t="inlineStr"/>
      <c r="C1192" s="5">
        <f>IF($B1192="","",VLOOKUP($B1192,Jogos!$A$2:$K$105,8,FALSE))</f>
        <v/>
      </c>
      <c r="D1192" s="5">
        <f>IF($B1192="","",VLOOKUP($B1192,Jogos!$A$2:$K$105,10,FALSE))</f>
        <v/>
      </c>
      <c r="E1192" s="5" t="inlineStr"/>
      <c r="F1192" s="5" t="inlineStr"/>
      <c r="G1192" s="8">
        <f>IF($B1192="","",VLOOKUP($B1192,Jogos!$A$2:$K$105,9,FALSE))</f>
        <v/>
      </c>
      <c r="H1192" s="8">
        <f>IF($B1192="","",VLOOKUP($B1192,Jogos!$A$2:$K$105,11,FALSE))</f>
        <v/>
      </c>
      <c r="I1192" s="5">
        <f>IF(OR($A1192="", $B1192="", $E1192="", $F1192="", $G1192="", $H1192=""), "",IF(AND($E1192=$G1192, $F1192=$H1192), 3, IF(SIGN($E1192-$F1192)=SIGN($G1192-$H1192), 1, 0))))</f>
        <v/>
      </c>
    </row>
    <row r="1193">
      <c r="A1193" s="5" t="inlineStr"/>
      <c r="B1193" s="5" t="inlineStr"/>
      <c r="C1193" s="5">
        <f>IF($B1193="","",VLOOKUP($B1193,Jogos!$A$2:$K$105,8,FALSE))</f>
        <v/>
      </c>
      <c r="D1193" s="5">
        <f>IF($B1193="","",VLOOKUP($B1193,Jogos!$A$2:$K$105,10,FALSE))</f>
        <v/>
      </c>
      <c r="E1193" s="5" t="inlineStr"/>
      <c r="F1193" s="5" t="inlineStr"/>
      <c r="G1193" s="8">
        <f>IF($B1193="","",VLOOKUP($B1193,Jogos!$A$2:$K$105,9,FALSE))</f>
        <v/>
      </c>
      <c r="H1193" s="8">
        <f>IF($B1193="","",VLOOKUP($B1193,Jogos!$A$2:$K$105,11,FALSE))</f>
        <v/>
      </c>
      <c r="I1193" s="5">
        <f>IF(OR($A1193="", $B1193="", $E1193="", $F1193="", $G1193="", $H1193=""), "",IF(AND($E1193=$G1193, $F1193=$H1193), 3, IF(SIGN($E1193-$F1193)=SIGN($G1193-$H1193), 1, 0))))</f>
        <v/>
      </c>
    </row>
    <row r="1194">
      <c r="A1194" s="5" t="inlineStr"/>
      <c r="B1194" s="5" t="inlineStr"/>
      <c r="C1194" s="5">
        <f>IF($B1194="","",VLOOKUP($B1194,Jogos!$A$2:$K$105,8,FALSE))</f>
        <v/>
      </c>
      <c r="D1194" s="5">
        <f>IF($B1194="","",VLOOKUP($B1194,Jogos!$A$2:$K$105,10,FALSE))</f>
        <v/>
      </c>
      <c r="E1194" s="5" t="inlineStr"/>
      <c r="F1194" s="5" t="inlineStr"/>
      <c r="G1194" s="8">
        <f>IF($B1194="","",VLOOKUP($B1194,Jogos!$A$2:$K$105,9,FALSE))</f>
        <v/>
      </c>
      <c r="H1194" s="8">
        <f>IF($B1194="","",VLOOKUP($B1194,Jogos!$A$2:$K$105,11,FALSE))</f>
        <v/>
      </c>
      <c r="I1194" s="5">
        <f>IF(OR($A1194="", $B1194="", $E1194="", $F1194="", $G1194="", $H1194=""), "",IF(AND($E1194=$G1194, $F1194=$H1194), 3, IF(SIGN($E1194-$F1194)=SIGN($G1194-$H1194), 1, 0))))</f>
        <v/>
      </c>
    </row>
    <row r="1195">
      <c r="A1195" s="5" t="inlineStr"/>
      <c r="B1195" s="5" t="inlineStr"/>
      <c r="C1195" s="5">
        <f>IF($B1195="","",VLOOKUP($B1195,Jogos!$A$2:$K$105,8,FALSE))</f>
        <v/>
      </c>
      <c r="D1195" s="5">
        <f>IF($B1195="","",VLOOKUP($B1195,Jogos!$A$2:$K$105,10,FALSE))</f>
        <v/>
      </c>
      <c r="E1195" s="5" t="inlineStr"/>
      <c r="F1195" s="5" t="inlineStr"/>
      <c r="G1195" s="8">
        <f>IF($B1195="","",VLOOKUP($B1195,Jogos!$A$2:$K$105,9,FALSE))</f>
        <v/>
      </c>
      <c r="H1195" s="8">
        <f>IF($B1195="","",VLOOKUP($B1195,Jogos!$A$2:$K$105,11,FALSE))</f>
        <v/>
      </c>
      <c r="I1195" s="5">
        <f>IF(OR($A1195="", $B1195="", $E1195="", $F1195="", $G1195="", $H1195=""), "",IF(AND($E1195=$G1195, $F1195=$H1195), 3, IF(SIGN($E1195-$F1195)=SIGN($G1195-$H1195), 1, 0))))</f>
        <v/>
      </c>
    </row>
    <row r="1196">
      <c r="A1196" s="5" t="inlineStr"/>
      <c r="B1196" s="5" t="inlineStr"/>
      <c r="C1196" s="5">
        <f>IF($B1196="","",VLOOKUP($B1196,Jogos!$A$2:$K$105,8,FALSE))</f>
        <v/>
      </c>
      <c r="D1196" s="5">
        <f>IF($B1196="","",VLOOKUP($B1196,Jogos!$A$2:$K$105,10,FALSE))</f>
        <v/>
      </c>
      <c r="E1196" s="5" t="inlineStr"/>
      <c r="F1196" s="5" t="inlineStr"/>
      <c r="G1196" s="8">
        <f>IF($B1196="","",VLOOKUP($B1196,Jogos!$A$2:$K$105,9,FALSE))</f>
        <v/>
      </c>
      <c r="H1196" s="8">
        <f>IF($B1196="","",VLOOKUP($B1196,Jogos!$A$2:$K$105,11,FALSE))</f>
        <v/>
      </c>
      <c r="I1196" s="5">
        <f>IF(OR($A1196="", $B1196="", $E1196="", $F1196="", $G1196="", $H1196=""), "",IF(AND($E1196=$G1196, $F1196=$H1196), 3, IF(SIGN($E1196-$F1196)=SIGN($G1196-$H1196), 1, 0))))</f>
        <v/>
      </c>
    </row>
    <row r="1197">
      <c r="A1197" s="5" t="inlineStr"/>
      <c r="B1197" s="5" t="inlineStr"/>
      <c r="C1197" s="5">
        <f>IF($B1197="","",VLOOKUP($B1197,Jogos!$A$2:$K$105,8,FALSE))</f>
        <v/>
      </c>
      <c r="D1197" s="5">
        <f>IF($B1197="","",VLOOKUP($B1197,Jogos!$A$2:$K$105,10,FALSE))</f>
        <v/>
      </c>
      <c r="E1197" s="5" t="inlineStr"/>
      <c r="F1197" s="5" t="inlineStr"/>
      <c r="G1197" s="8">
        <f>IF($B1197="","",VLOOKUP($B1197,Jogos!$A$2:$K$105,9,FALSE))</f>
        <v/>
      </c>
      <c r="H1197" s="8">
        <f>IF($B1197="","",VLOOKUP($B1197,Jogos!$A$2:$K$105,11,FALSE))</f>
        <v/>
      </c>
      <c r="I1197" s="5">
        <f>IF(OR($A1197="", $B1197="", $E1197="", $F1197="", $G1197="", $H1197=""), "",IF(AND($E1197=$G1197, $F1197=$H1197), 3, IF(SIGN($E1197-$F1197)=SIGN($G1197-$H1197), 1, 0))))</f>
        <v/>
      </c>
    </row>
    <row r="1198">
      <c r="A1198" s="5" t="inlineStr"/>
      <c r="B1198" s="5" t="inlineStr"/>
      <c r="C1198" s="5">
        <f>IF($B1198="","",VLOOKUP($B1198,Jogos!$A$2:$K$105,8,FALSE))</f>
        <v/>
      </c>
      <c r="D1198" s="5">
        <f>IF($B1198="","",VLOOKUP($B1198,Jogos!$A$2:$K$105,10,FALSE))</f>
        <v/>
      </c>
      <c r="E1198" s="5" t="inlineStr"/>
      <c r="F1198" s="5" t="inlineStr"/>
      <c r="G1198" s="8">
        <f>IF($B1198="","",VLOOKUP($B1198,Jogos!$A$2:$K$105,9,FALSE))</f>
        <v/>
      </c>
      <c r="H1198" s="8">
        <f>IF($B1198="","",VLOOKUP($B1198,Jogos!$A$2:$K$105,11,FALSE))</f>
        <v/>
      </c>
      <c r="I1198" s="5">
        <f>IF(OR($A1198="", $B1198="", $E1198="", $F1198="", $G1198="", $H1198=""), "",IF(AND($E1198=$G1198, $F1198=$H1198), 3, IF(SIGN($E1198-$F1198)=SIGN($G1198-$H1198), 1, 0))))</f>
        <v/>
      </c>
    </row>
    <row r="1199">
      <c r="A1199" s="5" t="inlineStr"/>
      <c r="B1199" s="5" t="inlineStr"/>
      <c r="C1199" s="5">
        <f>IF($B1199="","",VLOOKUP($B1199,Jogos!$A$2:$K$105,8,FALSE))</f>
        <v/>
      </c>
      <c r="D1199" s="5">
        <f>IF($B1199="","",VLOOKUP($B1199,Jogos!$A$2:$K$105,10,FALSE))</f>
        <v/>
      </c>
      <c r="E1199" s="5" t="inlineStr"/>
      <c r="F1199" s="5" t="inlineStr"/>
      <c r="G1199" s="8">
        <f>IF($B1199="","",VLOOKUP($B1199,Jogos!$A$2:$K$105,9,FALSE))</f>
        <v/>
      </c>
      <c r="H1199" s="8">
        <f>IF($B1199="","",VLOOKUP($B1199,Jogos!$A$2:$K$105,11,FALSE))</f>
        <v/>
      </c>
      <c r="I1199" s="5">
        <f>IF(OR($A1199="", $B1199="", $E1199="", $F1199="", $G1199="", $H1199=""), "",IF(AND($E1199=$G1199, $F1199=$H1199), 3, IF(SIGN($E1199-$F1199)=SIGN($G1199-$H1199), 1, 0))))</f>
        <v/>
      </c>
    </row>
    <row r="1200">
      <c r="A1200" s="5" t="inlineStr"/>
      <c r="B1200" s="5" t="inlineStr"/>
      <c r="C1200" s="5">
        <f>IF($B1200="","",VLOOKUP($B1200,Jogos!$A$2:$K$105,8,FALSE))</f>
        <v/>
      </c>
      <c r="D1200" s="5">
        <f>IF($B1200="","",VLOOKUP($B1200,Jogos!$A$2:$K$105,10,FALSE))</f>
        <v/>
      </c>
      <c r="E1200" s="5" t="inlineStr"/>
      <c r="F1200" s="5" t="inlineStr"/>
      <c r="G1200" s="8">
        <f>IF($B1200="","",VLOOKUP($B1200,Jogos!$A$2:$K$105,9,FALSE))</f>
        <v/>
      </c>
      <c r="H1200" s="8">
        <f>IF($B1200="","",VLOOKUP($B1200,Jogos!$A$2:$K$105,11,FALSE))</f>
        <v/>
      </c>
      <c r="I1200" s="5">
        <f>IF(OR($A1200="", $B1200="", $E1200="", $F1200="", $G1200="", $H1200=""), "",IF(AND($E1200=$G1200, $F1200=$H1200), 3, IF(SIGN($E1200-$F1200)=SIGN($G1200-$H1200), 1, 0))))</f>
        <v/>
      </c>
    </row>
    <row r="1201">
      <c r="A1201" s="5" t="inlineStr"/>
      <c r="B1201" s="5" t="inlineStr"/>
      <c r="C1201" s="5">
        <f>IF($B1201="","",VLOOKUP($B1201,Jogos!$A$2:$K$105,8,FALSE))</f>
        <v/>
      </c>
      <c r="D1201" s="5">
        <f>IF($B1201="","",VLOOKUP($B1201,Jogos!$A$2:$K$105,10,FALSE))</f>
        <v/>
      </c>
      <c r="E1201" s="5" t="inlineStr"/>
      <c r="F1201" s="5" t="inlineStr"/>
      <c r="G1201" s="8">
        <f>IF($B1201="","",VLOOKUP($B1201,Jogos!$A$2:$K$105,9,FALSE))</f>
        <v/>
      </c>
      <c r="H1201" s="8">
        <f>IF($B1201="","",VLOOKUP($B1201,Jogos!$A$2:$K$105,11,FALSE))</f>
        <v/>
      </c>
      <c r="I1201" s="5">
        <f>IF(OR($A1201="", $B1201="", $E1201="", $F1201="", $G1201="", $H1201=""), "",IF(AND($E1201=$G1201, $F1201=$H1201), 3, IF(SIGN($E1201-$F1201)=SIGN($G1201-$H1201), 1, 0))))</f>
        <v/>
      </c>
    </row>
    <row r="1202">
      <c r="A1202" s="5" t="inlineStr"/>
      <c r="B1202" s="5" t="inlineStr"/>
      <c r="C1202" s="5">
        <f>IF($B1202="","",VLOOKUP($B1202,Jogos!$A$2:$K$105,8,FALSE))</f>
        <v/>
      </c>
      <c r="D1202" s="5">
        <f>IF($B1202="","",VLOOKUP($B1202,Jogos!$A$2:$K$105,10,FALSE))</f>
        <v/>
      </c>
      <c r="E1202" s="5" t="inlineStr"/>
      <c r="F1202" s="5" t="inlineStr"/>
      <c r="G1202" s="8">
        <f>IF($B1202="","",VLOOKUP($B1202,Jogos!$A$2:$K$105,9,FALSE))</f>
        <v/>
      </c>
      <c r="H1202" s="8">
        <f>IF($B1202="","",VLOOKUP($B1202,Jogos!$A$2:$K$105,11,FALSE))</f>
        <v/>
      </c>
      <c r="I1202" s="5">
        <f>IF(OR($A1202="", $B1202="", $E1202="", $F1202="", $G1202="", $H1202=""), "",IF(AND($E1202=$G1202, $F1202=$H1202), 3, IF(SIGN($E1202-$F1202)=SIGN($G1202-$H1202), 1, 0))))</f>
        <v/>
      </c>
    </row>
    <row r="1203">
      <c r="A1203" s="5" t="inlineStr"/>
      <c r="B1203" s="5" t="inlineStr"/>
      <c r="C1203" s="5">
        <f>IF($B1203="","",VLOOKUP($B1203,Jogos!$A$2:$K$105,8,FALSE))</f>
        <v/>
      </c>
      <c r="D1203" s="5">
        <f>IF($B1203="","",VLOOKUP($B1203,Jogos!$A$2:$K$105,10,FALSE))</f>
        <v/>
      </c>
      <c r="E1203" s="5" t="inlineStr"/>
      <c r="F1203" s="5" t="inlineStr"/>
      <c r="G1203" s="8">
        <f>IF($B1203="","",VLOOKUP($B1203,Jogos!$A$2:$K$105,9,FALSE))</f>
        <v/>
      </c>
      <c r="H1203" s="8">
        <f>IF($B1203="","",VLOOKUP($B1203,Jogos!$A$2:$K$105,11,FALSE))</f>
        <v/>
      </c>
      <c r="I1203" s="5">
        <f>IF(OR($A1203="", $B1203="", $E1203="", $F1203="", $G1203="", $H1203=""), "",IF(AND($E1203=$G1203, $F1203=$H1203), 3, IF(SIGN($E1203-$F1203)=SIGN($G1203-$H1203), 1, 0))))</f>
        <v/>
      </c>
    </row>
    <row r="1204">
      <c r="A1204" s="5" t="inlineStr"/>
      <c r="B1204" s="5" t="inlineStr"/>
      <c r="C1204" s="5">
        <f>IF($B1204="","",VLOOKUP($B1204,Jogos!$A$2:$K$105,8,FALSE))</f>
        <v/>
      </c>
      <c r="D1204" s="5">
        <f>IF($B1204="","",VLOOKUP($B1204,Jogos!$A$2:$K$105,10,FALSE))</f>
        <v/>
      </c>
      <c r="E1204" s="5" t="inlineStr"/>
      <c r="F1204" s="5" t="inlineStr"/>
      <c r="G1204" s="8">
        <f>IF($B1204="","",VLOOKUP($B1204,Jogos!$A$2:$K$105,9,FALSE))</f>
        <v/>
      </c>
      <c r="H1204" s="8">
        <f>IF($B1204="","",VLOOKUP($B1204,Jogos!$A$2:$K$105,11,FALSE))</f>
        <v/>
      </c>
      <c r="I1204" s="5">
        <f>IF(OR($A1204="", $B1204="", $E1204="", $F1204="", $G1204="", $H1204=""), "",IF(AND($E1204=$G1204, $F1204=$H1204), 3, IF(SIGN($E1204-$F1204)=SIGN($G1204-$H1204), 1, 0))))</f>
        <v/>
      </c>
    </row>
    <row r="1205">
      <c r="A1205" s="5" t="inlineStr"/>
      <c r="B1205" s="5" t="inlineStr"/>
      <c r="C1205" s="5">
        <f>IF($B1205="","",VLOOKUP($B1205,Jogos!$A$2:$K$105,8,FALSE))</f>
        <v/>
      </c>
      <c r="D1205" s="5">
        <f>IF($B1205="","",VLOOKUP($B1205,Jogos!$A$2:$K$105,10,FALSE))</f>
        <v/>
      </c>
      <c r="E1205" s="5" t="inlineStr"/>
      <c r="F1205" s="5" t="inlineStr"/>
      <c r="G1205" s="8">
        <f>IF($B1205="","",VLOOKUP($B1205,Jogos!$A$2:$K$105,9,FALSE))</f>
        <v/>
      </c>
      <c r="H1205" s="8">
        <f>IF($B1205="","",VLOOKUP($B1205,Jogos!$A$2:$K$105,11,FALSE))</f>
        <v/>
      </c>
      <c r="I1205" s="5">
        <f>IF(OR($A1205="", $B1205="", $E1205="", $F1205="", $G1205="", $H1205=""), "",IF(AND($E1205=$G1205, $F1205=$H1205), 3, IF(SIGN($E1205-$F1205)=SIGN($G1205-$H1205), 1, 0))))</f>
        <v/>
      </c>
    </row>
    <row r="1206">
      <c r="A1206" s="5" t="inlineStr"/>
      <c r="B1206" s="5" t="inlineStr"/>
      <c r="C1206" s="5">
        <f>IF($B1206="","",VLOOKUP($B1206,Jogos!$A$2:$K$105,8,FALSE))</f>
        <v/>
      </c>
      <c r="D1206" s="5">
        <f>IF($B1206="","",VLOOKUP($B1206,Jogos!$A$2:$K$105,10,FALSE))</f>
        <v/>
      </c>
      <c r="E1206" s="5" t="inlineStr"/>
      <c r="F1206" s="5" t="inlineStr"/>
      <c r="G1206" s="8">
        <f>IF($B1206="","",VLOOKUP($B1206,Jogos!$A$2:$K$105,9,FALSE))</f>
        <v/>
      </c>
      <c r="H1206" s="8">
        <f>IF($B1206="","",VLOOKUP($B1206,Jogos!$A$2:$K$105,11,FALSE))</f>
        <v/>
      </c>
      <c r="I1206" s="5">
        <f>IF(OR($A1206="", $B1206="", $E1206="", $F1206="", $G1206="", $H1206=""), "",IF(AND($E1206=$G1206, $F1206=$H1206), 3, IF(SIGN($E1206-$F1206)=SIGN($G1206-$H1206), 1, 0))))</f>
        <v/>
      </c>
    </row>
    <row r="1207">
      <c r="A1207" s="5" t="inlineStr"/>
      <c r="B1207" s="5" t="inlineStr"/>
      <c r="C1207" s="5">
        <f>IF($B1207="","",VLOOKUP($B1207,Jogos!$A$2:$K$105,8,FALSE))</f>
        <v/>
      </c>
      <c r="D1207" s="5">
        <f>IF($B1207="","",VLOOKUP($B1207,Jogos!$A$2:$K$105,10,FALSE))</f>
        <v/>
      </c>
      <c r="E1207" s="5" t="inlineStr"/>
      <c r="F1207" s="5" t="inlineStr"/>
      <c r="G1207" s="8">
        <f>IF($B1207="","",VLOOKUP($B1207,Jogos!$A$2:$K$105,9,FALSE))</f>
        <v/>
      </c>
      <c r="H1207" s="8">
        <f>IF($B1207="","",VLOOKUP($B1207,Jogos!$A$2:$K$105,11,FALSE))</f>
        <v/>
      </c>
      <c r="I1207" s="5">
        <f>IF(OR($A1207="", $B1207="", $E1207="", $F1207="", $G1207="", $H1207=""), "",IF(AND($E1207=$G1207, $F1207=$H1207), 3, IF(SIGN($E1207-$F1207)=SIGN($G1207-$H1207), 1, 0))))</f>
        <v/>
      </c>
    </row>
    <row r="1208">
      <c r="A1208" s="5" t="inlineStr"/>
      <c r="B1208" s="5" t="inlineStr"/>
      <c r="C1208" s="5">
        <f>IF($B1208="","",VLOOKUP($B1208,Jogos!$A$2:$K$105,8,FALSE))</f>
        <v/>
      </c>
      <c r="D1208" s="5">
        <f>IF($B1208="","",VLOOKUP($B1208,Jogos!$A$2:$K$105,10,FALSE))</f>
        <v/>
      </c>
      <c r="E1208" s="5" t="inlineStr"/>
      <c r="F1208" s="5" t="inlineStr"/>
      <c r="G1208" s="8">
        <f>IF($B1208="","",VLOOKUP($B1208,Jogos!$A$2:$K$105,9,FALSE))</f>
        <v/>
      </c>
      <c r="H1208" s="8">
        <f>IF($B1208="","",VLOOKUP($B1208,Jogos!$A$2:$K$105,11,FALSE))</f>
        <v/>
      </c>
      <c r="I1208" s="5">
        <f>IF(OR($A1208="", $B1208="", $E1208="", $F1208="", $G1208="", $H1208=""), "",IF(AND($E1208=$G1208, $F1208=$H1208), 3, IF(SIGN($E1208-$F1208)=SIGN($G1208-$H1208), 1, 0))))</f>
        <v/>
      </c>
    </row>
    <row r="1209">
      <c r="A1209" s="5" t="inlineStr"/>
      <c r="B1209" s="5" t="inlineStr"/>
      <c r="C1209" s="5">
        <f>IF($B1209="","",VLOOKUP($B1209,Jogos!$A$2:$K$105,8,FALSE))</f>
        <v/>
      </c>
      <c r="D1209" s="5">
        <f>IF($B1209="","",VLOOKUP($B1209,Jogos!$A$2:$K$105,10,FALSE))</f>
        <v/>
      </c>
      <c r="E1209" s="5" t="inlineStr"/>
      <c r="F1209" s="5" t="inlineStr"/>
      <c r="G1209" s="8">
        <f>IF($B1209="","",VLOOKUP($B1209,Jogos!$A$2:$K$105,9,FALSE))</f>
        <v/>
      </c>
      <c r="H1209" s="8">
        <f>IF($B1209="","",VLOOKUP($B1209,Jogos!$A$2:$K$105,11,FALSE))</f>
        <v/>
      </c>
      <c r="I1209" s="5">
        <f>IF(OR($A1209="", $B1209="", $E1209="", $F1209="", $G1209="", $H1209=""), "",IF(AND($E1209=$G1209, $F1209=$H1209), 3, IF(SIGN($E1209-$F1209)=SIGN($G1209-$H1209), 1, 0))))</f>
        <v/>
      </c>
    </row>
    <row r="1210">
      <c r="A1210" s="5" t="inlineStr"/>
      <c r="B1210" s="5" t="inlineStr"/>
      <c r="C1210" s="5">
        <f>IF($B1210="","",VLOOKUP($B1210,Jogos!$A$2:$K$105,8,FALSE))</f>
        <v/>
      </c>
      <c r="D1210" s="5">
        <f>IF($B1210="","",VLOOKUP($B1210,Jogos!$A$2:$K$105,10,FALSE))</f>
        <v/>
      </c>
      <c r="E1210" s="5" t="inlineStr"/>
      <c r="F1210" s="5" t="inlineStr"/>
      <c r="G1210" s="8">
        <f>IF($B1210="","",VLOOKUP($B1210,Jogos!$A$2:$K$105,9,FALSE))</f>
        <v/>
      </c>
      <c r="H1210" s="8">
        <f>IF($B1210="","",VLOOKUP($B1210,Jogos!$A$2:$K$105,11,FALSE))</f>
        <v/>
      </c>
      <c r="I1210" s="5">
        <f>IF(OR($A1210="", $B1210="", $E1210="", $F1210="", $G1210="", $H1210=""), "",IF(AND($E1210=$G1210, $F1210=$H1210), 3, IF(SIGN($E1210-$F1210)=SIGN($G1210-$H1210), 1, 0))))</f>
        <v/>
      </c>
    </row>
    <row r="1211">
      <c r="A1211" s="5" t="inlineStr"/>
      <c r="B1211" s="5" t="inlineStr"/>
      <c r="C1211" s="5">
        <f>IF($B1211="","",VLOOKUP($B1211,Jogos!$A$2:$K$105,8,FALSE))</f>
        <v/>
      </c>
      <c r="D1211" s="5">
        <f>IF($B1211="","",VLOOKUP($B1211,Jogos!$A$2:$K$105,10,FALSE))</f>
        <v/>
      </c>
      <c r="E1211" s="5" t="inlineStr"/>
      <c r="F1211" s="5" t="inlineStr"/>
      <c r="G1211" s="8">
        <f>IF($B1211="","",VLOOKUP($B1211,Jogos!$A$2:$K$105,9,FALSE))</f>
        <v/>
      </c>
      <c r="H1211" s="8">
        <f>IF($B1211="","",VLOOKUP($B1211,Jogos!$A$2:$K$105,11,FALSE))</f>
        <v/>
      </c>
      <c r="I1211" s="5">
        <f>IF(OR($A1211="", $B1211="", $E1211="", $F1211="", $G1211="", $H1211=""), "",IF(AND($E1211=$G1211, $F1211=$H1211), 3, IF(SIGN($E1211-$F1211)=SIGN($G1211-$H1211), 1, 0))))</f>
        <v/>
      </c>
    </row>
    <row r="1212">
      <c r="A1212" s="5" t="inlineStr"/>
      <c r="B1212" s="5" t="inlineStr"/>
      <c r="C1212" s="5">
        <f>IF($B1212="","",VLOOKUP($B1212,Jogos!$A$2:$K$105,8,FALSE))</f>
        <v/>
      </c>
      <c r="D1212" s="5">
        <f>IF($B1212="","",VLOOKUP($B1212,Jogos!$A$2:$K$105,10,FALSE))</f>
        <v/>
      </c>
      <c r="E1212" s="5" t="inlineStr"/>
      <c r="F1212" s="5" t="inlineStr"/>
      <c r="G1212" s="8">
        <f>IF($B1212="","",VLOOKUP($B1212,Jogos!$A$2:$K$105,9,FALSE))</f>
        <v/>
      </c>
      <c r="H1212" s="8">
        <f>IF($B1212="","",VLOOKUP($B1212,Jogos!$A$2:$K$105,11,FALSE))</f>
        <v/>
      </c>
      <c r="I1212" s="5">
        <f>IF(OR($A1212="", $B1212="", $E1212="", $F1212="", $G1212="", $H1212=""), "",IF(AND($E1212=$G1212, $F1212=$H1212), 3, IF(SIGN($E1212-$F1212)=SIGN($G1212-$H1212), 1, 0))))</f>
        <v/>
      </c>
    </row>
    <row r="1213">
      <c r="A1213" s="5" t="inlineStr"/>
      <c r="B1213" s="5" t="inlineStr"/>
      <c r="C1213" s="5">
        <f>IF($B1213="","",VLOOKUP($B1213,Jogos!$A$2:$K$105,8,FALSE))</f>
        <v/>
      </c>
      <c r="D1213" s="5">
        <f>IF($B1213="","",VLOOKUP($B1213,Jogos!$A$2:$K$105,10,FALSE))</f>
        <v/>
      </c>
      <c r="E1213" s="5" t="inlineStr"/>
      <c r="F1213" s="5" t="inlineStr"/>
      <c r="G1213" s="8">
        <f>IF($B1213="","",VLOOKUP($B1213,Jogos!$A$2:$K$105,9,FALSE))</f>
        <v/>
      </c>
      <c r="H1213" s="8">
        <f>IF($B1213="","",VLOOKUP($B1213,Jogos!$A$2:$K$105,11,FALSE))</f>
        <v/>
      </c>
      <c r="I1213" s="5">
        <f>IF(OR($A1213="", $B1213="", $E1213="", $F1213="", $G1213="", $H1213=""), "",IF(AND($E1213=$G1213, $F1213=$H1213), 3, IF(SIGN($E1213-$F1213)=SIGN($G1213-$H1213), 1, 0))))</f>
        <v/>
      </c>
    </row>
    <row r="1214">
      <c r="A1214" s="5" t="inlineStr"/>
      <c r="B1214" s="5" t="inlineStr"/>
      <c r="C1214" s="5">
        <f>IF($B1214="","",VLOOKUP($B1214,Jogos!$A$2:$K$105,8,FALSE))</f>
        <v/>
      </c>
      <c r="D1214" s="5">
        <f>IF($B1214="","",VLOOKUP($B1214,Jogos!$A$2:$K$105,10,FALSE))</f>
        <v/>
      </c>
      <c r="E1214" s="5" t="inlineStr"/>
      <c r="F1214" s="5" t="inlineStr"/>
      <c r="G1214" s="8">
        <f>IF($B1214="","",VLOOKUP($B1214,Jogos!$A$2:$K$105,9,FALSE))</f>
        <v/>
      </c>
      <c r="H1214" s="8">
        <f>IF($B1214="","",VLOOKUP($B1214,Jogos!$A$2:$K$105,11,FALSE))</f>
        <v/>
      </c>
      <c r="I1214" s="5">
        <f>IF(OR($A1214="", $B1214="", $E1214="", $F1214="", $G1214="", $H1214=""), "",IF(AND($E1214=$G1214, $F1214=$H1214), 3, IF(SIGN($E1214-$F1214)=SIGN($G1214-$H1214), 1, 0))))</f>
        <v/>
      </c>
    </row>
    <row r="1215">
      <c r="A1215" s="5" t="inlineStr"/>
      <c r="B1215" s="5" t="inlineStr"/>
      <c r="C1215" s="5">
        <f>IF($B1215="","",VLOOKUP($B1215,Jogos!$A$2:$K$105,8,FALSE))</f>
        <v/>
      </c>
      <c r="D1215" s="5">
        <f>IF($B1215="","",VLOOKUP($B1215,Jogos!$A$2:$K$105,10,FALSE))</f>
        <v/>
      </c>
      <c r="E1215" s="5" t="inlineStr"/>
      <c r="F1215" s="5" t="inlineStr"/>
      <c r="G1215" s="8">
        <f>IF($B1215="","",VLOOKUP($B1215,Jogos!$A$2:$K$105,9,FALSE))</f>
        <v/>
      </c>
      <c r="H1215" s="8">
        <f>IF($B1215="","",VLOOKUP($B1215,Jogos!$A$2:$K$105,11,FALSE))</f>
        <v/>
      </c>
      <c r="I1215" s="5">
        <f>IF(OR($A1215="", $B1215="", $E1215="", $F1215="", $G1215="", $H1215=""), "",IF(AND($E1215=$G1215, $F1215=$H1215), 3, IF(SIGN($E1215-$F1215)=SIGN($G1215-$H1215), 1, 0))))</f>
        <v/>
      </c>
    </row>
    <row r="1216">
      <c r="A1216" s="5" t="inlineStr"/>
      <c r="B1216" s="5" t="inlineStr"/>
      <c r="C1216" s="5">
        <f>IF($B1216="","",VLOOKUP($B1216,Jogos!$A$2:$K$105,8,FALSE))</f>
        <v/>
      </c>
      <c r="D1216" s="5">
        <f>IF($B1216="","",VLOOKUP($B1216,Jogos!$A$2:$K$105,10,FALSE))</f>
        <v/>
      </c>
      <c r="E1216" s="5" t="inlineStr"/>
      <c r="F1216" s="5" t="inlineStr"/>
      <c r="G1216" s="8">
        <f>IF($B1216="","",VLOOKUP($B1216,Jogos!$A$2:$K$105,9,FALSE))</f>
        <v/>
      </c>
      <c r="H1216" s="8">
        <f>IF($B1216="","",VLOOKUP($B1216,Jogos!$A$2:$K$105,11,FALSE))</f>
        <v/>
      </c>
      <c r="I1216" s="5">
        <f>IF(OR($A1216="", $B1216="", $E1216="", $F1216="", $G1216="", $H1216=""), "",IF(AND($E1216=$G1216, $F1216=$H1216), 3, IF(SIGN($E1216-$F1216)=SIGN($G1216-$H1216), 1, 0))))</f>
        <v/>
      </c>
    </row>
    <row r="1217">
      <c r="A1217" s="5" t="inlineStr"/>
      <c r="B1217" s="5" t="inlineStr"/>
      <c r="C1217" s="5">
        <f>IF($B1217="","",VLOOKUP($B1217,Jogos!$A$2:$K$105,8,FALSE))</f>
        <v/>
      </c>
      <c r="D1217" s="5">
        <f>IF($B1217="","",VLOOKUP($B1217,Jogos!$A$2:$K$105,10,FALSE))</f>
        <v/>
      </c>
      <c r="E1217" s="5" t="inlineStr"/>
      <c r="F1217" s="5" t="inlineStr"/>
      <c r="G1217" s="8">
        <f>IF($B1217="","",VLOOKUP($B1217,Jogos!$A$2:$K$105,9,FALSE))</f>
        <v/>
      </c>
      <c r="H1217" s="8">
        <f>IF($B1217="","",VLOOKUP($B1217,Jogos!$A$2:$K$105,11,FALSE))</f>
        <v/>
      </c>
      <c r="I1217" s="5">
        <f>IF(OR($A1217="", $B1217="", $E1217="", $F1217="", $G1217="", $H1217=""), "",IF(AND($E1217=$G1217, $F1217=$H1217), 3, IF(SIGN($E1217-$F1217)=SIGN($G1217-$H1217), 1, 0))))</f>
        <v/>
      </c>
    </row>
    <row r="1218">
      <c r="A1218" s="5" t="inlineStr"/>
      <c r="B1218" s="5" t="inlineStr"/>
      <c r="C1218" s="5">
        <f>IF($B1218="","",VLOOKUP($B1218,Jogos!$A$2:$K$105,8,FALSE))</f>
        <v/>
      </c>
      <c r="D1218" s="5">
        <f>IF($B1218="","",VLOOKUP($B1218,Jogos!$A$2:$K$105,10,FALSE))</f>
        <v/>
      </c>
      <c r="E1218" s="5" t="inlineStr"/>
      <c r="F1218" s="5" t="inlineStr"/>
      <c r="G1218" s="8">
        <f>IF($B1218="","",VLOOKUP($B1218,Jogos!$A$2:$K$105,9,FALSE))</f>
        <v/>
      </c>
      <c r="H1218" s="8">
        <f>IF($B1218="","",VLOOKUP($B1218,Jogos!$A$2:$K$105,11,FALSE))</f>
        <v/>
      </c>
      <c r="I1218" s="5">
        <f>IF(OR($A1218="", $B1218="", $E1218="", $F1218="", $G1218="", $H1218=""), "",IF(AND($E1218=$G1218, $F1218=$H1218), 3, IF(SIGN($E1218-$F1218)=SIGN($G1218-$H1218), 1, 0))))</f>
        <v/>
      </c>
    </row>
    <row r="1219">
      <c r="A1219" s="5" t="inlineStr"/>
      <c r="B1219" s="5" t="inlineStr"/>
      <c r="C1219" s="5">
        <f>IF($B1219="","",VLOOKUP($B1219,Jogos!$A$2:$K$105,8,FALSE))</f>
        <v/>
      </c>
      <c r="D1219" s="5">
        <f>IF($B1219="","",VLOOKUP($B1219,Jogos!$A$2:$K$105,10,FALSE))</f>
        <v/>
      </c>
      <c r="E1219" s="5" t="inlineStr"/>
      <c r="F1219" s="5" t="inlineStr"/>
      <c r="G1219" s="8">
        <f>IF($B1219="","",VLOOKUP($B1219,Jogos!$A$2:$K$105,9,FALSE))</f>
        <v/>
      </c>
      <c r="H1219" s="8">
        <f>IF($B1219="","",VLOOKUP($B1219,Jogos!$A$2:$K$105,11,FALSE))</f>
        <v/>
      </c>
      <c r="I1219" s="5">
        <f>IF(OR($A1219="", $B1219="", $E1219="", $F1219="", $G1219="", $H1219=""), "",IF(AND($E1219=$G1219, $F1219=$H1219), 3, IF(SIGN($E1219-$F1219)=SIGN($G1219-$H1219), 1, 0))))</f>
        <v/>
      </c>
    </row>
    <row r="1220">
      <c r="A1220" s="5" t="inlineStr"/>
      <c r="B1220" s="5" t="inlineStr"/>
      <c r="C1220" s="5">
        <f>IF($B1220="","",VLOOKUP($B1220,Jogos!$A$2:$K$105,8,FALSE))</f>
        <v/>
      </c>
      <c r="D1220" s="5">
        <f>IF($B1220="","",VLOOKUP($B1220,Jogos!$A$2:$K$105,10,FALSE))</f>
        <v/>
      </c>
      <c r="E1220" s="5" t="inlineStr"/>
      <c r="F1220" s="5" t="inlineStr"/>
      <c r="G1220" s="8">
        <f>IF($B1220="","",VLOOKUP($B1220,Jogos!$A$2:$K$105,9,FALSE))</f>
        <v/>
      </c>
      <c r="H1220" s="8">
        <f>IF($B1220="","",VLOOKUP($B1220,Jogos!$A$2:$K$105,11,FALSE))</f>
        <v/>
      </c>
      <c r="I1220" s="5">
        <f>IF(OR($A1220="", $B1220="", $E1220="", $F1220="", $G1220="", $H1220=""), "",IF(AND($E1220=$G1220, $F1220=$H1220), 3, IF(SIGN($E1220-$F1220)=SIGN($G1220-$H1220), 1, 0))))</f>
        <v/>
      </c>
    </row>
    <row r="1221">
      <c r="A1221" s="5" t="inlineStr"/>
      <c r="B1221" s="5" t="inlineStr"/>
      <c r="C1221" s="5">
        <f>IF($B1221="","",VLOOKUP($B1221,Jogos!$A$2:$K$105,8,FALSE))</f>
        <v/>
      </c>
      <c r="D1221" s="5">
        <f>IF($B1221="","",VLOOKUP($B1221,Jogos!$A$2:$K$105,10,FALSE))</f>
        <v/>
      </c>
      <c r="E1221" s="5" t="inlineStr"/>
      <c r="F1221" s="5" t="inlineStr"/>
      <c r="G1221" s="8">
        <f>IF($B1221="","",VLOOKUP($B1221,Jogos!$A$2:$K$105,9,FALSE))</f>
        <v/>
      </c>
      <c r="H1221" s="8">
        <f>IF($B1221="","",VLOOKUP($B1221,Jogos!$A$2:$K$105,11,FALSE))</f>
        <v/>
      </c>
      <c r="I1221" s="5">
        <f>IF(OR($A1221="", $B1221="", $E1221="", $F1221="", $G1221="", $H1221=""), "",IF(AND($E1221=$G1221, $F1221=$H1221), 3, IF(SIGN($E1221-$F1221)=SIGN($G1221-$H1221), 1, 0))))</f>
        <v/>
      </c>
    </row>
    <row r="1222">
      <c r="A1222" s="5" t="inlineStr"/>
      <c r="B1222" s="5" t="inlineStr"/>
      <c r="C1222" s="5">
        <f>IF($B1222="","",VLOOKUP($B1222,Jogos!$A$2:$K$105,8,FALSE))</f>
        <v/>
      </c>
      <c r="D1222" s="5">
        <f>IF($B1222="","",VLOOKUP($B1222,Jogos!$A$2:$K$105,10,FALSE))</f>
        <v/>
      </c>
      <c r="E1222" s="5" t="inlineStr"/>
      <c r="F1222" s="5" t="inlineStr"/>
      <c r="G1222" s="8">
        <f>IF($B1222="","",VLOOKUP($B1222,Jogos!$A$2:$K$105,9,FALSE))</f>
        <v/>
      </c>
      <c r="H1222" s="8">
        <f>IF($B1222="","",VLOOKUP($B1222,Jogos!$A$2:$K$105,11,FALSE))</f>
        <v/>
      </c>
      <c r="I1222" s="5">
        <f>IF(OR($A1222="", $B1222="", $E1222="", $F1222="", $G1222="", $H1222=""), "",IF(AND($E1222=$G1222, $F1222=$H1222), 3, IF(SIGN($E1222-$F1222)=SIGN($G1222-$H1222), 1, 0))))</f>
        <v/>
      </c>
    </row>
    <row r="1223">
      <c r="A1223" s="5" t="inlineStr"/>
      <c r="B1223" s="5" t="inlineStr"/>
      <c r="C1223" s="5">
        <f>IF($B1223="","",VLOOKUP($B1223,Jogos!$A$2:$K$105,8,FALSE))</f>
        <v/>
      </c>
      <c r="D1223" s="5">
        <f>IF($B1223="","",VLOOKUP($B1223,Jogos!$A$2:$K$105,10,FALSE))</f>
        <v/>
      </c>
      <c r="E1223" s="5" t="inlineStr"/>
      <c r="F1223" s="5" t="inlineStr"/>
      <c r="G1223" s="8">
        <f>IF($B1223="","",VLOOKUP($B1223,Jogos!$A$2:$K$105,9,FALSE))</f>
        <v/>
      </c>
      <c r="H1223" s="8">
        <f>IF($B1223="","",VLOOKUP($B1223,Jogos!$A$2:$K$105,11,FALSE))</f>
        <v/>
      </c>
      <c r="I1223" s="5">
        <f>IF(OR($A1223="", $B1223="", $E1223="", $F1223="", $G1223="", $H1223=""), "",IF(AND($E1223=$G1223, $F1223=$H1223), 3, IF(SIGN($E1223-$F1223)=SIGN($G1223-$H1223), 1, 0))))</f>
        <v/>
      </c>
    </row>
    <row r="1224">
      <c r="A1224" s="5" t="inlineStr"/>
      <c r="B1224" s="5" t="inlineStr"/>
      <c r="C1224" s="5">
        <f>IF($B1224="","",VLOOKUP($B1224,Jogos!$A$2:$K$105,8,FALSE))</f>
        <v/>
      </c>
      <c r="D1224" s="5">
        <f>IF($B1224="","",VLOOKUP($B1224,Jogos!$A$2:$K$105,10,FALSE))</f>
        <v/>
      </c>
      <c r="E1224" s="5" t="inlineStr"/>
      <c r="F1224" s="5" t="inlineStr"/>
      <c r="G1224" s="8">
        <f>IF($B1224="","",VLOOKUP($B1224,Jogos!$A$2:$K$105,9,FALSE))</f>
        <v/>
      </c>
      <c r="H1224" s="8">
        <f>IF($B1224="","",VLOOKUP($B1224,Jogos!$A$2:$K$105,11,FALSE))</f>
        <v/>
      </c>
      <c r="I1224" s="5">
        <f>IF(OR($A1224="", $B1224="", $E1224="", $F1224="", $G1224="", $H1224=""), "",IF(AND($E1224=$G1224, $F1224=$H1224), 3, IF(SIGN($E1224-$F1224)=SIGN($G1224-$H1224), 1, 0))))</f>
        <v/>
      </c>
    </row>
    <row r="1225">
      <c r="A1225" s="5" t="inlineStr"/>
      <c r="B1225" s="5" t="inlineStr"/>
      <c r="C1225" s="5">
        <f>IF($B1225="","",VLOOKUP($B1225,Jogos!$A$2:$K$105,8,FALSE))</f>
        <v/>
      </c>
      <c r="D1225" s="5">
        <f>IF($B1225="","",VLOOKUP($B1225,Jogos!$A$2:$K$105,10,FALSE))</f>
        <v/>
      </c>
      <c r="E1225" s="5" t="inlineStr"/>
      <c r="F1225" s="5" t="inlineStr"/>
      <c r="G1225" s="8">
        <f>IF($B1225="","",VLOOKUP($B1225,Jogos!$A$2:$K$105,9,FALSE))</f>
        <v/>
      </c>
      <c r="H1225" s="8">
        <f>IF($B1225="","",VLOOKUP($B1225,Jogos!$A$2:$K$105,11,FALSE))</f>
        <v/>
      </c>
      <c r="I1225" s="5">
        <f>IF(OR($A1225="", $B1225="", $E1225="", $F1225="", $G1225="", $H1225=""), "",IF(AND($E1225=$G1225, $F1225=$H1225), 3, IF(SIGN($E1225-$F1225)=SIGN($G1225-$H1225), 1, 0))))</f>
        <v/>
      </c>
    </row>
    <row r="1226">
      <c r="A1226" s="5" t="inlineStr"/>
      <c r="B1226" s="5" t="inlineStr"/>
      <c r="C1226" s="5">
        <f>IF($B1226="","",VLOOKUP($B1226,Jogos!$A$2:$K$105,8,FALSE))</f>
        <v/>
      </c>
      <c r="D1226" s="5">
        <f>IF($B1226="","",VLOOKUP($B1226,Jogos!$A$2:$K$105,10,FALSE))</f>
        <v/>
      </c>
      <c r="E1226" s="5" t="inlineStr"/>
      <c r="F1226" s="5" t="inlineStr"/>
      <c r="G1226" s="8">
        <f>IF($B1226="","",VLOOKUP($B1226,Jogos!$A$2:$K$105,9,FALSE))</f>
        <v/>
      </c>
      <c r="H1226" s="8">
        <f>IF($B1226="","",VLOOKUP($B1226,Jogos!$A$2:$K$105,11,FALSE))</f>
        <v/>
      </c>
      <c r="I1226" s="5">
        <f>IF(OR($A1226="", $B1226="", $E1226="", $F1226="", $G1226="", $H1226=""), "",IF(AND($E1226=$G1226, $F1226=$H1226), 3, IF(SIGN($E1226-$F1226)=SIGN($G1226-$H1226), 1, 0))))</f>
        <v/>
      </c>
    </row>
    <row r="1227">
      <c r="A1227" s="5" t="inlineStr"/>
      <c r="B1227" s="5" t="inlineStr"/>
      <c r="C1227" s="5">
        <f>IF($B1227="","",VLOOKUP($B1227,Jogos!$A$2:$K$105,8,FALSE))</f>
        <v/>
      </c>
      <c r="D1227" s="5">
        <f>IF($B1227="","",VLOOKUP($B1227,Jogos!$A$2:$K$105,10,FALSE))</f>
        <v/>
      </c>
      <c r="E1227" s="5" t="inlineStr"/>
      <c r="F1227" s="5" t="inlineStr"/>
      <c r="G1227" s="8">
        <f>IF($B1227="","",VLOOKUP($B1227,Jogos!$A$2:$K$105,9,FALSE))</f>
        <v/>
      </c>
      <c r="H1227" s="8">
        <f>IF($B1227="","",VLOOKUP($B1227,Jogos!$A$2:$K$105,11,FALSE))</f>
        <v/>
      </c>
      <c r="I1227" s="5">
        <f>IF(OR($A1227="", $B1227="", $E1227="", $F1227="", $G1227="", $H1227=""), "",IF(AND($E1227=$G1227, $F1227=$H1227), 3, IF(SIGN($E1227-$F1227)=SIGN($G1227-$H1227), 1, 0))))</f>
        <v/>
      </c>
    </row>
    <row r="1228">
      <c r="A1228" s="5" t="inlineStr"/>
      <c r="B1228" s="5" t="inlineStr"/>
      <c r="C1228" s="5">
        <f>IF($B1228="","",VLOOKUP($B1228,Jogos!$A$2:$K$105,8,FALSE))</f>
        <v/>
      </c>
      <c r="D1228" s="5">
        <f>IF($B1228="","",VLOOKUP($B1228,Jogos!$A$2:$K$105,10,FALSE))</f>
        <v/>
      </c>
      <c r="E1228" s="5" t="inlineStr"/>
      <c r="F1228" s="5" t="inlineStr"/>
      <c r="G1228" s="8">
        <f>IF($B1228="","",VLOOKUP($B1228,Jogos!$A$2:$K$105,9,FALSE))</f>
        <v/>
      </c>
      <c r="H1228" s="8">
        <f>IF($B1228="","",VLOOKUP($B1228,Jogos!$A$2:$K$105,11,FALSE))</f>
        <v/>
      </c>
      <c r="I1228" s="5">
        <f>IF(OR($A1228="", $B1228="", $E1228="", $F1228="", $G1228="", $H1228=""), "",IF(AND($E1228=$G1228, $F1228=$H1228), 3, IF(SIGN($E1228-$F1228)=SIGN($G1228-$H1228), 1, 0))))</f>
        <v/>
      </c>
    </row>
    <row r="1229">
      <c r="A1229" s="5" t="inlineStr"/>
      <c r="B1229" s="5" t="inlineStr"/>
      <c r="C1229" s="5">
        <f>IF($B1229="","",VLOOKUP($B1229,Jogos!$A$2:$K$105,8,FALSE))</f>
        <v/>
      </c>
      <c r="D1229" s="5">
        <f>IF($B1229="","",VLOOKUP($B1229,Jogos!$A$2:$K$105,10,FALSE))</f>
        <v/>
      </c>
      <c r="E1229" s="5" t="inlineStr"/>
      <c r="F1229" s="5" t="inlineStr"/>
      <c r="G1229" s="8">
        <f>IF($B1229="","",VLOOKUP($B1229,Jogos!$A$2:$K$105,9,FALSE))</f>
        <v/>
      </c>
      <c r="H1229" s="8">
        <f>IF($B1229="","",VLOOKUP($B1229,Jogos!$A$2:$K$105,11,FALSE))</f>
        <v/>
      </c>
      <c r="I1229" s="5">
        <f>IF(OR($A1229="", $B1229="", $E1229="", $F1229="", $G1229="", $H1229=""), "",IF(AND($E1229=$G1229, $F1229=$H1229), 3, IF(SIGN($E1229-$F1229)=SIGN($G1229-$H1229), 1, 0))))</f>
        <v/>
      </c>
    </row>
    <row r="1230">
      <c r="A1230" s="5" t="inlineStr"/>
      <c r="B1230" s="5" t="inlineStr"/>
      <c r="C1230" s="5">
        <f>IF($B1230="","",VLOOKUP($B1230,Jogos!$A$2:$K$105,8,FALSE))</f>
        <v/>
      </c>
      <c r="D1230" s="5">
        <f>IF($B1230="","",VLOOKUP($B1230,Jogos!$A$2:$K$105,10,FALSE))</f>
        <v/>
      </c>
      <c r="E1230" s="5" t="inlineStr"/>
      <c r="F1230" s="5" t="inlineStr"/>
      <c r="G1230" s="8">
        <f>IF($B1230="","",VLOOKUP($B1230,Jogos!$A$2:$K$105,9,FALSE))</f>
        <v/>
      </c>
      <c r="H1230" s="8">
        <f>IF($B1230="","",VLOOKUP($B1230,Jogos!$A$2:$K$105,11,FALSE))</f>
        <v/>
      </c>
      <c r="I1230" s="5">
        <f>IF(OR($A1230="", $B1230="", $E1230="", $F1230="", $G1230="", $H1230=""), "",IF(AND($E1230=$G1230, $F1230=$H1230), 3, IF(SIGN($E1230-$F1230)=SIGN($G1230-$H1230), 1, 0))))</f>
        <v/>
      </c>
    </row>
    <row r="1231">
      <c r="A1231" s="5" t="inlineStr"/>
      <c r="B1231" s="5" t="inlineStr"/>
      <c r="C1231" s="5">
        <f>IF($B1231="","",VLOOKUP($B1231,Jogos!$A$2:$K$105,8,FALSE))</f>
        <v/>
      </c>
      <c r="D1231" s="5">
        <f>IF($B1231="","",VLOOKUP($B1231,Jogos!$A$2:$K$105,10,FALSE))</f>
        <v/>
      </c>
      <c r="E1231" s="5" t="inlineStr"/>
      <c r="F1231" s="5" t="inlineStr"/>
      <c r="G1231" s="8">
        <f>IF($B1231="","",VLOOKUP($B1231,Jogos!$A$2:$K$105,9,FALSE))</f>
        <v/>
      </c>
      <c r="H1231" s="8">
        <f>IF($B1231="","",VLOOKUP($B1231,Jogos!$A$2:$K$105,11,FALSE))</f>
        <v/>
      </c>
      <c r="I1231" s="5">
        <f>IF(OR($A1231="", $B1231="", $E1231="", $F1231="", $G1231="", $H1231=""), "",IF(AND($E1231=$G1231, $F1231=$H1231), 3, IF(SIGN($E1231-$F1231)=SIGN($G1231-$H1231), 1, 0))))</f>
        <v/>
      </c>
    </row>
    <row r="1232">
      <c r="A1232" s="5" t="inlineStr"/>
      <c r="B1232" s="5" t="inlineStr"/>
      <c r="C1232" s="5">
        <f>IF($B1232="","",VLOOKUP($B1232,Jogos!$A$2:$K$105,8,FALSE))</f>
        <v/>
      </c>
      <c r="D1232" s="5">
        <f>IF($B1232="","",VLOOKUP($B1232,Jogos!$A$2:$K$105,10,FALSE))</f>
        <v/>
      </c>
      <c r="E1232" s="5" t="inlineStr"/>
      <c r="F1232" s="5" t="inlineStr"/>
      <c r="G1232" s="8">
        <f>IF($B1232="","",VLOOKUP($B1232,Jogos!$A$2:$K$105,9,FALSE))</f>
        <v/>
      </c>
      <c r="H1232" s="8">
        <f>IF($B1232="","",VLOOKUP($B1232,Jogos!$A$2:$K$105,11,FALSE))</f>
        <v/>
      </c>
      <c r="I1232" s="5">
        <f>IF(OR($A1232="", $B1232="", $E1232="", $F1232="", $G1232="", $H1232=""), "",IF(AND($E1232=$G1232, $F1232=$H1232), 3, IF(SIGN($E1232-$F1232)=SIGN($G1232-$H1232), 1, 0))))</f>
        <v/>
      </c>
    </row>
    <row r="1233">
      <c r="A1233" s="5" t="inlineStr"/>
      <c r="B1233" s="5" t="inlineStr"/>
      <c r="C1233" s="5">
        <f>IF($B1233="","",VLOOKUP($B1233,Jogos!$A$2:$K$105,8,FALSE))</f>
        <v/>
      </c>
      <c r="D1233" s="5">
        <f>IF($B1233="","",VLOOKUP($B1233,Jogos!$A$2:$K$105,10,FALSE))</f>
        <v/>
      </c>
      <c r="E1233" s="5" t="inlineStr"/>
      <c r="F1233" s="5" t="inlineStr"/>
      <c r="G1233" s="8">
        <f>IF($B1233="","",VLOOKUP($B1233,Jogos!$A$2:$K$105,9,FALSE))</f>
        <v/>
      </c>
      <c r="H1233" s="8">
        <f>IF($B1233="","",VLOOKUP($B1233,Jogos!$A$2:$K$105,11,FALSE))</f>
        <v/>
      </c>
      <c r="I1233" s="5">
        <f>IF(OR($A1233="", $B1233="", $E1233="", $F1233="", $G1233="", $H1233=""), "",IF(AND($E1233=$G1233, $F1233=$H1233), 3, IF(SIGN($E1233-$F1233)=SIGN($G1233-$H1233), 1, 0))))</f>
        <v/>
      </c>
    </row>
    <row r="1234">
      <c r="A1234" s="5" t="inlineStr"/>
      <c r="B1234" s="5" t="inlineStr"/>
      <c r="C1234" s="5">
        <f>IF($B1234="","",VLOOKUP($B1234,Jogos!$A$2:$K$105,8,FALSE))</f>
        <v/>
      </c>
      <c r="D1234" s="5">
        <f>IF($B1234="","",VLOOKUP($B1234,Jogos!$A$2:$K$105,10,FALSE))</f>
        <v/>
      </c>
      <c r="E1234" s="5" t="inlineStr"/>
      <c r="F1234" s="5" t="inlineStr"/>
      <c r="G1234" s="8">
        <f>IF($B1234="","",VLOOKUP($B1234,Jogos!$A$2:$K$105,9,FALSE))</f>
        <v/>
      </c>
      <c r="H1234" s="8">
        <f>IF($B1234="","",VLOOKUP($B1234,Jogos!$A$2:$K$105,11,FALSE))</f>
        <v/>
      </c>
      <c r="I1234" s="5">
        <f>IF(OR($A1234="", $B1234="", $E1234="", $F1234="", $G1234="", $H1234=""), "",IF(AND($E1234=$G1234, $F1234=$H1234), 3, IF(SIGN($E1234-$F1234)=SIGN($G1234-$H1234), 1, 0))))</f>
        <v/>
      </c>
    </row>
    <row r="1235">
      <c r="A1235" s="5" t="inlineStr"/>
      <c r="B1235" s="5" t="inlineStr"/>
      <c r="C1235" s="5">
        <f>IF($B1235="","",VLOOKUP($B1235,Jogos!$A$2:$K$105,8,FALSE))</f>
        <v/>
      </c>
      <c r="D1235" s="5">
        <f>IF($B1235="","",VLOOKUP($B1235,Jogos!$A$2:$K$105,10,FALSE))</f>
        <v/>
      </c>
      <c r="E1235" s="5" t="inlineStr"/>
      <c r="F1235" s="5" t="inlineStr"/>
      <c r="G1235" s="8">
        <f>IF($B1235="","",VLOOKUP($B1235,Jogos!$A$2:$K$105,9,FALSE))</f>
        <v/>
      </c>
      <c r="H1235" s="8">
        <f>IF($B1235="","",VLOOKUP($B1235,Jogos!$A$2:$K$105,11,FALSE))</f>
        <v/>
      </c>
      <c r="I1235" s="5">
        <f>IF(OR($A1235="", $B1235="", $E1235="", $F1235="", $G1235="", $H1235=""), "",IF(AND($E1235=$G1235, $F1235=$H1235), 3, IF(SIGN($E1235-$F1235)=SIGN($G1235-$H1235), 1, 0))))</f>
        <v/>
      </c>
    </row>
    <row r="1236">
      <c r="A1236" s="5" t="inlineStr"/>
      <c r="B1236" s="5" t="inlineStr"/>
      <c r="C1236" s="5">
        <f>IF($B1236="","",VLOOKUP($B1236,Jogos!$A$2:$K$105,8,FALSE))</f>
        <v/>
      </c>
      <c r="D1236" s="5">
        <f>IF($B1236="","",VLOOKUP($B1236,Jogos!$A$2:$K$105,10,FALSE))</f>
        <v/>
      </c>
      <c r="E1236" s="5" t="inlineStr"/>
      <c r="F1236" s="5" t="inlineStr"/>
      <c r="G1236" s="8">
        <f>IF($B1236="","",VLOOKUP($B1236,Jogos!$A$2:$K$105,9,FALSE))</f>
        <v/>
      </c>
      <c r="H1236" s="8">
        <f>IF($B1236="","",VLOOKUP($B1236,Jogos!$A$2:$K$105,11,FALSE))</f>
        <v/>
      </c>
      <c r="I1236" s="5">
        <f>IF(OR($A1236="", $B1236="", $E1236="", $F1236="", $G1236="", $H1236=""), "",IF(AND($E1236=$G1236, $F1236=$H1236), 3, IF(SIGN($E1236-$F1236)=SIGN($G1236-$H1236), 1, 0))))</f>
        <v/>
      </c>
    </row>
    <row r="1237">
      <c r="A1237" s="5" t="inlineStr"/>
      <c r="B1237" s="5" t="inlineStr"/>
      <c r="C1237" s="5">
        <f>IF($B1237="","",VLOOKUP($B1237,Jogos!$A$2:$K$105,8,FALSE))</f>
        <v/>
      </c>
      <c r="D1237" s="5">
        <f>IF($B1237="","",VLOOKUP($B1237,Jogos!$A$2:$K$105,10,FALSE))</f>
        <v/>
      </c>
      <c r="E1237" s="5" t="inlineStr"/>
      <c r="F1237" s="5" t="inlineStr"/>
      <c r="G1237" s="8">
        <f>IF($B1237="","",VLOOKUP($B1237,Jogos!$A$2:$K$105,9,FALSE))</f>
        <v/>
      </c>
      <c r="H1237" s="8">
        <f>IF($B1237="","",VLOOKUP($B1237,Jogos!$A$2:$K$105,11,FALSE))</f>
        <v/>
      </c>
      <c r="I1237" s="5">
        <f>IF(OR($A1237="", $B1237="", $E1237="", $F1237="", $G1237="", $H1237=""), "",IF(AND($E1237=$G1237, $F1237=$H1237), 3, IF(SIGN($E1237-$F1237)=SIGN($G1237-$H1237), 1, 0))))</f>
        <v/>
      </c>
    </row>
    <row r="1238">
      <c r="A1238" s="5" t="inlineStr"/>
      <c r="B1238" s="5" t="inlineStr"/>
      <c r="C1238" s="5">
        <f>IF($B1238="","",VLOOKUP($B1238,Jogos!$A$2:$K$105,8,FALSE))</f>
        <v/>
      </c>
      <c r="D1238" s="5">
        <f>IF($B1238="","",VLOOKUP($B1238,Jogos!$A$2:$K$105,10,FALSE))</f>
        <v/>
      </c>
      <c r="E1238" s="5" t="inlineStr"/>
      <c r="F1238" s="5" t="inlineStr"/>
      <c r="G1238" s="8">
        <f>IF($B1238="","",VLOOKUP($B1238,Jogos!$A$2:$K$105,9,FALSE))</f>
        <v/>
      </c>
      <c r="H1238" s="8">
        <f>IF($B1238="","",VLOOKUP($B1238,Jogos!$A$2:$K$105,11,FALSE))</f>
        <v/>
      </c>
      <c r="I1238" s="5">
        <f>IF(OR($A1238="", $B1238="", $E1238="", $F1238="", $G1238="", $H1238=""), "",IF(AND($E1238=$G1238, $F1238=$H1238), 3, IF(SIGN($E1238-$F1238)=SIGN($G1238-$H1238), 1, 0))))</f>
        <v/>
      </c>
    </row>
    <row r="1239">
      <c r="A1239" s="5" t="inlineStr"/>
      <c r="B1239" s="5" t="inlineStr"/>
      <c r="C1239" s="5">
        <f>IF($B1239="","",VLOOKUP($B1239,Jogos!$A$2:$K$105,8,FALSE))</f>
        <v/>
      </c>
      <c r="D1239" s="5">
        <f>IF($B1239="","",VLOOKUP($B1239,Jogos!$A$2:$K$105,10,FALSE))</f>
        <v/>
      </c>
      <c r="E1239" s="5" t="inlineStr"/>
      <c r="F1239" s="5" t="inlineStr"/>
      <c r="G1239" s="8">
        <f>IF($B1239="","",VLOOKUP($B1239,Jogos!$A$2:$K$105,9,FALSE))</f>
        <v/>
      </c>
      <c r="H1239" s="8">
        <f>IF($B1239="","",VLOOKUP($B1239,Jogos!$A$2:$K$105,11,FALSE))</f>
        <v/>
      </c>
      <c r="I1239" s="5">
        <f>IF(OR($A1239="", $B1239="", $E1239="", $F1239="", $G1239="", $H1239=""), "",IF(AND($E1239=$G1239, $F1239=$H1239), 3, IF(SIGN($E1239-$F1239)=SIGN($G1239-$H1239), 1, 0))))</f>
        <v/>
      </c>
    </row>
    <row r="1240">
      <c r="A1240" s="5" t="inlineStr"/>
      <c r="B1240" s="5" t="inlineStr"/>
      <c r="C1240" s="5">
        <f>IF($B1240="","",VLOOKUP($B1240,Jogos!$A$2:$K$105,8,FALSE))</f>
        <v/>
      </c>
      <c r="D1240" s="5">
        <f>IF($B1240="","",VLOOKUP($B1240,Jogos!$A$2:$K$105,10,FALSE))</f>
        <v/>
      </c>
      <c r="E1240" s="5" t="inlineStr"/>
      <c r="F1240" s="5" t="inlineStr"/>
      <c r="G1240" s="8">
        <f>IF($B1240="","",VLOOKUP($B1240,Jogos!$A$2:$K$105,9,FALSE))</f>
        <v/>
      </c>
      <c r="H1240" s="8">
        <f>IF($B1240="","",VLOOKUP($B1240,Jogos!$A$2:$K$105,11,FALSE))</f>
        <v/>
      </c>
      <c r="I1240" s="5">
        <f>IF(OR($A1240="", $B1240="", $E1240="", $F1240="", $G1240="", $H1240=""), "",IF(AND($E1240=$G1240, $F1240=$H1240), 3, IF(SIGN($E1240-$F1240)=SIGN($G1240-$H1240), 1, 0))))</f>
        <v/>
      </c>
    </row>
    <row r="1241">
      <c r="A1241" s="5" t="inlineStr"/>
      <c r="B1241" s="5" t="inlineStr"/>
      <c r="C1241" s="5">
        <f>IF($B1241="","",VLOOKUP($B1241,Jogos!$A$2:$K$105,8,FALSE))</f>
        <v/>
      </c>
      <c r="D1241" s="5">
        <f>IF($B1241="","",VLOOKUP($B1241,Jogos!$A$2:$K$105,10,FALSE))</f>
        <v/>
      </c>
      <c r="E1241" s="5" t="inlineStr"/>
      <c r="F1241" s="5" t="inlineStr"/>
      <c r="G1241" s="8">
        <f>IF($B1241="","",VLOOKUP($B1241,Jogos!$A$2:$K$105,9,FALSE))</f>
        <v/>
      </c>
      <c r="H1241" s="8">
        <f>IF($B1241="","",VLOOKUP($B1241,Jogos!$A$2:$K$105,11,FALSE))</f>
        <v/>
      </c>
      <c r="I1241" s="5">
        <f>IF(OR($A1241="", $B1241="", $E1241="", $F1241="", $G1241="", $H1241=""), "",IF(AND($E1241=$G1241, $F1241=$H1241), 3, IF(SIGN($E1241-$F1241)=SIGN($G1241-$H1241), 1, 0))))</f>
        <v/>
      </c>
    </row>
    <row r="1242">
      <c r="A1242" s="5" t="inlineStr"/>
      <c r="B1242" s="5" t="inlineStr"/>
      <c r="C1242" s="5">
        <f>IF($B1242="","",VLOOKUP($B1242,Jogos!$A$2:$K$105,8,FALSE))</f>
        <v/>
      </c>
      <c r="D1242" s="5">
        <f>IF($B1242="","",VLOOKUP($B1242,Jogos!$A$2:$K$105,10,FALSE))</f>
        <v/>
      </c>
      <c r="E1242" s="5" t="inlineStr"/>
      <c r="F1242" s="5" t="inlineStr"/>
      <c r="G1242" s="8">
        <f>IF($B1242="","",VLOOKUP($B1242,Jogos!$A$2:$K$105,9,FALSE))</f>
        <v/>
      </c>
      <c r="H1242" s="8">
        <f>IF($B1242="","",VLOOKUP($B1242,Jogos!$A$2:$K$105,11,FALSE))</f>
        <v/>
      </c>
      <c r="I1242" s="5">
        <f>IF(OR($A1242="", $B1242="", $E1242="", $F1242="", $G1242="", $H1242=""), "",IF(AND($E1242=$G1242, $F1242=$H1242), 3, IF(SIGN($E1242-$F1242)=SIGN($G1242-$H1242), 1, 0))))</f>
        <v/>
      </c>
    </row>
    <row r="1243">
      <c r="A1243" s="5" t="inlineStr"/>
      <c r="B1243" s="5" t="inlineStr"/>
      <c r="C1243" s="5">
        <f>IF($B1243="","",VLOOKUP($B1243,Jogos!$A$2:$K$105,8,FALSE))</f>
        <v/>
      </c>
      <c r="D1243" s="5">
        <f>IF($B1243="","",VLOOKUP($B1243,Jogos!$A$2:$K$105,10,FALSE))</f>
        <v/>
      </c>
      <c r="E1243" s="5" t="inlineStr"/>
      <c r="F1243" s="5" t="inlineStr"/>
      <c r="G1243" s="8">
        <f>IF($B1243="","",VLOOKUP($B1243,Jogos!$A$2:$K$105,9,FALSE))</f>
        <v/>
      </c>
      <c r="H1243" s="8">
        <f>IF($B1243="","",VLOOKUP($B1243,Jogos!$A$2:$K$105,11,FALSE))</f>
        <v/>
      </c>
      <c r="I1243" s="5">
        <f>IF(OR($A1243="", $B1243="", $E1243="", $F1243="", $G1243="", $H1243=""), "",IF(AND($E1243=$G1243, $F1243=$H1243), 3, IF(SIGN($E1243-$F1243)=SIGN($G1243-$H1243), 1, 0))))</f>
        <v/>
      </c>
    </row>
    <row r="1244">
      <c r="A1244" s="5" t="inlineStr"/>
      <c r="B1244" s="5" t="inlineStr"/>
      <c r="C1244" s="5">
        <f>IF($B1244="","",VLOOKUP($B1244,Jogos!$A$2:$K$105,8,FALSE))</f>
        <v/>
      </c>
      <c r="D1244" s="5">
        <f>IF($B1244="","",VLOOKUP($B1244,Jogos!$A$2:$K$105,10,FALSE))</f>
        <v/>
      </c>
      <c r="E1244" s="5" t="inlineStr"/>
      <c r="F1244" s="5" t="inlineStr"/>
      <c r="G1244" s="8">
        <f>IF($B1244="","",VLOOKUP($B1244,Jogos!$A$2:$K$105,9,FALSE))</f>
        <v/>
      </c>
      <c r="H1244" s="8">
        <f>IF($B1244="","",VLOOKUP($B1244,Jogos!$A$2:$K$105,11,FALSE))</f>
        <v/>
      </c>
      <c r="I1244" s="5">
        <f>IF(OR($A1244="", $B1244="", $E1244="", $F1244="", $G1244="", $H1244=""), "",IF(AND($E1244=$G1244, $F1244=$H1244), 3, IF(SIGN($E1244-$F1244)=SIGN($G1244-$H1244), 1, 0))))</f>
        <v/>
      </c>
    </row>
    <row r="1245">
      <c r="A1245" s="5" t="inlineStr"/>
      <c r="B1245" s="5" t="inlineStr"/>
      <c r="C1245" s="5">
        <f>IF($B1245="","",VLOOKUP($B1245,Jogos!$A$2:$K$105,8,FALSE))</f>
        <v/>
      </c>
      <c r="D1245" s="5">
        <f>IF($B1245="","",VLOOKUP($B1245,Jogos!$A$2:$K$105,10,FALSE))</f>
        <v/>
      </c>
      <c r="E1245" s="5" t="inlineStr"/>
      <c r="F1245" s="5" t="inlineStr"/>
      <c r="G1245" s="8">
        <f>IF($B1245="","",VLOOKUP($B1245,Jogos!$A$2:$K$105,9,FALSE))</f>
        <v/>
      </c>
      <c r="H1245" s="8">
        <f>IF($B1245="","",VLOOKUP($B1245,Jogos!$A$2:$K$105,11,FALSE))</f>
        <v/>
      </c>
      <c r="I1245" s="5">
        <f>IF(OR($A1245="", $B1245="", $E1245="", $F1245="", $G1245="", $H1245=""), "",IF(AND($E1245=$G1245, $F1245=$H1245), 3, IF(SIGN($E1245-$F1245)=SIGN($G1245-$H1245), 1, 0))))</f>
        <v/>
      </c>
    </row>
    <row r="1246">
      <c r="A1246" s="5" t="inlineStr"/>
      <c r="B1246" s="5" t="inlineStr"/>
      <c r="C1246" s="5">
        <f>IF($B1246="","",VLOOKUP($B1246,Jogos!$A$2:$K$105,8,FALSE))</f>
        <v/>
      </c>
      <c r="D1246" s="5">
        <f>IF($B1246="","",VLOOKUP($B1246,Jogos!$A$2:$K$105,10,FALSE))</f>
        <v/>
      </c>
      <c r="E1246" s="5" t="inlineStr"/>
      <c r="F1246" s="5" t="inlineStr"/>
      <c r="G1246" s="8">
        <f>IF($B1246="","",VLOOKUP($B1246,Jogos!$A$2:$K$105,9,FALSE))</f>
        <v/>
      </c>
      <c r="H1246" s="8">
        <f>IF($B1246="","",VLOOKUP($B1246,Jogos!$A$2:$K$105,11,FALSE))</f>
        <v/>
      </c>
      <c r="I1246" s="5">
        <f>IF(OR($A1246="", $B1246="", $E1246="", $F1246="", $G1246="", $H1246=""), "",IF(AND($E1246=$G1246, $F1246=$H1246), 3, IF(SIGN($E1246-$F1246)=SIGN($G1246-$H1246), 1, 0))))</f>
        <v/>
      </c>
    </row>
    <row r="1247">
      <c r="A1247" s="5" t="inlineStr"/>
      <c r="B1247" s="5" t="inlineStr"/>
      <c r="C1247" s="5">
        <f>IF($B1247="","",VLOOKUP($B1247,Jogos!$A$2:$K$105,8,FALSE))</f>
        <v/>
      </c>
      <c r="D1247" s="5">
        <f>IF($B1247="","",VLOOKUP($B1247,Jogos!$A$2:$K$105,10,FALSE))</f>
        <v/>
      </c>
      <c r="E1247" s="5" t="inlineStr"/>
      <c r="F1247" s="5" t="inlineStr"/>
      <c r="G1247" s="8">
        <f>IF($B1247="","",VLOOKUP($B1247,Jogos!$A$2:$K$105,9,FALSE))</f>
        <v/>
      </c>
      <c r="H1247" s="8">
        <f>IF($B1247="","",VLOOKUP($B1247,Jogos!$A$2:$K$105,11,FALSE))</f>
        <v/>
      </c>
      <c r="I1247" s="5">
        <f>IF(OR($A1247="", $B1247="", $E1247="", $F1247="", $G1247="", $H1247=""), "",IF(AND($E1247=$G1247, $F1247=$H1247), 3, IF(SIGN($E1247-$F1247)=SIGN($G1247-$H1247), 1, 0))))</f>
        <v/>
      </c>
    </row>
    <row r="1248">
      <c r="A1248" s="5" t="inlineStr"/>
      <c r="B1248" s="5" t="inlineStr"/>
      <c r="C1248" s="5">
        <f>IF($B1248="","",VLOOKUP($B1248,Jogos!$A$2:$K$105,8,FALSE))</f>
        <v/>
      </c>
      <c r="D1248" s="5">
        <f>IF($B1248="","",VLOOKUP($B1248,Jogos!$A$2:$K$105,10,FALSE))</f>
        <v/>
      </c>
      <c r="E1248" s="5" t="inlineStr"/>
      <c r="F1248" s="5" t="inlineStr"/>
      <c r="G1248" s="8">
        <f>IF($B1248="","",VLOOKUP($B1248,Jogos!$A$2:$K$105,9,FALSE))</f>
        <v/>
      </c>
      <c r="H1248" s="8">
        <f>IF($B1248="","",VLOOKUP($B1248,Jogos!$A$2:$K$105,11,FALSE))</f>
        <v/>
      </c>
      <c r="I1248" s="5">
        <f>IF(OR($A1248="", $B1248="", $E1248="", $F1248="", $G1248="", $H1248=""), "",IF(AND($E1248=$G1248, $F1248=$H1248), 3, IF(SIGN($E1248-$F1248)=SIGN($G1248-$H1248), 1, 0))))</f>
        <v/>
      </c>
    </row>
    <row r="1249">
      <c r="A1249" s="5" t="inlineStr"/>
      <c r="B1249" s="5" t="inlineStr"/>
      <c r="C1249" s="5">
        <f>IF($B1249="","",VLOOKUP($B1249,Jogos!$A$2:$K$105,8,FALSE))</f>
        <v/>
      </c>
      <c r="D1249" s="5">
        <f>IF($B1249="","",VLOOKUP($B1249,Jogos!$A$2:$K$105,10,FALSE))</f>
        <v/>
      </c>
      <c r="E1249" s="5" t="inlineStr"/>
      <c r="F1249" s="5" t="inlineStr"/>
      <c r="G1249" s="8">
        <f>IF($B1249="","",VLOOKUP($B1249,Jogos!$A$2:$K$105,9,FALSE))</f>
        <v/>
      </c>
      <c r="H1249" s="8">
        <f>IF($B1249="","",VLOOKUP($B1249,Jogos!$A$2:$K$105,11,FALSE))</f>
        <v/>
      </c>
      <c r="I1249" s="5">
        <f>IF(OR($A1249="", $B1249="", $E1249="", $F1249="", $G1249="", $H1249=""), "",IF(AND($E1249=$G1249, $F1249=$H1249), 3, IF(SIGN($E1249-$F1249)=SIGN($G1249-$H1249), 1, 0))))</f>
        <v/>
      </c>
    </row>
    <row r="1250">
      <c r="A1250" s="5" t="inlineStr"/>
      <c r="B1250" s="5" t="inlineStr"/>
      <c r="C1250" s="5">
        <f>IF($B1250="","",VLOOKUP($B1250,Jogos!$A$2:$K$105,8,FALSE))</f>
        <v/>
      </c>
      <c r="D1250" s="5">
        <f>IF($B1250="","",VLOOKUP($B1250,Jogos!$A$2:$K$105,10,FALSE))</f>
        <v/>
      </c>
      <c r="E1250" s="5" t="inlineStr"/>
      <c r="F1250" s="5" t="inlineStr"/>
      <c r="G1250" s="8">
        <f>IF($B1250="","",VLOOKUP($B1250,Jogos!$A$2:$K$105,9,FALSE))</f>
        <v/>
      </c>
      <c r="H1250" s="8">
        <f>IF($B1250="","",VLOOKUP($B1250,Jogos!$A$2:$K$105,11,FALSE))</f>
        <v/>
      </c>
      <c r="I1250" s="5">
        <f>IF(OR($A1250="", $B1250="", $E1250="", $F1250="", $G1250="", $H1250=""), "",IF(AND($E1250=$G1250, $F1250=$H1250), 3, IF(SIGN($E1250-$F1250)=SIGN($G1250-$H1250), 1, 0))))</f>
        <v/>
      </c>
    </row>
    <row r="1251">
      <c r="A1251" s="5" t="inlineStr"/>
      <c r="B1251" s="5" t="inlineStr"/>
      <c r="C1251" s="5">
        <f>IF($B1251="","",VLOOKUP($B1251,Jogos!$A$2:$K$105,8,FALSE))</f>
        <v/>
      </c>
      <c r="D1251" s="5">
        <f>IF($B1251="","",VLOOKUP($B1251,Jogos!$A$2:$K$105,10,FALSE))</f>
        <v/>
      </c>
      <c r="E1251" s="5" t="inlineStr"/>
      <c r="F1251" s="5" t="inlineStr"/>
      <c r="G1251" s="8">
        <f>IF($B1251="","",VLOOKUP($B1251,Jogos!$A$2:$K$105,9,FALSE))</f>
        <v/>
      </c>
      <c r="H1251" s="8">
        <f>IF($B1251="","",VLOOKUP($B1251,Jogos!$A$2:$K$105,11,FALSE))</f>
        <v/>
      </c>
      <c r="I1251" s="5">
        <f>IF(OR($A1251="", $B1251="", $E1251="", $F1251="", $G1251="", $H1251=""), "",IF(AND($E1251=$G1251, $F1251=$H1251), 3, IF(SIGN($E1251-$F1251)=SIGN($G1251-$H1251), 1, 0))))</f>
        <v/>
      </c>
    </row>
    <row r="1252">
      <c r="A1252" s="5" t="inlineStr"/>
      <c r="B1252" s="5" t="inlineStr"/>
      <c r="C1252" s="5">
        <f>IF($B1252="","",VLOOKUP($B1252,Jogos!$A$2:$K$105,8,FALSE))</f>
        <v/>
      </c>
      <c r="D1252" s="5">
        <f>IF($B1252="","",VLOOKUP($B1252,Jogos!$A$2:$K$105,10,FALSE))</f>
        <v/>
      </c>
      <c r="E1252" s="5" t="inlineStr"/>
      <c r="F1252" s="5" t="inlineStr"/>
      <c r="G1252" s="8">
        <f>IF($B1252="","",VLOOKUP($B1252,Jogos!$A$2:$K$105,9,FALSE))</f>
        <v/>
      </c>
      <c r="H1252" s="8">
        <f>IF($B1252="","",VLOOKUP($B1252,Jogos!$A$2:$K$105,11,FALSE))</f>
        <v/>
      </c>
      <c r="I1252" s="5">
        <f>IF(OR($A1252="", $B1252="", $E1252="", $F1252="", $G1252="", $H1252=""), "",IF(AND($E1252=$G1252, $F1252=$H1252), 3, IF(SIGN($E1252-$F1252)=SIGN($G1252-$H1252), 1, 0))))</f>
        <v/>
      </c>
    </row>
    <row r="1253">
      <c r="A1253" s="5" t="inlineStr"/>
      <c r="B1253" s="5" t="inlineStr"/>
      <c r="C1253" s="5">
        <f>IF($B1253="","",VLOOKUP($B1253,Jogos!$A$2:$K$105,8,FALSE))</f>
        <v/>
      </c>
      <c r="D1253" s="5">
        <f>IF($B1253="","",VLOOKUP($B1253,Jogos!$A$2:$K$105,10,FALSE))</f>
        <v/>
      </c>
      <c r="E1253" s="5" t="inlineStr"/>
      <c r="F1253" s="5" t="inlineStr"/>
      <c r="G1253" s="8">
        <f>IF($B1253="","",VLOOKUP($B1253,Jogos!$A$2:$K$105,9,FALSE))</f>
        <v/>
      </c>
      <c r="H1253" s="8">
        <f>IF($B1253="","",VLOOKUP($B1253,Jogos!$A$2:$K$105,11,FALSE))</f>
        <v/>
      </c>
      <c r="I1253" s="5">
        <f>IF(OR($A1253="", $B1253="", $E1253="", $F1253="", $G1253="", $H1253=""), "",IF(AND($E1253=$G1253, $F1253=$H1253), 3, IF(SIGN($E1253-$F1253)=SIGN($G1253-$H1253), 1, 0))))</f>
        <v/>
      </c>
    </row>
    <row r="1254">
      <c r="A1254" s="5" t="inlineStr"/>
      <c r="B1254" s="5" t="inlineStr"/>
      <c r="C1254" s="5">
        <f>IF($B1254="","",VLOOKUP($B1254,Jogos!$A$2:$K$105,8,FALSE))</f>
        <v/>
      </c>
      <c r="D1254" s="5">
        <f>IF($B1254="","",VLOOKUP($B1254,Jogos!$A$2:$K$105,10,FALSE))</f>
        <v/>
      </c>
      <c r="E1254" s="5" t="inlineStr"/>
      <c r="F1254" s="5" t="inlineStr"/>
      <c r="G1254" s="8">
        <f>IF($B1254="","",VLOOKUP($B1254,Jogos!$A$2:$K$105,9,FALSE))</f>
        <v/>
      </c>
      <c r="H1254" s="8">
        <f>IF($B1254="","",VLOOKUP($B1254,Jogos!$A$2:$K$105,11,FALSE))</f>
        <v/>
      </c>
      <c r="I1254" s="5">
        <f>IF(OR($A1254="", $B1254="", $E1254="", $F1254="", $G1254="", $H1254=""), "",IF(AND($E1254=$G1254, $F1254=$H1254), 3, IF(SIGN($E1254-$F1254)=SIGN($G1254-$H1254), 1, 0))))</f>
        <v/>
      </c>
    </row>
    <row r="1255">
      <c r="A1255" s="5" t="inlineStr"/>
      <c r="B1255" s="5" t="inlineStr"/>
      <c r="C1255" s="5">
        <f>IF($B1255="","",VLOOKUP($B1255,Jogos!$A$2:$K$105,8,FALSE))</f>
        <v/>
      </c>
      <c r="D1255" s="5">
        <f>IF($B1255="","",VLOOKUP($B1255,Jogos!$A$2:$K$105,10,FALSE))</f>
        <v/>
      </c>
      <c r="E1255" s="5" t="inlineStr"/>
      <c r="F1255" s="5" t="inlineStr"/>
      <c r="G1255" s="8">
        <f>IF($B1255="","",VLOOKUP($B1255,Jogos!$A$2:$K$105,9,FALSE))</f>
        <v/>
      </c>
      <c r="H1255" s="8">
        <f>IF($B1255="","",VLOOKUP($B1255,Jogos!$A$2:$K$105,11,FALSE))</f>
        <v/>
      </c>
      <c r="I1255" s="5">
        <f>IF(OR($A1255="", $B1255="", $E1255="", $F1255="", $G1255="", $H1255=""), "",IF(AND($E1255=$G1255, $F1255=$H1255), 3, IF(SIGN($E1255-$F1255)=SIGN($G1255-$H1255), 1, 0))))</f>
        <v/>
      </c>
    </row>
    <row r="1256">
      <c r="A1256" s="5" t="inlineStr"/>
      <c r="B1256" s="5" t="inlineStr"/>
      <c r="C1256" s="5">
        <f>IF($B1256="","",VLOOKUP($B1256,Jogos!$A$2:$K$105,8,FALSE))</f>
        <v/>
      </c>
      <c r="D1256" s="5">
        <f>IF($B1256="","",VLOOKUP($B1256,Jogos!$A$2:$K$105,10,FALSE))</f>
        <v/>
      </c>
      <c r="E1256" s="5" t="inlineStr"/>
      <c r="F1256" s="5" t="inlineStr"/>
      <c r="G1256" s="8">
        <f>IF($B1256="","",VLOOKUP($B1256,Jogos!$A$2:$K$105,9,FALSE))</f>
        <v/>
      </c>
      <c r="H1256" s="8">
        <f>IF($B1256="","",VLOOKUP($B1256,Jogos!$A$2:$K$105,11,FALSE))</f>
        <v/>
      </c>
      <c r="I1256" s="5">
        <f>IF(OR($A1256="", $B1256="", $E1256="", $F1256="", $G1256="", $H1256=""), "",IF(AND($E1256=$G1256, $F1256=$H1256), 3, IF(SIGN($E1256-$F1256)=SIGN($G1256-$H1256), 1, 0))))</f>
        <v/>
      </c>
    </row>
    <row r="1257">
      <c r="A1257" s="5" t="inlineStr"/>
      <c r="B1257" s="5" t="inlineStr"/>
      <c r="C1257" s="5">
        <f>IF($B1257="","",VLOOKUP($B1257,Jogos!$A$2:$K$105,8,FALSE))</f>
        <v/>
      </c>
      <c r="D1257" s="5">
        <f>IF($B1257="","",VLOOKUP($B1257,Jogos!$A$2:$K$105,10,FALSE))</f>
        <v/>
      </c>
      <c r="E1257" s="5" t="inlineStr"/>
      <c r="F1257" s="5" t="inlineStr"/>
      <c r="G1257" s="8">
        <f>IF($B1257="","",VLOOKUP($B1257,Jogos!$A$2:$K$105,9,FALSE))</f>
        <v/>
      </c>
      <c r="H1257" s="8">
        <f>IF($B1257="","",VLOOKUP($B1257,Jogos!$A$2:$K$105,11,FALSE))</f>
        <v/>
      </c>
      <c r="I1257" s="5">
        <f>IF(OR($A1257="", $B1257="", $E1257="", $F1257="", $G1257="", $H1257=""), "",IF(AND($E1257=$G1257, $F1257=$H1257), 3, IF(SIGN($E1257-$F1257)=SIGN($G1257-$H1257), 1, 0))))</f>
        <v/>
      </c>
    </row>
    <row r="1258">
      <c r="A1258" s="5" t="inlineStr"/>
      <c r="B1258" s="5" t="inlineStr"/>
      <c r="C1258" s="5">
        <f>IF($B1258="","",VLOOKUP($B1258,Jogos!$A$2:$K$105,8,FALSE))</f>
        <v/>
      </c>
      <c r="D1258" s="5">
        <f>IF($B1258="","",VLOOKUP($B1258,Jogos!$A$2:$K$105,10,FALSE))</f>
        <v/>
      </c>
      <c r="E1258" s="5" t="inlineStr"/>
      <c r="F1258" s="5" t="inlineStr"/>
      <c r="G1258" s="8">
        <f>IF($B1258="","",VLOOKUP($B1258,Jogos!$A$2:$K$105,9,FALSE))</f>
        <v/>
      </c>
      <c r="H1258" s="8">
        <f>IF($B1258="","",VLOOKUP($B1258,Jogos!$A$2:$K$105,11,FALSE))</f>
        <v/>
      </c>
      <c r="I1258" s="5">
        <f>IF(OR($A1258="", $B1258="", $E1258="", $F1258="", $G1258="", $H1258=""), "",IF(AND($E1258=$G1258, $F1258=$H1258), 3, IF(SIGN($E1258-$F1258)=SIGN($G1258-$H1258), 1, 0))))</f>
        <v/>
      </c>
    </row>
    <row r="1259">
      <c r="A1259" s="5" t="inlineStr"/>
      <c r="B1259" s="5" t="inlineStr"/>
      <c r="C1259" s="5">
        <f>IF($B1259="","",VLOOKUP($B1259,Jogos!$A$2:$K$105,8,FALSE))</f>
        <v/>
      </c>
      <c r="D1259" s="5">
        <f>IF($B1259="","",VLOOKUP($B1259,Jogos!$A$2:$K$105,10,FALSE))</f>
        <v/>
      </c>
      <c r="E1259" s="5" t="inlineStr"/>
      <c r="F1259" s="5" t="inlineStr"/>
      <c r="G1259" s="8">
        <f>IF($B1259="","",VLOOKUP($B1259,Jogos!$A$2:$K$105,9,FALSE))</f>
        <v/>
      </c>
      <c r="H1259" s="8">
        <f>IF($B1259="","",VLOOKUP($B1259,Jogos!$A$2:$K$105,11,FALSE))</f>
        <v/>
      </c>
      <c r="I1259" s="5">
        <f>IF(OR($A1259="", $B1259="", $E1259="", $F1259="", $G1259="", $H1259=""), "",IF(AND($E1259=$G1259, $F1259=$H1259), 3, IF(SIGN($E1259-$F1259)=SIGN($G1259-$H1259), 1, 0))))</f>
        <v/>
      </c>
    </row>
    <row r="1260">
      <c r="A1260" s="5" t="inlineStr"/>
      <c r="B1260" s="5" t="inlineStr"/>
      <c r="C1260" s="5">
        <f>IF($B1260="","",VLOOKUP($B1260,Jogos!$A$2:$K$105,8,FALSE))</f>
        <v/>
      </c>
      <c r="D1260" s="5">
        <f>IF($B1260="","",VLOOKUP($B1260,Jogos!$A$2:$K$105,10,FALSE))</f>
        <v/>
      </c>
      <c r="E1260" s="5" t="inlineStr"/>
      <c r="F1260" s="5" t="inlineStr"/>
      <c r="G1260" s="8">
        <f>IF($B1260="","",VLOOKUP($B1260,Jogos!$A$2:$K$105,9,FALSE))</f>
        <v/>
      </c>
      <c r="H1260" s="8">
        <f>IF($B1260="","",VLOOKUP($B1260,Jogos!$A$2:$K$105,11,FALSE))</f>
        <v/>
      </c>
      <c r="I1260" s="5">
        <f>IF(OR($A1260="", $B1260="", $E1260="", $F1260="", $G1260="", $H1260=""), "",IF(AND($E1260=$G1260, $F1260=$H1260), 3, IF(SIGN($E1260-$F1260)=SIGN($G1260-$H1260), 1, 0))))</f>
        <v/>
      </c>
    </row>
    <row r="1261">
      <c r="A1261" s="5" t="inlineStr"/>
      <c r="B1261" s="5" t="inlineStr"/>
      <c r="C1261" s="5">
        <f>IF($B1261="","",VLOOKUP($B1261,Jogos!$A$2:$K$105,8,FALSE))</f>
        <v/>
      </c>
      <c r="D1261" s="5">
        <f>IF($B1261="","",VLOOKUP($B1261,Jogos!$A$2:$K$105,10,FALSE))</f>
        <v/>
      </c>
      <c r="E1261" s="5" t="inlineStr"/>
      <c r="F1261" s="5" t="inlineStr"/>
      <c r="G1261" s="8">
        <f>IF($B1261="","",VLOOKUP($B1261,Jogos!$A$2:$K$105,9,FALSE))</f>
        <v/>
      </c>
      <c r="H1261" s="8">
        <f>IF($B1261="","",VLOOKUP($B1261,Jogos!$A$2:$K$105,11,FALSE))</f>
        <v/>
      </c>
      <c r="I1261" s="5">
        <f>IF(OR($A1261="", $B1261="", $E1261="", $F1261="", $G1261="", $H1261=""), "",IF(AND($E1261=$G1261, $F1261=$H1261), 3, IF(SIGN($E1261-$F1261)=SIGN($G1261-$H1261), 1, 0))))</f>
        <v/>
      </c>
    </row>
    <row r="1262">
      <c r="A1262" s="5" t="inlineStr"/>
      <c r="B1262" s="5" t="inlineStr"/>
      <c r="C1262" s="5">
        <f>IF($B1262="","",VLOOKUP($B1262,Jogos!$A$2:$K$105,8,FALSE))</f>
        <v/>
      </c>
      <c r="D1262" s="5">
        <f>IF($B1262="","",VLOOKUP($B1262,Jogos!$A$2:$K$105,10,FALSE))</f>
        <v/>
      </c>
      <c r="E1262" s="5" t="inlineStr"/>
      <c r="F1262" s="5" t="inlineStr"/>
      <c r="G1262" s="8">
        <f>IF($B1262="","",VLOOKUP($B1262,Jogos!$A$2:$K$105,9,FALSE))</f>
        <v/>
      </c>
      <c r="H1262" s="8">
        <f>IF($B1262="","",VLOOKUP($B1262,Jogos!$A$2:$K$105,11,FALSE))</f>
        <v/>
      </c>
      <c r="I1262" s="5">
        <f>IF(OR($A1262="", $B1262="", $E1262="", $F1262="", $G1262="", $H1262=""), "",IF(AND($E1262=$G1262, $F1262=$H1262), 3, IF(SIGN($E1262-$F1262)=SIGN($G1262-$H1262), 1, 0))))</f>
        <v/>
      </c>
    </row>
    <row r="1263">
      <c r="A1263" s="5" t="inlineStr"/>
      <c r="B1263" s="5" t="inlineStr"/>
      <c r="C1263" s="5">
        <f>IF($B1263="","",VLOOKUP($B1263,Jogos!$A$2:$K$105,8,FALSE))</f>
        <v/>
      </c>
      <c r="D1263" s="5">
        <f>IF($B1263="","",VLOOKUP($B1263,Jogos!$A$2:$K$105,10,FALSE))</f>
        <v/>
      </c>
      <c r="E1263" s="5" t="inlineStr"/>
      <c r="F1263" s="5" t="inlineStr"/>
      <c r="G1263" s="8">
        <f>IF($B1263="","",VLOOKUP($B1263,Jogos!$A$2:$K$105,9,FALSE))</f>
        <v/>
      </c>
      <c r="H1263" s="8">
        <f>IF($B1263="","",VLOOKUP($B1263,Jogos!$A$2:$K$105,11,FALSE))</f>
        <v/>
      </c>
      <c r="I1263" s="5">
        <f>IF(OR($A1263="", $B1263="", $E1263="", $F1263="", $G1263="", $H1263=""), "",IF(AND($E1263=$G1263, $F1263=$H1263), 3, IF(SIGN($E1263-$F1263)=SIGN($G1263-$H1263), 1, 0))))</f>
        <v/>
      </c>
    </row>
    <row r="1264">
      <c r="A1264" s="5" t="inlineStr"/>
      <c r="B1264" s="5" t="inlineStr"/>
      <c r="C1264" s="5">
        <f>IF($B1264="","",VLOOKUP($B1264,Jogos!$A$2:$K$105,8,FALSE))</f>
        <v/>
      </c>
      <c r="D1264" s="5">
        <f>IF($B1264="","",VLOOKUP($B1264,Jogos!$A$2:$K$105,10,FALSE))</f>
        <v/>
      </c>
      <c r="E1264" s="5" t="inlineStr"/>
      <c r="F1264" s="5" t="inlineStr"/>
      <c r="G1264" s="8">
        <f>IF($B1264="","",VLOOKUP($B1264,Jogos!$A$2:$K$105,9,FALSE))</f>
        <v/>
      </c>
      <c r="H1264" s="8">
        <f>IF($B1264="","",VLOOKUP($B1264,Jogos!$A$2:$K$105,11,FALSE))</f>
        <v/>
      </c>
      <c r="I1264" s="5">
        <f>IF(OR($A1264="", $B1264="", $E1264="", $F1264="", $G1264="", $H1264=""), "",IF(AND($E1264=$G1264, $F1264=$H1264), 3, IF(SIGN($E1264-$F1264)=SIGN($G1264-$H1264), 1, 0))))</f>
        <v/>
      </c>
    </row>
    <row r="1265">
      <c r="A1265" s="5" t="inlineStr"/>
      <c r="B1265" s="5" t="inlineStr"/>
      <c r="C1265" s="5">
        <f>IF($B1265="","",VLOOKUP($B1265,Jogos!$A$2:$K$105,8,FALSE))</f>
        <v/>
      </c>
      <c r="D1265" s="5">
        <f>IF($B1265="","",VLOOKUP($B1265,Jogos!$A$2:$K$105,10,FALSE))</f>
        <v/>
      </c>
      <c r="E1265" s="5" t="inlineStr"/>
      <c r="F1265" s="5" t="inlineStr"/>
      <c r="G1265" s="8">
        <f>IF($B1265="","",VLOOKUP($B1265,Jogos!$A$2:$K$105,9,FALSE))</f>
        <v/>
      </c>
      <c r="H1265" s="8">
        <f>IF($B1265="","",VLOOKUP($B1265,Jogos!$A$2:$K$105,11,FALSE))</f>
        <v/>
      </c>
      <c r="I1265" s="5">
        <f>IF(OR($A1265="", $B1265="", $E1265="", $F1265="", $G1265="", $H1265=""), "",IF(AND($E1265=$G1265, $F1265=$H1265), 3, IF(SIGN($E1265-$F1265)=SIGN($G1265-$H1265), 1, 0))))</f>
        <v/>
      </c>
    </row>
    <row r="1266">
      <c r="A1266" s="5" t="inlineStr"/>
      <c r="B1266" s="5" t="inlineStr"/>
      <c r="C1266" s="5">
        <f>IF($B1266="","",VLOOKUP($B1266,Jogos!$A$2:$K$105,8,FALSE))</f>
        <v/>
      </c>
      <c r="D1266" s="5">
        <f>IF($B1266="","",VLOOKUP($B1266,Jogos!$A$2:$K$105,10,FALSE))</f>
        <v/>
      </c>
      <c r="E1266" s="5" t="inlineStr"/>
      <c r="F1266" s="5" t="inlineStr"/>
      <c r="G1266" s="8">
        <f>IF($B1266="","",VLOOKUP($B1266,Jogos!$A$2:$K$105,9,FALSE))</f>
        <v/>
      </c>
      <c r="H1266" s="8">
        <f>IF($B1266="","",VLOOKUP($B1266,Jogos!$A$2:$K$105,11,FALSE))</f>
        <v/>
      </c>
      <c r="I1266" s="5">
        <f>IF(OR($A1266="", $B1266="", $E1266="", $F1266="", $G1266="", $H1266=""), "",IF(AND($E1266=$G1266, $F1266=$H1266), 3, IF(SIGN($E1266-$F1266)=SIGN($G1266-$H1266), 1, 0))))</f>
        <v/>
      </c>
    </row>
    <row r="1267">
      <c r="A1267" s="5" t="inlineStr"/>
      <c r="B1267" s="5" t="inlineStr"/>
      <c r="C1267" s="5">
        <f>IF($B1267="","",VLOOKUP($B1267,Jogos!$A$2:$K$105,8,FALSE))</f>
        <v/>
      </c>
      <c r="D1267" s="5">
        <f>IF($B1267="","",VLOOKUP($B1267,Jogos!$A$2:$K$105,10,FALSE))</f>
        <v/>
      </c>
      <c r="E1267" s="5" t="inlineStr"/>
      <c r="F1267" s="5" t="inlineStr"/>
      <c r="G1267" s="8">
        <f>IF($B1267="","",VLOOKUP($B1267,Jogos!$A$2:$K$105,9,FALSE))</f>
        <v/>
      </c>
      <c r="H1267" s="8">
        <f>IF($B1267="","",VLOOKUP($B1267,Jogos!$A$2:$K$105,11,FALSE))</f>
        <v/>
      </c>
      <c r="I1267" s="5">
        <f>IF(OR($A1267="", $B1267="", $E1267="", $F1267="", $G1267="", $H1267=""), "",IF(AND($E1267=$G1267, $F1267=$H1267), 3, IF(SIGN($E1267-$F1267)=SIGN($G1267-$H1267), 1, 0))))</f>
        <v/>
      </c>
    </row>
    <row r="1268">
      <c r="A1268" s="5" t="inlineStr"/>
      <c r="B1268" s="5" t="inlineStr"/>
      <c r="C1268" s="5">
        <f>IF($B1268="","",VLOOKUP($B1268,Jogos!$A$2:$K$105,8,FALSE))</f>
        <v/>
      </c>
      <c r="D1268" s="5">
        <f>IF($B1268="","",VLOOKUP($B1268,Jogos!$A$2:$K$105,10,FALSE))</f>
        <v/>
      </c>
      <c r="E1268" s="5" t="inlineStr"/>
      <c r="F1268" s="5" t="inlineStr"/>
      <c r="G1268" s="8">
        <f>IF($B1268="","",VLOOKUP($B1268,Jogos!$A$2:$K$105,9,FALSE))</f>
        <v/>
      </c>
      <c r="H1268" s="8">
        <f>IF($B1268="","",VLOOKUP($B1268,Jogos!$A$2:$K$105,11,FALSE))</f>
        <v/>
      </c>
      <c r="I1268" s="5">
        <f>IF(OR($A1268="", $B1268="", $E1268="", $F1268="", $G1268="", $H1268=""), "",IF(AND($E1268=$G1268, $F1268=$H1268), 3, IF(SIGN($E1268-$F1268)=SIGN($G1268-$H1268), 1, 0))))</f>
        <v/>
      </c>
    </row>
    <row r="1269">
      <c r="A1269" s="5" t="inlineStr"/>
      <c r="B1269" s="5" t="inlineStr"/>
      <c r="C1269" s="5">
        <f>IF($B1269="","",VLOOKUP($B1269,Jogos!$A$2:$K$105,8,FALSE))</f>
        <v/>
      </c>
      <c r="D1269" s="5">
        <f>IF($B1269="","",VLOOKUP($B1269,Jogos!$A$2:$K$105,10,FALSE))</f>
        <v/>
      </c>
      <c r="E1269" s="5" t="inlineStr"/>
      <c r="F1269" s="5" t="inlineStr"/>
      <c r="G1269" s="8">
        <f>IF($B1269="","",VLOOKUP($B1269,Jogos!$A$2:$K$105,9,FALSE))</f>
        <v/>
      </c>
      <c r="H1269" s="8">
        <f>IF($B1269="","",VLOOKUP($B1269,Jogos!$A$2:$K$105,11,FALSE))</f>
        <v/>
      </c>
      <c r="I1269" s="5">
        <f>IF(OR($A1269="", $B1269="", $E1269="", $F1269="", $G1269="", $H1269=""), "",IF(AND($E1269=$G1269, $F1269=$H1269), 3, IF(SIGN($E1269-$F1269)=SIGN($G1269-$H1269), 1, 0))))</f>
        <v/>
      </c>
    </row>
    <row r="1270">
      <c r="A1270" s="5" t="inlineStr"/>
      <c r="B1270" s="5" t="inlineStr"/>
      <c r="C1270" s="5">
        <f>IF($B1270="","",VLOOKUP($B1270,Jogos!$A$2:$K$105,8,FALSE))</f>
        <v/>
      </c>
      <c r="D1270" s="5">
        <f>IF($B1270="","",VLOOKUP($B1270,Jogos!$A$2:$K$105,10,FALSE))</f>
        <v/>
      </c>
      <c r="E1270" s="5" t="inlineStr"/>
      <c r="F1270" s="5" t="inlineStr"/>
      <c r="G1270" s="8">
        <f>IF($B1270="","",VLOOKUP($B1270,Jogos!$A$2:$K$105,9,FALSE))</f>
        <v/>
      </c>
      <c r="H1270" s="8">
        <f>IF($B1270="","",VLOOKUP($B1270,Jogos!$A$2:$K$105,11,FALSE))</f>
        <v/>
      </c>
      <c r="I1270" s="5">
        <f>IF(OR($A1270="", $B1270="", $E1270="", $F1270="", $G1270="", $H1270=""), "",IF(AND($E1270=$G1270, $F1270=$H1270), 3, IF(SIGN($E1270-$F1270)=SIGN($G1270-$H1270), 1, 0))))</f>
        <v/>
      </c>
    </row>
    <row r="1271">
      <c r="A1271" s="5" t="inlineStr"/>
      <c r="B1271" s="5" t="inlineStr"/>
      <c r="C1271" s="5">
        <f>IF($B1271="","",VLOOKUP($B1271,Jogos!$A$2:$K$105,8,FALSE))</f>
        <v/>
      </c>
      <c r="D1271" s="5">
        <f>IF($B1271="","",VLOOKUP($B1271,Jogos!$A$2:$K$105,10,FALSE))</f>
        <v/>
      </c>
      <c r="E1271" s="5" t="inlineStr"/>
      <c r="F1271" s="5" t="inlineStr"/>
      <c r="G1271" s="8">
        <f>IF($B1271="","",VLOOKUP($B1271,Jogos!$A$2:$K$105,9,FALSE))</f>
        <v/>
      </c>
      <c r="H1271" s="8">
        <f>IF($B1271="","",VLOOKUP($B1271,Jogos!$A$2:$K$105,11,FALSE))</f>
        <v/>
      </c>
      <c r="I1271" s="5">
        <f>IF(OR($A1271="", $B1271="", $E1271="", $F1271="", $G1271="", $H1271=""), "",IF(AND($E1271=$G1271, $F1271=$H1271), 3, IF(SIGN($E1271-$F1271)=SIGN($G1271-$H1271), 1, 0))))</f>
        <v/>
      </c>
    </row>
    <row r="1272">
      <c r="A1272" s="5" t="inlineStr"/>
      <c r="B1272" s="5" t="inlineStr"/>
      <c r="C1272" s="5">
        <f>IF($B1272="","",VLOOKUP($B1272,Jogos!$A$2:$K$105,8,FALSE))</f>
        <v/>
      </c>
      <c r="D1272" s="5">
        <f>IF($B1272="","",VLOOKUP($B1272,Jogos!$A$2:$K$105,10,FALSE))</f>
        <v/>
      </c>
      <c r="E1272" s="5" t="inlineStr"/>
      <c r="F1272" s="5" t="inlineStr"/>
      <c r="G1272" s="8">
        <f>IF($B1272="","",VLOOKUP($B1272,Jogos!$A$2:$K$105,9,FALSE))</f>
        <v/>
      </c>
      <c r="H1272" s="8">
        <f>IF($B1272="","",VLOOKUP($B1272,Jogos!$A$2:$K$105,11,FALSE))</f>
        <v/>
      </c>
      <c r="I1272" s="5">
        <f>IF(OR($A1272="", $B1272="", $E1272="", $F1272="", $G1272="", $H1272=""), "",IF(AND($E1272=$G1272, $F1272=$H1272), 3, IF(SIGN($E1272-$F1272)=SIGN($G1272-$H1272), 1, 0))))</f>
        <v/>
      </c>
    </row>
    <row r="1273">
      <c r="A1273" s="5" t="inlineStr"/>
      <c r="B1273" s="5" t="inlineStr"/>
      <c r="C1273" s="5">
        <f>IF($B1273="","",VLOOKUP($B1273,Jogos!$A$2:$K$105,8,FALSE))</f>
        <v/>
      </c>
      <c r="D1273" s="5">
        <f>IF($B1273="","",VLOOKUP($B1273,Jogos!$A$2:$K$105,10,FALSE))</f>
        <v/>
      </c>
      <c r="E1273" s="5" t="inlineStr"/>
      <c r="F1273" s="5" t="inlineStr"/>
      <c r="G1273" s="8">
        <f>IF($B1273="","",VLOOKUP($B1273,Jogos!$A$2:$K$105,9,FALSE))</f>
        <v/>
      </c>
      <c r="H1273" s="8">
        <f>IF($B1273="","",VLOOKUP($B1273,Jogos!$A$2:$K$105,11,FALSE))</f>
        <v/>
      </c>
      <c r="I1273" s="5">
        <f>IF(OR($A1273="", $B1273="", $E1273="", $F1273="", $G1273="", $H1273=""), "",IF(AND($E1273=$G1273, $F1273=$H1273), 3, IF(SIGN($E1273-$F1273)=SIGN($G1273-$H1273), 1, 0))))</f>
        <v/>
      </c>
    </row>
    <row r="1274">
      <c r="A1274" s="5" t="inlineStr"/>
      <c r="B1274" s="5" t="inlineStr"/>
      <c r="C1274" s="5">
        <f>IF($B1274="","",VLOOKUP($B1274,Jogos!$A$2:$K$105,8,FALSE))</f>
        <v/>
      </c>
      <c r="D1274" s="5">
        <f>IF($B1274="","",VLOOKUP($B1274,Jogos!$A$2:$K$105,10,FALSE))</f>
        <v/>
      </c>
      <c r="E1274" s="5" t="inlineStr"/>
      <c r="F1274" s="5" t="inlineStr"/>
      <c r="G1274" s="8">
        <f>IF($B1274="","",VLOOKUP($B1274,Jogos!$A$2:$K$105,9,FALSE))</f>
        <v/>
      </c>
      <c r="H1274" s="8">
        <f>IF($B1274="","",VLOOKUP($B1274,Jogos!$A$2:$K$105,11,FALSE))</f>
        <v/>
      </c>
      <c r="I1274" s="5">
        <f>IF(OR($A1274="", $B1274="", $E1274="", $F1274="", $G1274="", $H1274=""), "",IF(AND($E1274=$G1274, $F1274=$H1274), 3, IF(SIGN($E1274-$F1274)=SIGN($G1274-$H1274), 1, 0))))</f>
        <v/>
      </c>
    </row>
    <row r="1275">
      <c r="A1275" s="5" t="inlineStr"/>
      <c r="B1275" s="5" t="inlineStr"/>
      <c r="C1275" s="5">
        <f>IF($B1275="","",VLOOKUP($B1275,Jogos!$A$2:$K$105,8,FALSE))</f>
        <v/>
      </c>
      <c r="D1275" s="5">
        <f>IF($B1275="","",VLOOKUP($B1275,Jogos!$A$2:$K$105,10,FALSE))</f>
        <v/>
      </c>
      <c r="E1275" s="5" t="inlineStr"/>
      <c r="F1275" s="5" t="inlineStr"/>
      <c r="G1275" s="8">
        <f>IF($B1275="","",VLOOKUP($B1275,Jogos!$A$2:$K$105,9,FALSE))</f>
        <v/>
      </c>
      <c r="H1275" s="8">
        <f>IF($B1275="","",VLOOKUP($B1275,Jogos!$A$2:$K$105,11,FALSE))</f>
        <v/>
      </c>
      <c r="I1275" s="5">
        <f>IF(OR($A1275="", $B1275="", $E1275="", $F1275="", $G1275="", $H1275=""), "",IF(AND($E1275=$G1275, $F1275=$H1275), 3, IF(SIGN($E1275-$F1275)=SIGN($G1275-$H1275), 1, 0))))</f>
        <v/>
      </c>
    </row>
    <row r="1276">
      <c r="A1276" s="5" t="inlineStr"/>
      <c r="B1276" s="5" t="inlineStr"/>
      <c r="C1276" s="5">
        <f>IF($B1276="","",VLOOKUP($B1276,Jogos!$A$2:$K$105,8,FALSE))</f>
        <v/>
      </c>
      <c r="D1276" s="5">
        <f>IF($B1276="","",VLOOKUP($B1276,Jogos!$A$2:$K$105,10,FALSE))</f>
        <v/>
      </c>
      <c r="E1276" s="5" t="inlineStr"/>
      <c r="F1276" s="5" t="inlineStr"/>
      <c r="G1276" s="8">
        <f>IF($B1276="","",VLOOKUP($B1276,Jogos!$A$2:$K$105,9,FALSE))</f>
        <v/>
      </c>
      <c r="H1276" s="8">
        <f>IF($B1276="","",VLOOKUP($B1276,Jogos!$A$2:$K$105,11,FALSE))</f>
        <v/>
      </c>
      <c r="I1276" s="5">
        <f>IF(OR($A1276="", $B1276="", $E1276="", $F1276="", $G1276="", $H1276=""), "",IF(AND($E1276=$G1276, $F1276=$H1276), 3, IF(SIGN($E1276-$F1276)=SIGN($G1276-$H1276), 1, 0))))</f>
        <v/>
      </c>
    </row>
    <row r="1277">
      <c r="A1277" s="5" t="inlineStr"/>
      <c r="B1277" s="5" t="inlineStr"/>
      <c r="C1277" s="5">
        <f>IF($B1277="","",VLOOKUP($B1277,Jogos!$A$2:$K$105,8,FALSE))</f>
        <v/>
      </c>
      <c r="D1277" s="5">
        <f>IF($B1277="","",VLOOKUP($B1277,Jogos!$A$2:$K$105,10,FALSE))</f>
        <v/>
      </c>
      <c r="E1277" s="5" t="inlineStr"/>
      <c r="F1277" s="5" t="inlineStr"/>
      <c r="G1277" s="8">
        <f>IF($B1277="","",VLOOKUP($B1277,Jogos!$A$2:$K$105,9,FALSE))</f>
        <v/>
      </c>
      <c r="H1277" s="8">
        <f>IF($B1277="","",VLOOKUP($B1277,Jogos!$A$2:$K$105,11,FALSE))</f>
        <v/>
      </c>
      <c r="I1277" s="5">
        <f>IF(OR($A1277="", $B1277="", $E1277="", $F1277="", $G1277="", $H1277=""), "",IF(AND($E1277=$G1277, $F1277=$H1277), 3, IF(SIGN($E1277-$F1277)=SIGN($G1277-$H1277), 1, 0))))</f>
        <v/>
      </c>
    </row>
    <row r="1278">
      <c r="A1278" s="5" t="inlineStr"/>
      <c r="B1278" s="5" t="inlineStr"/>
      <c r="C1278" s="5">
        <f>IF($B1278="","",VLOOKUP($B1278,Jogos!$A$2:$K$105,8,FALSE))</f>
        <v/>
      </c>
      <c r="D1278" s="5">
        <f>IF($B1278="","",VLOOKUP($B1278,Jogos!$A$2:$K$105,10,FALSE))</f>
        <v/>
      </c>
      <c r="E1278" s="5" t="inlineStr"/>
      <c r="F1278" s="5" t="inlineStr"/>
      <c r="G1278" s="8">
        <f>IF($B1278="","",VLOOKUP($B1278,Jogos!$A$2:$K$105,9,FALSE))</f>
        <v/>
      </c>
      <c r="H1278" s="8">
        <f>IF($B1278="","",VLOOKUP($B1278,Jogos!$A$2:$K$105,11,FALSE))</f>
        <v/>
      </c>
      <c r="I1278" s="5">
        <f>IF(OR($A1278="", $B1278="", $E1278="", $F1278="", $G1278="", $H1278=""), "",IF(AND($E1278=$G1278, $F1278=$H1278), 3, IF(SIGN($E1278-$F1278)=SIGN($G1278-$H1278), 1, 0))))</f>
        <v/>
      </c>
    </row>
    <row r="1279">
      <c r="A1279" s="5" t="inlineStr"/>
      <c r="B1279" s="5" t="inlineStr"/>
      <c r="C1279" s="5">
        <f>IF($B1279="","",VLOOKUP($B1279,Jogos!$A$2:$K$105,8,FALSE))</f>
        <v/>
      </c>
      <c r="D1279" s="5">
        <f>IF($B1279="","",VLOOKUP($B1279,Jogos!$A$2:$K$105,10,FALSE))</f>
        <v/>
      </c>
      <c r="E1279" s="5" t="inlineStr"/>
      <c r="F1279" s="5" t="inlineStr"/>
      <c r="G1279" s="8">
        <f>IF($B1279="","",VLOOKUP($B1279,Jogos!$A$2:$K$105,9,FALSE))</f>
        <v/>
      </c>
      <c r="H1279" s="8">
        <f>IF($B1279="","",VLOOKUP($B1279,Jogos!$A$2:$K$105,11,FALSE))</f>
        <v/>
      </c>
      <c r="I1279" s="5">
        <f>IF(OR($A1279="", $B1279="", $E1279="", $F1279="", $G1279="", $H1279=""), "",IF(AND($E1279=$G1279, $F1279=$H1279), 3, IF(SIGN($E1279-$F1279)=SIGN($G1279-$H1279), 1, 0))))</f>
        <v/>
      </c>
    </row>
    <row r="1280">
      <c r="A1280" s="5" t="inlineStr"/>
      <c r="B1280" s="5" t="inlineStr"/>
      <c r="C1280" s="5">
        <f>IF($B1280="","",VLOOKUP($B1280,Jogos!$A$2:$K$105,8,FALSE))</f>
        <v/>
      </c>
      <c r="D1280" s="5">
        <f>IF($B1280="","",VLOOKUP($B1280,Jogos!$A$2:$K$105,10,FALSE))</f>
        <v/>
      </c>
      <c r="E1280" s="5" t="inlineStr"/>
      <c r="F1280" s="5" t="inlineStr"/>
      <c r="G1280" s="8">
        <f>IF($B1280="","",VLOOKUP($B1280,Jogos!$A$2:$K$105,9,FALSE))</f>
        <v/>
      </c>
      <c r="H1280" s="8">
        <f>IF($B1280="","",VLOOKUP($B1280,Jogos!$A$2:$K$105,11,FALSE))</f>
        <v/>
      </c>
      <c r="I1280" s="5">
        <f>IF(OR($A1280="", $B1280="", $E1280="", $F1280="", $G1280="", $H1280=""), "",IF(AND($E1280=$G1280, $F1280=$H1280), 3, IF(SIGN($E1280-$F1280)=SIGN($G1280-$H1280), 1, 0))))</f>
        <v/>
      </c>
    </row>
    <row r="1281">
      <c r="A1281" s="5" t="inlineStr"/>
      <c r="B1281" s="5" t="inlineStr"/>
      <c r="C1281" s="5">
        <f>IF($B1281="","",VLOOKUP($B1281,Jogos!$A$2:$K$105,8,FALSE))</f>
        <v/>
      </c>
      <c r="D1281" s="5">
        <f>IF($B1281="","",VLOOKUP($B1281,Jogos!$A$2:$K$105,10,FALSE))</f>
        <v/>
      </c>
      <c r="E1281" s="5" t="inlineStr"/>
      <c r="F1281" s="5" t="inlineStr"/>
      <c r="G1281" s="8">
        <f>IF($B1281="","",VLOOKUP($B1281,Jogos!$A$2:$K$105,9,FALSE))</f>
        <v/>
      </c>
      <c r="H1281" s="8">
        <f>IF($B1281="","",VLOOKUP($B1281,Jogos!$A$2:$K$105,11,FALSE))</f>
        <v/>
      </c>
      <c r="I1281" s="5">
        <f>IF(OR($A1281="", $B1281="", $E1281="", $F1281="", $G1281="", $H1281=""), "",IF(AND($E1281=$G1281, $F1281=$H1281), 3, IF(SIGN($E1281-$F1281)=SIGN($G1281-$H1281), 1, 0))))</f>
        <v/>
      </c>
    </row>
    <row r="1282">
      <c r="A1282" s="5" t="inlineStr"/>
      <c r="B1282" s="5" t="inlineStr"/>
      <c r="C1282" s="5">
        <f>IF($B1282="","",VLOOKUP($B1282,Jogos!$A$2:$K$105,8,FALSE))</f>
        <v/>
      </c>
      <c r="D1282" s="5">
        <f>IF($B1282="","",VLOOKUP($B1282,Jogos!$A$2:$K$105,10,FALSE))</f>
        <v/>
      </c>
      <c r="E1282" s="5" t="inlineStr"/>
      <c r="F1282" s="5" t="inlineStr"/>
      <c r="G1282" s="8">
        <f>IF($B1282="","",VLOOKUP($B1282,Jogos!$A$2:$K$105,9,FALSE))</f>
        <v/>
      </c>
      <c r="H1282" s="8">
        <f>IF($B1282="","",VLOOKUP($B1282,Jogos!$A$2:$K$105,11,FALSE))</f>
        <v/>
      </c>
      <c r="I1282" s="5">
        <f>IF(OR($A1282="", $B1282="", $E1282="", $F1282="", $G1282="", $H1282=""), "",IF(AND($E1282=$G1282, $F1282=$H1282), 3, IF(SIGN($E1282-$F1282)=SIGN($G1282-$H1282), 1, 0))))</f>
        <v/>
      </c>
    </row>
    <row r="1283">
      <c r="A1283" s="5" t="inlineStr"/>
      <c r="B1283" s="5" t="inlineStr"/>
      <c r="C1283" s="5">
        <f>IF($B1283="","",VLOOKUP($B1283,Jogos!$A$2:$K$105,8,FALSE))</f>
        <v/>
      </c>
      <c r="D1283" s="5">
        <f>IF($B1283="","",VLOOKUP($B1283,Jogos!$A$2:$K$105,10,FALSE))</f>
        <v/>
      </c>
      <c r="E1283" s="5" t="inlineStr"/>
      <c r="F1283" s="5" t="inlineStr"/>
      <c r="G1283" s="8">
        <f>IF($B1283="","",VLOOKUP($B1283,Jogos!$A$2:$K$105,9,FALSE))</f>
        <v/>
      </c>
      <c r="H1283" s="8">
        <f>IF($B1283="","",VLOOKUP($B1283,Jogos!$A$2:$K$105,11,FALSE))</f>
        <v/>
      </c>
      <c r="I1283" s="5">
        <f>IF(OR($A1283="", $B1283="", $E1283="", $F1283="", $G1283="", $H1283=""), "",IF(AND($E1283=$G1283, $F1283=$H1283), 3, IF(SIGN($E1283-$F1283)=SIGN($G1283-$H1283), 1, 0))))</f>
        <v/>
      </c>
    </row>
    <row r="1284">
      <c r="A1284" s="5" t="inlineStr"/>
      <c r="B1284" s="5" t="inlineStr"/>
      <c r="C1284" s="5">
        <f>IF($B1284="","",VLOOKUP($B1284,Jogos!$A$2:$K$105,8,FALSE))</f>
        <v/>
      </c>
      <c r="D1284" s="5">
        <f>IF($B1284="","",VLOOKUP($B1284,Jogos!$A$2:$K$105,10,FALSE))</f>
        <v/>
      </c>
      <c r="E1284" s="5" t="inlineStr"/>
      <c r="F1284" s="5" t="inlineStr"/>
      <c r="G1284" s="8">
        <f>IF($B1284="","",VLOOKUP($B1284,Jogos!$A$2:$K$105,9,FALSE))</f>
        <v/>
      </c>
      <c r="H1284" s="8">
        <f>IF($B1284="","",VLOOKUP($B1284,Jogos!$A$2:$K$105,11,FALSE))</f>
        <v/>
      </c>
      <c r="I1284" s="5">
        <f>IF(OR($A1284="", $B1284="", $E1284="", $F1284="", $G1284="", $H1284=""), "",IF(AND($E1284=$G1284, $F1284=$H1284), 3, IF(SIGN($E1284-$F1284)=SIGN($G1284-$H1284), 1, 0))))</f>
        <v/>
      </c>
    </row>
    <row r="1285">
      <c r="A1285" s="5" t="inlineStr"/>
      <c r="B1285" s="5" t="inlineStr"/>
      <c r="C1285" s="5">
        <f>IF($B1285="","",VLOOKUP($B1285,Jogos!$A$2:$K$105,8,FALSE))</f>
        <v/>
      </c>
      <c r="D1285" s="5">
        <f>IF($B1285="","",VLOOKUP($B1285,Jogos!$A$2:$K$105,10,FALSE))</f>
        <v/>
      </c>
      <c r="E1285" s="5" t="inlineStr"/>
      <c r="F1285" s="5" t="inlineStr"/>
      <c r="G1285" s="8">
        <f>IF($B1285="","",VLOOKUP($B1285,Jogos!$A$2:$K$105,9,FALSE))</f>
        <v/>
      </c>
      <c r="H1285" s="8">
        <f>IF($B1285="","",VLOOKUP($B1285,Jogos!$A$2:$K$105,11,FALSE))</f>
        <v/>
      </c>
      <c r="I1285" s="5">
        <f>IF(OR($A1285="", $B1285="", $E1285="", $F1285="", $G1285="", $H1285=""), "",IF(AND($E1285=$G1285, $F1285=$H1285), 3, IF(SIGN($E1285-$F1285)=SIGN($G1285-$H1285), 1, 0))))</f>
        <v/>
      </c>
    </row>
    <row r="1286">
      <c r="A1286" s="5" t="inlineStr"/>
      <c r="B1286" s="5" t="inlineStr"/>
      <c r="C1286" s="5">
        <f>IF($B1286="","",VLOOKUP($B1286,Jogos!$A$2:$K$105,8,FALSE))</f>
        <v/>
      </c>
      <c r="D1286" s="5">
        <f>IF($B1286="","",VLOOKUP($B1286,Jogos!$A$2:$K$105,10,FALSE))</f>
        <v/>
      </c>
      <c r="E1286" s="5" t="inlineStr"/>
      <c r="F1286" s="5" t="inlineStr"/>
      <c r="G1286" s="8">
        <f>IF($B1286="","",VLOOKUP($B1286,Jogos!$A$2:$K$105,9,FALSE))</f>
        <v/>
      </c>
      <c r="H1286" s="8">
        <f>IF($B1286="","",VLOOKUP($B1286,Jogos!$A$2:$K$105,11,FALSE))</f>
        <v/>
      </c>
      <c r="I1286" s="5">
        <f>IF(OR($A1286="", $B1286="", $E1286="", $F1286="", $G1286="", $H1286=""), "",IF(AND($E1286=$G1286, $F1286=$H1286), 3, IF(SIGN($E1286-$F1286)=SIGN($G1286-$H1286), 1, 0))))</f>
        <v/>
      </c>
    </row>
    <row r="1287">
      <c r="A1287" s="5" t="inlineStr"/>
      <c r="B1287" s="5" t="inlineStr"/>
      <c r="C1287" s="5">
        <f>IF($B1287="","",VLOOKUP($B1287,Jogos!$A$2:$K$105,8,FALSE))</f>
        <v/>
      </c>
      <c r="D1287" s="5">
        <f>IF($B1287="","",VLOOKUP($B1287,Jogos!$A$2:$K$105,10,FALSE))</f>
        <v/>
      </c>
      <c r="E1287" s="5" t="inlineStr"/>
      <c r="F1287" s="5" t="inlineStr"/>
      <c r="G1287" s="8">
        <f>IF($B1287="","",VLOOKUP($B1287,Jogos!$A$2:$K$105,9,FALSE))</f>
        <v/>
      </c>
      <c r="H1287" s="8">
        <f>IF($B1287="","",VLOOKUP($B1287,Jogos!$A$2:$K$105,11,FALSE))</f>
        <v/>
      </c>
      <c r="I1287" s="5">
        <f>IF(OR($A1287="", $B1287="", $E1287="", $F1287="", $G1287="", $H1287=""), "",IF(AND($E1287=$G1287, $F1287=$H1287), 3, IF(SIGN($E1287-$F1287)=SIGN($G1287-$H1287), 1, 0))))</f>
        <v/>
      </c>
    </row>
    <row r="1288">
      <c r="A1288" s="5" t="inlineStr"/>
      <c r="B1288" s="5" t="inlineStr"/>
      <c r="C1288" s="5">
        <f>IF($B1288="","",VLOOKUP($B1288,Jogos!$A$2:$K$105,8,FALSE))</f>
        <v/>
      </c>
      <c r="D1288" s="5">
        <f>IF($B1288="","",VLOOKUP($B1288,Jogos!$A$2:$K$105,10,FALSE))</f>
        <v/>
      </c>
      <c r="E1288" s="5" t="inlineStr"/>
      <c r="F1288" s="5" t="inlineStr"/>
      <c r="G1288" s="8">
        <f>IF($B1288="","",VLOOKUP($B1288,Jogos!$A$2:$K$105,9,FALSE))</f>
        <v/>
      </c>
      <c r="H1288" s="8">
        <f>IF($B1288="","",VLOOKUP($B1288,Jogos!$A$2:$K$105,11,FALSE))</f>
        <v/>
      </c>
      <c r="I1288" s="5">
        <f>IF(OR($A1288="", $B1288="", $E1288="", $F1288="", $G1288="", $H1288=""), "",IF(AND($E1288=$G1288, $F1288=$H1288), 3, IF(SIGN($E1288-$F1288)=SIGN($G1288-$H1288), 1, 0))))</f>
        <v/>
      </c>
    </row>
    <row r="1289">
      <c r="A1289" s="5" t="inlineStr"/>
      <c r="B1289" s="5" t="inlineStr"/>
      <c r="C1289" s="5">
        <f>IF($B1289="","",VLOOKUP($B1289,Jogos!$A$2:$K$105,8,FALSE))</f>
        <v/>
      </c>
      <c r="D1289" s="5">
        <f>IF($B1289="","",VLOOKUP($B1289,Jogos!$A$2:$K$105,10,FALSE))</f>
        <v/>
      </c>
      <c r="E1289" s="5" t="inlineStr"/>
      <c r="F1289" s="5" t="inlineStr"/>
      <c r="G1289" s="8">
        <f>IF($B1289="","",VLOOKUP($B1289,Jogos!$A$2:$K$105,9,FALSE))</f>
        <v/>
      </c>
      <c r="H1289" s="8">
        <f>IF($B1289="","",VLOOKUP($B1289,Jogos!$A$2:$K$105,11,FALSE))</f>
        <v/>
      </c>
      <c r="I1289" s="5">
        <f>IF(OR($A1289="", $B1289="", $E1289="", $F1289="", $G1289="", $H1289=""), "",IF(AND($E1289=$G1289, $F1289=$H1289), 3, IF(SIGN($E1289-$F1289)=SIGN($G1289-$H1289), 1, 0))))</f>
        <v/>
      </c>
    </row>
    <row r="1290">
      <c r="A1290" s="5" t="inlineStr"/>
      <c r="B1290" s="5" t="inlineStr"/>
      <c r="C1290" s="5">
        <f>IF($B1290="","",VLOOKUP($B1290,Jogos!$A$2:$K$105,8,FALSE))</f>
        <v/>
      </c>
      <c r="D1290" s="5">
        <f>IF($B1290="","",VLOOKUP($B1290,Jogos!$A$2:$K$105,10,FALSE))</f>
        <v/>
      </c>
      <c r="E1290" s="5" t="inlineStr"/>
      <c r="F1290" s="5" t="inlineStr"/>
      <c r="G1290" s="8">
        <f>IF($B1290="","",VLOOKUP($B1290,Jogos!$A$2:$K$105,9,FALSE))</f>
        <v/>
      </c>
      <c r="H1290" s="8">
        <f>IF($B1290="","",VLOOKUP($B1290,Jogos!$A$2:$K$105,11,FALSE))</f>
        <v/>
      </c>
      <c r="I1290" s="5">
        <f>IF(OR($A1290="", $B1290="", $E1290="", $F1290="", $G1290="", $H1290=""), "",IF(AND($E1290=$G1290, $F1290=$H1290), 3, IF(SIGN($E1290-$F1290)=SIGN($G1290-$H1290), 1, 0))))</f>
        <v/>
      </c>
    </row>
    <row r="1291">
      <c r="A1291" s="5" t="inlineStr"/>
      <c r="B1291" s="5" t="inlineStr"/>
      <c r="C1291" s="5">
        <f>IF($B1291="","",VLOOKUP($B1291,Jogos!$A$2:$K$105,8,FALSE))</f>
        <v/>
      </c>
      <c r="D1291" s="5">
        <f>IF($B1291="","",VLOOKUP($B1291,Jogos!$A$2:$K$105,10,FALSE))</f>
        <v/>
      </c>
      <c r="E1291" s="5" t="inlineStr"/>
      <c r="F1291" s="5" t="inlineStr"/>
      <c r="G1291" s="8">
        <f>IF($B1291="","",VLOOKUP($B1291,Jogos!$A$2:$K$105,9,FALSE))</f>
        <v/>
      </c>
      <c r="H1291" s="8">
        <f>IF($B1291="","",VLOOKUP($B1291,Jogos!$A$2:$K$105,11,FALSE))</f>
        <v/>
      </c>
      <c r="I1291" s="5">
        <f>IF(OR($A1291="", $B1291="", $E1291="", $F1291="", $G1291="", $H1291=""), "",IF(AND($E1291=$G1291, $F1291=$H1291), 3, IF(SIGN($E1291-$F1291)=SIGN($G1291-$H1291), 1, 0))))</f>
        <v/>
      </c>
    </row>
    <row r="1292">
      <c r="A1292" s="5" t="inlineStr"/>
      <c r="B1292" s="5" t="inlineStr"/>
      <c r="C1292" s="5">
        <f>IF($B1292="","",VLOOKUP($B1292,Jogos!$A$2:$K$105,8,FALSE))</f>
        <v/>
      </c>
      <c r="D1292" s="5">
        <f>IF($B1292="","",VLOOKUP($B1292,Jogos!$A$2:$K$105,10,FALSE))</f>
        <v/>
      </c>
      <c r="E1292" s="5" t="inlineStr"/>
      <c r="F1292" s="5" t="inlineStr"/>
      <c r="G1292" s="8">
        <f>IF($B1292="","",VLOOKUP($B1292,Jogos!$A$2:$K$105,9,FALSE))</f>
        <v/>
      </c>
      <c r="H1292" s="8">
        <f>IF($B1292="","",VLOOKUP($B1292,Jogos!$A$2:$K$105,11,FALSE))</f>
        <v/>
      </c>
      <c r="I1292" s="5">
        <f>IF(OR($A1292="", $B1292="", $E1292="", $F1292="", $G1292="", $H1292=""), "",IF(AND($E1292=$G1292, $F1292=$H1292), 3, IF(SIGN($E1292-$F1292)=SIGN($G1292-$H1292), 1, 0))))</f>
        <v/>
      </c>
    </row>
    <row r="1293">
      <c r="A1293" s="5" t="inlineStr"/>
      <c r="B1293" s="5" t="inlineStr"/>
      <c r="C1293" s="5">
        <f>IF($B1293="","",VLOOKUP($B1293,Jogos!$A$2:$K$105,8,FALSE))</f>
        <v/>
      </c>
      <c r="D1293" s="5">
        <f>IF($B1293="","",VLOOKUP($B1293,Jogos!$A$2:$K$105,10,FALSE))</f>
        <v/>
      </c>
      <c r="E1293" s="5" t="inlineStr"/>
      <c r="F1293" s="5" t="inlineStr"/>
      <c r="G1293" s="8">
        <f>IF($B1293="","",VLOOKUP($B1293,Jogos!$A$2:$K$105,9,FALSE))</f>
        <v/>
      </c>
      <c r="H1293" s="8">
        <f>IF($B1293="","",VLOOKUP($B1293,Jogos!$A$2:$K$105,11,FALSE))</f>
        <v/>
      </c>
      <c r="I1293" s="5">
        <f>IF(OR($A1293="", $B1293="", $E1293="", $F1293="", $G1293="", $H1293=""), "",IF(AND($E1293=$G1293, $F1293=$H1293), 3, IF(SIGN($E1293-$F1293)=SIGN($G1293-$H1293), 1, 0))))</f>
        <v/>
      </c>
    </row>
    <row r="1294">
      <c r="A1294" s="5" t="inlineStr"/>
      <c r="B1294" s="5" t="inlineStr"/>
      <c r="C1294" s="5">
        <f>IF($B1294="","",VLOOKUP($B1294,Jogos!$A$2:$K$105,8,FALSE))</f>
        <v/>
      </c>
      <c r="D1294" s="5">
        <f>IF($B1294="","",VLOOKUP($B1294,Jogos!$A$2:$K$105,10,FALSE))</f>
        <v/>
      </c>
      <c r="E1294" s="5" t="inlineStr"/>
      <c r="F1294" s="5" t="inlineStr"/>
      <c r="G1294" s="8">
        <f>IF($B1294="","",VLOOKUP($B1294,Jogos!$A$2:$K$105,9,FALSE))</f>
        <v/>
      </c>
      <c r="H1294" s="8">
        <f>IF($B1294="","",VLOOKUP($B1294,Jogos!$A$2:$K$105,11,FALSE))</f>
        <v/>
      </c>
      <c r="I1294" s="5">
        <f>IF(OR($A1294="", $B1294="", $E1294="", $F1294="", $G1294="", $H1294=""), "",IF(AND($E1294=$G1294, $F1294=$H1294), 3, IF(SIGN($E1294-$F1294)=SIGN($G1294-$H1294), 1, 0))))</f>
        <v/>
      </c>
    </row>
    <row r="1295">
      <c r="A1295" s="5" t="inlineStr"/>
      <c r="B1295" s="5" t="inlineStr"/>
      <c r="C1295" s="5">
        <f>IF($B1295="","",VLOOKUP($B1295,Jogos!$A$2:$K$105,8,FALSE))</f>
        <v/>
      </c>
      <c r="D1295" s="5">
        <f>IF($B1295="","",VLOOKUP($B1295,Jogos!$A$2:$K$105,10,FALSE))</f>
        <v/>
      </c>
      <c r="E1295" s="5" t="inlineStr"/>
      <c r="F1295" s="5" t="inlineStr"/>
      <c r="G1295" s="8">
        <f>IF($B1295="","",VLOOKUP($B1295,Jogos!$A$2:$K$105,9,FALSE))</f>
        <v/>
      </c>
      <c r="H1295" s="8">
        <f>IF($B1295="","",VLOOKUP($B1295,Jogos!$A$2:$K$105,11,FALSE))</f>
        <v/>
      </c>
      <c r="I1295" s="5">
        <f>IF(OR($A1295="", $B1295="", $E1295="", $F1295="", $G1295="", $H1295=""), "",IF(AND($E1295=$G1295, $F1295=$H1295), 3, IF(SIGN($E1295-$F1295)=SIGN($G1295-$H1295), 1, 0))))</f>
        <v/>
      </c>
    </row>
    <row r="1296">
      <c r="A1296" s="5" t="inlineStr"/>
      <c r="B1296" s="5" t="inlineStr"/>
      <c r="C1296" s="5">
        <f>IF($B1296="","",VLOOKUP($B1296,Jogos!$A$2:$K$105,8,FALSE))</f>
        <v/>
      </c>
      <c r="D1296" s="5">
        <f>IF($B1296="","",VLOOKUP($B1296,Jogos!$A$2:$K$105,10,FALSE))</f>
        <v/>
      </c>
      <c r="E1296" s="5" t="inlineStr"/>
      <c r="F1296" s="5" t="inlineStr"/>
      <c r="G1296" s="8">
        <f>IF($B1296="","",VLOOKUP($B1296,Jogos!$A$2:$K$105,9,FALSE))</f>
        <v/>
      </c>
      <c r="H1296" s="8">
        <f>IF($B1296="","",VLOOKUP($B1296,Jogos!$A$2:$K$105,11,FALSE))</f>
        <v/>
      </c>
      <c r="I1296" s="5">
        <f>IF(OR($A1296="", $B1296="", $E1296="", $F1296="", $G1296="", $H1296=""), "",IF(AND($E1296=$G1296, $F1296=$H1296), 3, IF(SIGN($E1296-$F1296)=SIGN($G1296-$H1296), 1, 0))))</f>
        <v/>
      </c>
    </row>
    <row r="1297">
      <c r="A1297" s="5" t="inlineStr"/>
      <c r="B1297" s="5" t="inlineStr"/>
      <c r="C1297" s="5">
        <f>IF($B1297="","",VLOOKUP($B1297,Jogos!$A$2:$K$105,8,FALSE))</f>
        <v/>
      </c>
      <c r="D1297" s="5">
        <f>IF($B1297="","",VLOOKUP($B1297,Jogos!$A$2:$K$105,10,FALSE))</f>
        <v/>
      </c>
      <c r="E1297" s="5" t="inlineStr"/>
      <c r="F1297" s="5" t="inlineStr"/>
      <c r="G1297" s="8">
        <f>IF($B1297="","",VLOOKUP($B1297,Jogos!$A$2:$K$105,9,FALSE))</f>
        <v/>
      </c>
      <c r="H1297" s="8">
        <f>IF($B1297="","",VLOOKUP($B1297,Jogos!$A$2:$K$105,11,FALSE))</f>
        <v/>
      </c>
      <c r="I1297" s="5">
        <f>IF(OR($A1297="", $B1297="", $E1297="", $F1297="", $G1297="", $H1297=""), "",IF(AND($E1297=$G1297, $F1297=$H1297), 3, IF(SIGN($E1297-$F1297)=SIGN($G1297-$H1297), 1, 0))))</f>
        <v/>
      </c>
    </row>
    <row r="1298">
      <c r="A1298" s="5" t="inlineStr"/>
      <c r="B1298" s="5" t="inlineStr"/>
      <c r="C1298" s="5">
        <f>IF($B1298="","",VLOOKUP($B1298,Jogos!$A$2:$K$105,8,FALSE))</f>
        <v/>
      </c>
      <c r="D1298" s="5">
        <f>IF($B1298="","",VLOOKUP($B1298,Jogos!$A$2:$K$105,10,FALSE))</f>
        <v/>
      </c>
      <c r="E1298" s="5" t="inlineStr"/>
      <c r="F1298" s="5" t="inlineStr"/>
      <c r="G1298" s="8">
        <f>IF($B1298="","",VLOOKUP($B1298,Jogos!$A$2:$K$105,9,FALSE))</f>
        <v/>
      </c>
      <c r="H1298" s="8">
        <f>IF($B1298="","",VLOOKUP($B1298,Jogos!$A$2:$K$105,11,FALSE))</f>
        <v/>
      </c>
      <c r="I1298" s="5">
        <f>IF(OR($A1298="", $B1298="", $E1298="", $F1298="", $G1298="", $H1298=""), "",IF(AND($E1298=$G1298, $F1298=$H1298), 3, IF(SIGN($E1298-$F1298)=SIGN($G1298-$H1298), 1, 0))))</f>
        <v/>
      </c>
    </row>
    <row r="1299">
      <c r="A1299" s="5" t="inlineStr"/>
      <c r="B1299" s="5" t="inlineStr"/>
      <c r="C1299" s="5">
        <f>IF($B1299="","",VLOOKUP($B1299,Jogos!$A$2:$K$105,8,FALSE))</f>
        <v/>
      </c>
      <c r="D1299" s="5">
        <f>IF($B1299="","",VLOOKUP($B1299,Jogos!$A$2:$K$105,10,FALSE))</f>
        <v/>
      </c>
      <c r="E1299" s="5" t="inlineStr"/>
      <c r="F1299" s="5" t="inlineStr"/>
      <c r="G1299" s="8">
        <f>IF($B1299="","",VLOOKUP($B1299,Jogos!$A$2:$K$105,9,FALSE))</f>
        <v/>
      </c>
      <c r="H1299" s="8">
        <f>IF($B1299="","",VLOOKUP($B1299,Jogos!$A$2:$K$105,11,FALSE))</f>
        <v/>
      </c>
      <c r="I1299" s="5">
        <f>IF(OR($A1299="", $B1299="", $E1299="", $F1299="", $G1299="", $H1299=""), "",IF(AND($E1299=$G1299, $F1299=$H1299), 3, IF(SIGN($E1299-$F1299)=SIGN($G1299-$H1299), 1, 0))))</f>
        <v/>
      </c>
    </row>
    <row r="1300">
      <c r="A1300" s="5" t="inlineStr"/>
      <c r="B1300" s="5" t="inlineStr"/>
      <c r="C1300" s="5">
        <f>IF($B1300="","",VLOOKUP($B1300,Jogos!$A$2:$K$105,8,FALSE))</f>
        <v/>
      </c>
      <c r="D1300" s="5">
        <f>IF($B1300="","",VLOOKUP($B1300,Jogos!$A$2:$K$105,10,FALSE))</f>
        <v/>
      </c>
      <c r="E1300" s="5" t="inlineStr"/>
      <c r="F1300" s="5" t="inlineStr"/>
      <c r="G1300" s="8">
        <f>IF($B1300="","",VLOOKUP($B1300,Jogos!$A$2:$K$105,9,FALSE))</f>
        <v/>
      </c>
      <c r="H1300" s="8">
        <f>IF($B1300="","",VLOOKUP($B1300,Jogos!$A$2:$K$105,11,FALSE))</f>
        <v/>
      </c>
      <c r="I1300" s="5">
        <f>IF(OR($A1300="", $B1300="", $E1300="", $F1300="", $G1300="", $H1300=""), "",IF(AND($E1300=$G1300, $F1300=$H1300), 3, IF(SIGN($E1300-$F1300)=SIGN($G1300-$H1300), 1, 0))))</f>
        <v/>
      </c>
    </row>
    <row r="1301">
      <c r="A1301" s="5" t="inlineStr"/>
      <c r="B1301" s="5" t="inlineStr"/>
      <c r="C1301" s="5">
        <f>IF($B1301="","",VLOOKUP($B1301,Jogos!$A$2:$K$105,8,FALSE))</f>
        <v/>
      </c>
      <c r="D1301" s="5">
        <f>IF($B1301="","",VLOOKUP($B1301,Jogos!$A$2:$K$105,10,FALSE))</f>
        <v/>
      </c>
      <c r="E1301" s="5" t="inlineStr"/>
      <c r="F1301" s="5" t="inlineStr"/>
      <c r="G1301" s="8">
        <f>IF($B1301="","",VLOOKUP($B1301,Jogos!$A$2:$K$105,9,FALSE))</f>
        <v/>
      </c>
      <c r="H1301" s="8">
        <f>IF($B1301="","",VLOOKUP($B1301,Jogos!$A$2:$K$105,11,FALSE))</f>
        <v/>
      </c>
      <c r="I1301" s="5">
        <f>IF(OR($A1301="", $B1301="", $E1301="", $F1301="", $G1301="", $H1301=""), "",IF(AND($E1301=$G1301, $F1301=$H1301), 3, IF(SIGN($E1301-$F1301)=SIGN($G1301-$H1301), 1, 0))))</f>
        <v/>
      </c>
    </row>
    <row r="1302">
      <c r="A1302" s="5" t="inlineStr"/>
      <c r="B1302" s="5" t="inlineStr"/>
      <c r="C1302" s="5">
        <f>IF($B1302="","",VLOOKUP($B1302,Jogos!$A$2:$K$105,8,FALSE))</f>
        <v/>
      </c>
      <c r="D1302" s="5">
        <f>IF($B1302="","",VLOOKUP($B1302,Jogos!$A$2:$K$105,10,FALSE))</f>
        <v/>
      </c>
      <c r="E1302" s="5" t="inlineStr"/>
      <c r="F1302" s="5" t="inlineStr"/>
      <c r="G1302" s="8">
        <f>IF($B1302="","",VLOOKUP($B1302,Jogos!$A$2:$K$105,9,FALSE))</f>
        <v/>
      </c>
      <c r="H1302" s="8">
        <f>IF($B1302="","",VLOOKUP($B1302,Jogos!$A$2:$K$105,11,FALSE))</f>
        <v/>
      </c>
      <c r="I1302" s="5">
        <f>IF(OR($A1302="", $B1302="", $E1302="", $F1302="", $G1302="", $H1302=""), "",IF(AND($E1302=$G1302, $F1302=$H1302), 3, IF(SIGN($E1302-$F1302)=SIGN($G1302-$H1302), 1, 0))))</f>
        <v/>
      </c>
    </row>
    <row r="1303">
      <c r="A1303" s="5" t="inlineStr"/>
      <c r="B1303" s="5" t="inlineStr"/>
      <c r="C1303" s="5">
        <f>IF($B1303="","",VLOOKUP($B1303,Jogos!$A$2:$K$105,8,FALSE))</f>
        <v/>
      </c>
      <c r="D1303" s="5">
        <f>IF($B1303="","",VLOOKUP($B1303,Jogos!$A$2:$K$105,10,FALSE))</f>
        <v/>
      </c>
      <c r="E1303" s="5" t="inlineStr"/>
      <c r="F1303" s="5" t="inlineStr"/>
      <c r="G1303" s="8">
        <f>IF($B1303="","",VLOOKUP($B1303,Jogos!$A$2:$K$105,9,FALSE))</f>
        <v/>
      </c>
      <c r="H1303" s="8">
        <f>IF($B1303="","",VLOOKUP($B1303,Jogos!$A$2:$K$105,11,FALSE))</f>
        <v/>
      </c>
      <c r="I1303" s="5">
        <f>IF(OR($A1303="", $B1303="", $E1303="", $F1303="", $G1303="", $H1303=""), "",IF(AND($E1303=$G1303, $F1303=$H1303), 3, IF(SIGN($E1303-$F1303)=SIGN($G1303-$H1303), 1, 0))))</f>
        <v/>
      </c>
    </row>
    <row r="1304">
      <c r="A1304" s="5" t="inlineStr"/>
      <c r="B1304" s="5" t="inlineStr"/>
      <c r="C1304" s="5">
        <f>IF($B1304="","",VLOOKUP($B1304,Jogos!$A$2:$K$105,8,FALSE))</f>
        <v/>
      </c>
      <c r="D1304" s="5">
        <f>IF($B1304="","",VLOOKUP($B1304,Jogos!$A$2:$K$105,10,FALSE))</f>
        <v/>
      </c>
      <c r="E1304" s="5" t="inlineStr"/>
      <c r="F1304" s="5" t="inlineStr"/>
      <c r="G1304" s="8">
        <f>IF($B1304="","",VLOOKUP($B1304,Jogos!$A$2:$K$105,9,FALSE))</f>
        <v/>
      </c>
      <c r="H1304" s="8">
        <f>IF($B1304="","",VLOOKUP($B1304,Jogos!$A$2:$K$105,11,FALSE))</f>
        <v/>
      </c>
      <c r="I1304" s="5">
        <f>IF(OR($A1304="", $B1304="", $E1304="", $F1304="", $G1304="", $H1304=""), "",IF(AND($E1304=$G1304, $F1304=$H1304), 3, IF(SIGN($E1304-$F1304)=SIGN($G1304-$H1304), 1, 0))))</f>
        <v/>
      </c>
    </row>
    <row r="1305">
      <c r="A1305" s="5" t="inlineStr"/>
      <c r="B1305" s="5" t="inlineStr"/>
      <c r="C1305" s="5">
        <f>IF($B1305="","",VLOOKUP($B1305,Jogos!$A$2:$K$105,8,FALSE))</f>
        <v/>
      </c>
      <c r="D1305" s="5">
        <f>IF($B1305="","",VLOOKUP($B1305,Jogos!$A$2:$K$105,10,FALSE))</f>
        <v/>
      </c>
      <c r="E1305" s="5" t="inlineStr"/>
      <c r="F1305" s="5" t="inlineStr"/>
      <c r="G1305" s="8">
        <f>IF($B1305="","",VLOOKUP($B1305,Jogos!$A$2:$K$105,9,FALSE))</f>
        <v/>
      </c>
      <c r="H1305" s="8">
        <f>IF($B1305="","",VLOOKUP($B1305,Jogos!$A$2:$K$105,11,FALSE))</f>
        <v/>
      </c>
      <c r="I1305" s="5">
        <f>IF(OR($A1305="", $B1305="", $E1305="", $F1305="", $G1305="", $H1305=""), "",IF(AND($E1305=$G1305, $F1305=$H1305), 3, IF(SIGN($E1305-$F1305)=SIGN($G1305-$H1305), 1, 0))))</f>
        <v/>
      </c>
    </row>
    <row r="1306">
      <c r="A1306" s="5" t="inlineStr"/>
      <c r="B1306" s="5" t="inlineStr"/>
      <c r="C1306" s="5">
        <f>IF($B1306="","",VLOOKUP($B1306,Jogos!$A$2:$K$105,8,FALSE))</f>
        <v/>
      </c>
      <c r="D1306" s="5">
        <f>IF($B1306="","",VLOOKUP($B1306,Jogos!$A$2:$K$105,10,FALSE))</f>
        <v/>
      </c>
      <c r="E1306" s="5" t="inlineStr"/>
      <c r="F1306" s="5" t="inlineStr"/>
      <c r="G1306" s="8">
        <f>IF($B1306="","",VLOOKUP($B1306,Jogos!$A$2:$K$105,9,FALSE))</f>
        <v/>
      </c>
      <c r="H1306" s="8">
        <f>IF($B1306="","",VLOOKUP($B1306,Jogos!$A$2:$K$105,11,FALSE))</f>
        <v/>
      </c>
      <c r="I1306" s="5">
        <f>IF(OR($A1306="", $B1306="", $E1306="", $F1306="", $G1306="", $H1306=""), "",IF(AND($E1306=$G1306, $F1306=$H1306), 3, IF(SIGN($E1306-$F1306)=SIGN($G1306-$H1306), 1, 0))))</f>
        <v/>
      </c>
    </row>
    <row r="1307">
      <c r="A1307" s="5" t="inlineStr"/>
      <c r="B1307" s="5" t="inlineStr"/>
      <c r="C1307" s="5">
        <f>IF($B1307="","",VLOOKUP($B1307,Jogos!$A$2:$K$105,8,FALSE))</f>
        <v/>
      </c>
      <c r="D1307" s="5">
        <f>IF($B1307="","",VLOOKUP($B1307,Jogos!$A$2:$K$105,10,FALSE))</f>
        <v/>
      </c>
      <c r="E1307" s="5" t="inlineStr"/>
      <c r="F1307" s="5" t="inlineStr"/>
      <c r="G1307" s="8">
        <f>IF($B1307="","",VLOOKUP($B1307,Jogos!$A$2:$K$105,9,FALSE))</f>
        <v/>
      </c>
      <c r="H1307" s="8">
        <f>IF($B1307="","",VLOOKUP($B1307,Jogos!$A$2:$K$105,11,FALSE))</f>
        <v/>
      </c>
      <c r="I1307" s="5">
        <f>IF(OR($A1307="", $B1307="", $E1307="", $F1307="", $G1307="", $H1307=""), "",IF(AND($E1307=$G1307, $F1307=$H1307), 3, IF(SIGN($E1307-$F1307)=SIGN($G1307-$H1307), 1, 0))))</f>
        <v/>
      </c>
    </row>
    <row r="1308">
      <c r="A1308" s="5" t="inlineStr"/>
      <c r="B1308" s="5" t="inlineStr"/>
      <c r="C1308" s="5">
        <f>IF($B1308="","",VLOOKUP($B1308,Jogos!$A$2:$K$105,8,FALSE))</f>
        <v/>
      </c>
      <c r="D1308" s="5">
        <f>IF($B1308="","",VLOOKUP($B1308,Jogos!$A$2:$K$105,10,FALSE))</f>
        <v/>
      </c>
      <c r="E1308" s="5" t="inlineStr"/>
      <c r="F1308" s="5" t="inlineStr"/>
      <c r="G1308" s="8">
        <f>IF($B1308="","",VLOOKUP($B1308,Jogos!$A$2:$K$105,9,FALSE))</f>
        <v/>
      </c>
      <c r="H1308" s="8">
        <f>IF($B1308="","",VLOOKUP($B1308,Jogos!$A$2:$K$105,11,FALSE))</f>
        <v/>
      </c>
      <c r="I1308" s="5">
        <f>IF(OR($A1308="", $B1308="", $E1308="", $F1308="", $G1308="", $H1308=""), "",IF(AND($E1308=$G1308, $F1308=$H1308), 3, IF(SIGN($E1308-$F1308)=SIGN($G1308-$H1308), 1, 0))))</f>
        <v/>
      </c>
    </row>
    <row r="1309">
      <c r="A1309" s="5" t="inlineStr"/>
      <c r="B1309" s="5" t="inlineStr"/>
      <c r="C1309" s="5">
        <f>IF($B1309="","",VLOOKUP($B1309,Jogos!$A$2:$K$105,8,FALSE))</f>
        <v/>
      </c>
      <c r="D1309" s="5">
        <f>IF($B1309="","",VLOOKUP($B1309,Jogos!$A$2:$K$105,10,FALSE))</f>
        <v/>
      </c>
      <c r="E1309" s="5" t="inlineStr"/>
      <c r="F1309" s="5" t="inlineStr"/>
      <c r="G1309" s="8">
        <f>IF($B1309="","",VLOOKUP($B1309,Jogos!$A$2:$K$105,9,FALSE))</f>
        <v/>
      </c>
      <c r="H1309" s="8">
        <f>IF($B1309="","",VLOOKUP($B1309,Jogos!$A$2:$K$105,11,FALSE))</f>
        <v/>
      </c>
      <c r="I1309" s="5">
        <f>IF(OR($A1309="", $B1309="", $E1309="", $F1309="", $G1309="", $H1309=""), "",IF(AND($E1309=$G1309, $F1309=$H1309), 3, IF(SIGN($E1309-$F1309)=SIGN($G1309-$H1309), 1, 0))))</f>
        <v/>
      </c>
    </row>
    <row r="1310">
      <c r="A1310" s="5" t="inlineStr"/>
      <c r="B1310" s="5" t="inlineStr"/>
      <c r="C1310" s="5">
        <f>IF($B1310="","",VLOOKUP($B1310,Jogos!$A$2:$K$105,8,FALSE))</f>
        <v/>
      </c>
      <c r="D1310" s="5">
        <f>IF($B1310="","",VLOOKUP($B1310,Jogos!$A$2:$K$105,10,FALSE))</f>
        <v/>
      </c>
      <c r="E1310" s="5" t="inlineStr"/>
      <c r="F1310" s="5" t="inlineStr"/>
      <c r="G1310" s="8">
        <f>IF($B1310="","",VLOOKUP($B1310,Jogos!$A$2:$K$105,9,FALSE))</f>
        <v/>
      </c>
      <c r="H1310" s="8">
        <f>IF($B1310="","",VLOOKUP($B1310,Jogos!$A$2:$K$105,11,FALSE))</f>
        <v/>
      </c>
      <c r="I1310" s="5">
        <f>IF(OR($A1310="", $B1310="", $E1310="", $F1310="", $G1310="", $H1310=""), "",IF(AND($E1310=$G1310, $F1310=$H1310), 3, IF(SIGN($E1310-$F1310)=SIGN($G1310-$H1310), 1, 0))))</f>
        <v/>
      </c>
    </row>
    <row r="1311">
      <c r="A1311" s="5" t="inlineStr"/>
      <c r="B1311" s="5" t="inlineStr"/>
      <c r="C1311" s="5">
        <f>IF($B1311="","",VLOOKUP($B1311,Jogos!$A$2:$K$105,8,FALSE))</f>
        <v/>
      </c>
      <c r="D1311" s="5">
        <f>IF($B1311="","",VLOOKUP($B1311,Jogos!$A$2:$K$105,10,FALSE))</f>
        <v/>
      </c>
      <c r="E1311" s="5" t="inlineStr"/>
      <c r="F1311" s="5" t="inlineStr"/>
      <c r="G1311" s="8">
        <f>IF($B1311="","",VLOOKUP($B1311,Jogos!$A$2:$K$105,9,FALSE))</f>
        <v/>
      </c>
      <c r="H1311" s="8">
        <f>IF($B1311="","",VLOOKUP($B1311,Jogos!$A$2:$K$105,11,FALSE))</f>
        <v/>
      </c>
      <c r="I1311" s="5">
        <f>IF(OR($A1311="", $B1311="", $E1311="", $F1311="", $G1311="", $H1311=""), "",IF(AND($E1311=$G1311, $F1311=$H1311), 3, IF(SIGN($E1311-$F1311)=SIGN($G1311-$H1311), 1, 0))))</f>
        <v/>
      </c>
    </row>
    <row r="1312">
      <c r="A1312" s="5" t="inlineStr"/>
      <c r="B1312" s="5" t="inlineStr"/>
      <c r="C1312" s="5">
        <f>IF($B1312="","",VLOOKUP($B1312,Jogos!$A$2:$K$105,8,FALSE))</f>
        <v/>
      </c>
      <c r="D1312" s="5">
        <f>IF($B1312="","",VLOOKUP($B1312,Jogos!$A$2:$K$105,10,FALSE))</f>
        <v/>
      </c>
      <c r="E1312" s="5" t="inlineStr"/>
      <c r="F1312" s="5" t="inlineStr"/>
      <c r="G1312" s="8">
        <f>IF($B1312="","",VLOOKUP($B1312,Jogos!$A$2:$K$105,9,FALSE))</f>
        <v/>
      </c>
      <c r="H1312" s="8">
        <f>IF($B1312="","",VLOOKUP($B1312,Jogos!$A$2:$K$105,11,FALSE))</f>
        <v/>
      </c>
      <c r="I1312" s="5">
        <f>IF(OR($A1312="", $B1312="", $E1312="", $F1312="", $G1312="", $H1312=""), "",IF(AND($E1312=$G1312, $F1312=$H1312), 3, IF(SIGN($E1312-$F1312)=SIGN($G1312-$H1312), 1, 0))))</f>
        <v/>
      </c>
    </row>
    <row r="1313">
      <c r="A1313" s="5" t="inlineStr"/>
      <c r="B1313" s="5" t="inlineStr"/>
      <c r="C1313" s="5">
        <f>IF($B1313="","",VLOOKUP($B1313,Jogos!$A$2:$K$105,8,FALSE))</f>
        <v/>
      </c>
      <c r="D1313" s="5">
        <f>IF($B1313="","",VLOOKUP($B1313,Jogos!$A$2:$K$105,10,FALSE))</f>
        <v/>
      </c>
      <c r="E1313" s="5" t="inlineStr"/>
      <c r="F1313" s="5" t="inlineStr"/>
      <c r="G1313" s="8">
        <f>IF($B1313="","",VLOOKUP($B1313,Jogos!$A$2:$K$105,9,FALSE))</f>
        <v/>
      </c>
      <c r="H1313" s="8">
        <f>IF($B1313="","",VLOOKUP($B1313,Jogos!$A$2:$K$105,11,FALSE))</f>
        <v/>
      </c>
      <c r="I1313" s="5">
        <f>IF(OR($A1313="", $B1313="", $E1313="", $F1313="", $G1313="", $H1313=""), "",IF(AND($E1313=$G1313, $F1313=$H1313), 3, IF(SIGN($E1313-$F1313)=SIGN($G1313-$H1313), 1, 0))))</f>
        <v/>
      </c>
    </row>
    <row r="1314">
      <c r="A1314" s="5" t="inlineStr"/>
      <c r="B1314" s="5" t="inlineStr"/>
      <c r="C1314" s="5">
        <f>IF($B1314="","",VLOOKUP($B1314,Jogos!$A$2:$K$105,8,FALSE))</f>
        <v/>
      </c>
      <c r="D1314" s="5">
        <f>IF($B1314="","",VLOOKUP($B1314,Jogos!$A$2:$K$105,10,FALSE))</f>
        <v/>
      </c>
      <c r="E1314" s="5" t="inlineStr"/>
      <c r="F1314" s="5" t="inlineStr"/>
      <c r="G1314" s="8">
        <f>IF($B1314="","",VLOOKUP($B1314,Jogos!$A$2:$K$105,9,FALSE))</f>
        <v/>
      </c>
      <c r="H1314" s="8">
        <f>IF($B1314="","",VLOOKUP($B1314,Jogos!$A$2:$K$105,11,FALSE))</f>
        <v/>
      </c>
      <c r="I1314" s="5">
        <f>IF(OR($A1314="", $B1314="", $E1314="", $F1314="", $G1314="", $H1314=""), "",IF(AND($E1314=$G1314, $F1314=$H1314), 3, IF(SIGN($E1314-$F1314)=SIGN($G1314-$H1314), 1, 0))))</f>
        <v/>
      </c>
    </row>
    <row r="1315">
      <c r="A1315" s="5" t="inlineStr"/>
      <c r="B1315" s="5" t="inlineStr"/>
      <c r="C1315" s="5">
        <f>IF($B1315="","",VLOOKUP($B1315,Jogos!$A$2:$K$105,8,FALSE))</f>
        <v/>
      </c>
      <c r="D1315" s="5">
        <f>IF($B1315="","",VLOOKUP($B1315,Jogos!$A$2:$K$105,10,FALSE))</f>
        <v/>
      </c>
      <c r="E1315" s="5" t="inlineStr"/>
      <c r="F1315" s="5" t="inlineStr"/>
      <c r="G1315" s="8">
        <f>IF($B1315="","",VLOOKUP($B1315,Jogos!$A$2:$K$105,9,FALSE))</f>
        <v/>
      </c>
      <c r="H1315" s="8">
        <f>IF($B1315="","",VLOOKUP($B1315,Jogos!$A$2:$K$105,11,FALSE))</f>
        <v/>
      </c>
      <c r="I1315" s="5">
        <f>IF(OR($A1315="", $B1315="", $E1315="", $F1315="", $G1315="", $H1315=""), "",IF(AND($E1315=$G1315, $F1315=$H1315), 3, IF(SIGN($E1315-$F1315)=SIGN($G1315-$H1315), 1, 0))))</f>
        <v/>
      </c>
    </row>
    <row r="1316">
      <c r="A1316" s="5" t="inlineStr"/>
      <c r="B1316" s="5" t="inlineStr"/>
      <c r="C1316" s="5">
        <f>IF($B1316="","",VLOOKUP($B1316,Jogos!$A$2:$K$105,8,FALSE))</f>
        <v/>
      </c>
      <c r="D1316" s="5">
        <f>IF($B1316="","",VLOOKUP($B1316,Jogos!$A$2:$K$105,10,FALSE))</f>
        <v/>
      </c>
      <c r="E1316" s="5" t="inlineStr"/>
      <c r="F1316" s="5" t="inlineStr"/>
      <c r="G1316" s="8">
        <f>IF($B1316="","",VLOOKUP($B1316,Jogos!$A$2:$K$105,9,FALSE))</f>
        <v/>
      </c>
      <c r="H1316" s="8">
        <f>IF($B1316="","",VLOOKUP($B1316,Jogos!$A$2:$K$105,11,FALSE))</f>
        <v/>
      </c>
      <c r="I1316" s="5">
        <f>IF(OR($A1316="", $B1316="", $E1316="", $F1316="", $G1316="", $H1316=""), "",IF(AND($E1316=$G1316, $F1316=$H1316), 3, IF(SIGN($E1316-$F1316)=SIGN($G1316-$H1316), 1, 0))))</f>
        <v/>
      </c>
    </row>
    <row r="1317">
      <c r="A1317" s="5" t="inlineStr"/>
      <c r="B1317" s="5" t="inlineStr"/>
      <c r="C1317" s="5">
        <f>IF($B1317="","",VLOOKUP($B1317,Jogos!$A$2:$K$105,8,FALSE))</f>
        <v/>
      </c>
      <c r="D1317" s="5">
        <f>IF($B1317="","",VLOOKUP($B1317,Jogos!$A$2:$K$105,10,FALSE))</f>
        <v/>
      </c>
      <c r="E1317" s="5" t="inlineStr"/>
      <c r="F1317" s="5" t="inlineStr"/>
      <c r="G1317" s="8">
        <f>IF($B1317="","",VLOOKUP($B1317,Jogos!$A$2:$K$105,9,FALSE))</f>
        <v/>
      </c>
      <c r="H1317" s="8">
        <f>IF($B1317="","",VLOOKUP($B1317,Jogos!$A$2:$K$105,11,FALSE))</f>
        <v/>
      </c>
      <c r="I1317" s="5">
        <f>IF(OR($A1317="", $B1317="", $E1317="", $F1317="", $G1317="", $H1317=""), "",IF(AND($E1317=$G1317, $F1317=$H1317), 3, IF(SIGN($E1317-$F1317)=SIGN($G1317-$H1317), 1, 0))))</f>
        <v/>
      </c>
    </row>
    <row r="1318">
      <c r="A1318" s="5" t="inlineStr"/>
      <c r="B1318" s="5" t="inlineStr"/>
      <c r="C1318" s="5">
        <f>IF($B1318="","",VLOOKUP($B1318,Jogos!$A$2:$K$105,8,FALSE))</f>
        <v/>
      </c>
      <c r="D1318" s="5">
        <f>IF($B1318="","",VLOOKUP($B1318,Jogos!$A$2:$K$105,10,FALSE))</f>
        <v/>
      </c>
      <c r="E1318" s="5" t="inlineStr"/>
      <c r="F1318" s="5" t="inlineStr"/>
      <c r="G1318" s="8">
        <f>IF($B1318="","",VLOOKUP($B1318,Jogos!$A$2:$K$105,9,FALSE))</f>
        <v/>
      </c>
      <c r="H1318" s="8">
        <f>IF($B1318="","",VLOOKUP($B1318,Jogos!$A$2:$K$105,11,FALSE))</f>
        <v/>
      </c>
      <c r="I1318" s="5">
        <f>IF(OR($A1318="", $B1318="", $E1318="", $F1318="", $G1318="", $H1318=""), "",IF(AND($E1318=$G1318, $F1318=$H1318), 3, IF(SIGN($E1318-$F1318)=SIGN($G1318-$H1318), 1, 0))))</f>
        <v/>
      </c>
    </row>
    <row r="1319">
      <c r="A1319" s="5" t="inlineStr"/>
      <c r="B1319" s="5" t="inlineStr"/>
      <c r="C1319" s="5">
        <f>IF($B1319="","",VLOOKUP($B1319,Jogos!$A$2:$K$105,8,FALSE))</f>
        <v/>
      </c>
      <c r="D1319" s="5">
        <f>IF($B1319="","",VLOOKUP($B1319,Jogos!$A$2:$K$105,10,FALSE))</f>
        <v/>
      </c>
      <c r="E1319" s="5" t="inlineStr"/>
      <c r="F1319" s="5" t="inlineStr"/>
      <c r="G1319" s="8">
        <f>IF($B1319="","",VLOOKUP($B1319,Jogos!$A$2:$K$105,9,FALSE))</f>
        <v/>
      </c>
      <c r="H1319" s="8">
        <f>IF($B1319="","",VLOOKUP($B1319,Jogos!$A$2:$K$105,11,FALSE))</f>
        <v/>
      </c>
      <c r="I1319" s="5">
        <f>IF(OR($A1319="", $B1319="", $E1319="", $F1319="", $G1319="", $H1319=""), "",IF(AND($E1319=$G1319, $F1319=$H1319), 3, IF(SIGN($E1319-$F1319)=SIGN($G1319-$H1319), 1, 0))))</f>
        <v/>
      </c>
    </row>
    <row r="1320">
      <c r="A1320" s="5" t="inlineStr"/>
      <c r="B1320" s="5" t="inlineStr"/>
      <c r="C1320" s="5">
        <f>IF($B1320="","",VLOOKUP($B1320,Jogos!$A$2:$K$105,8,FALSE))</f>
        <v/>
      </c>
      <c r="D1320" s="5">
        <f>IF($B1320="","",VLOOKUP($B1320,Jogos!$A$2:$K$105,10,FALSE))</f>
        <v/>
      </c>
      <c r="E1320" s="5" t="inlineStr"/>
      <c r="F1320" s="5" t="inlineStr"/>
      <c r="G1320" s="8">
        <f>IF($B1320="","",VLOOKUP($B1320,Jogos!$A$2:$K$105,9,FALSE))</f>
        <v/>
      </c>
      <c r="H1320" s="8">
        <f>IF($B1320="","",VLOOKUP($B1320,Jogos!$A$2:$K$105,11,FALSE))</f>
        <v/>
      </c>
      <c r="I1320" s="5">
        <f>IF(OR($A1320="", $B1320="", $E1320="", $F1320="", $G1320="", $H1320=""), "",IF(AND($E1320=$G1320, $F1320=$H1320), 3, IF(SIGN($E1320-$F1320)=SIGN($G1320-$H1320), 1, 0))))</f>
        <v/>
      </c>
    </row>
    <row r="1321">
      <c r="A1321" s="5" t="inlineStr"/>
      <c r="B1321" s="5" t="inlineStr"/>
      <c r="C1321" s="5">
        <f>IF($B1321="","",VLOOKUP($B1321,Jogos!$A$2:$K$105,8,FALSE))</f>
        <v/>
      </c>
      <c r="D1321" s="5">
        <f>IF($B1321="","",VLOOKUP($B1321,Jogos!$A$2:$K$105,10,FALSE))</f>
        <v/>
      </c>
      <c r="E1321" s="5" t="inlineStr"/>
      <c r="F1321" s="5" t="inlineStr"/>
      <c r="G1321" s="8">
        <f>IF($B1321="","",VLOOKUP($B1321,Jogos!$A$2:$K$105,9,FALSE))</f>
        <v/>
      </c>
      <c r="H1321" s="8">
        <f>IF($B1321="","",VLOOKUP($B1321,Jogos!$A$2:$K$105,11,FALSE))</f>
        <v/>
      </c>
      <c r="I1321" s="5">
        <f>IF(OR($A1321="", $B1321="", $E1321="", $F1321="", $G1321="", $H1321=""), "",IF(AND($E1321=$G1321, $F1321=$H1321), 3, IF(SIGN($E1321-$F1321)=SIGN($G1321-$H1321), 1, 0))))</f>
        <v/>
      </c>
    </row>
    <row r="1322">
      <c r="A1322" s="5" t="inlineStr"/>
      <c r="B1322" s="5" t="inlineStr"/>
      <c r="C1322" s="5">
        <f>IF($B1322="","",VLOOKUP($B1322,Jogos!$A$2:$K$105,8,FALSE))</f>
        <v/>
      </c>
      <c r="D1322" s="5">
        <f>IF($B1322="","",VLOOKUP($B1322,Jogos!$A$2:$K$105,10,FALSE))</f>
        <v/>
      </c>
      <c r="E1322" s="5" t="inlineStr"/>
      <c r="F1322" s="5" t="inlineStr"/>
      <c r="G1322" s="8">
        <f>IF($B1322="","",VLOOKUP($B1322,Jogos!$A$2:$K$105,9,FALSE))</f>
        <v/>
      </c>
      <c r="H1322" s="8">
        <f>IF($B1322="","",VLOOKUP($B1322,Jogos!$A$2:$K$105,11,FALSE))</f>
        <v/>
      </c>
      <c r="I1322" s="5">
        <f>IF(OR($A1322="", $B1322="", $E1322="", $F1322="", $G1322="", $H1322=""), "",IF(AND($E1322=$G1322, $F1322=$H1322), 3, IF(SIGN($E1322-$F1322)=SIGN($G1322-$H1322), 1, 0))))</f>
        <v/>
      </c>
    </row>
    <row r="1323">
      <c r="A1323" s="5" t="inlineStr"/>
      <c r="B1323" s="5" t="inlineStr"/>
      <c r="C1323" s="5">
        <f>IF($B1323="","",VLOOKUP($B1323,Jogos!$A$2:$K$105,8,FALSE))</f>
        <v/>
      </c>
      <c r="D1323" s="5">
        <f>IF($B1323="","",VLOOKUP($B1323,Jogos!$A$2:$K$105,10,FALSE))</f>
        <v/>
      </c>
      <c r="E1323" s="5" t="inlineStr"/>
      <c r="F1323" s="5" t="inlineStr"/>
      <c r="G1323" s="8">
        <f>IF($B1323="","",VLOOKUP($B1323,Jogos!$A$2:$K$105,9,FALSE))</f>
        <v/>
      </c>
      <c r="H1323" s="8">
        <f>IF($B1323="","",VLOOKUP($B1323,Jogos!$A$2:$K$105,11,FALSE))</f>
        <v/>
      </c>
      <c r="I1323" s="5">
        <f>IF(OR($A1323="", $B1323="", $E1323="", $F1323="", $G1323="", $H1323=""), "",IF(AND($E1323=$G1323, $F1323=$H1323), 3, IF(SIGN($E1323-$F1323)=SIGN($G1323-$H1323), 1, 0))))</f>
        <v/>
      </c>
    </row>
    <row r="1324">
      <c r="A1324" s="5" t="inlineStr"/>
      <c r="B1324" s="5" t="inlineStr"/>
      <c r="C1324" s="5">
        <f>IF($B1324="","",VLOOKUP($B1324,Jogos!$A$2:$K$105,8,FALSE))</f>
        <v/>
      </c>
      <c r="D1324" s="5">
        <f>IF($B1324="","",VLOOKUP($B1324,Jogos!$A$2:$K$105,10,FALSE))</f>
        <v/>
      </c>
      <c r="E1324" s="5" t="inlineStr"/>
      <c r="F1324" s="5" t="inlineStr"/>
      <c r="G1324" s="8">
        <f>IF($B1324="","",VLOOKUP($B1324,Jogos!$A$2:$K$105,9,FALSE))</f>
        <v/>
      </c>
      <c r="H1324" s="8">
        <f>IF($B1324="","",VLOOKUP($B1324,Jogos!$A$2:$K$105,11,FALSE))</f>
        <v/>
      </c>
      <c r="I1324" s="5">
        <f>IF(OR($A1324="", $B1324="", $E1324="", $F1324="", $G1324="", $H1324=""), "",IF(AND($E1324=$G1324, $F1324=$H1324), 3, IF(SIGN($E1324-$F1324)=SIGN($G1324-$H1324), 1, 0))))</f>
        <v/>
      </c>
    </row>
    <row r="1325">
      <c r="A1325" s="5" t="inlineStr"/>
      <c r="B1325" s="5" t="inlineStr"/>
      <c r="C1325" s="5">
        <f>IF($B1325="","",VLOOKUP($B1325,Jogos!$A$2:$K$105,8,FALSE))</f>
        <v/>
      </c>
      <c r="D1325" s="5">
        <f>IF($B1325="","",VLOOKUP($B1325,Jogos!$A$2:$K$105,10,FALSE))</f>
        <v/>
      </c>
      <c r="E1325" s="5" t="inlineStr"/>
      <c r="F1325" s="5" t="inlineStr"/>
      <c r="G1325" s="8">
        <f>IF($B1325="","",VLOOKUP($B1325,Jogos!$A$2:$K$105,9,FALSE))</f>
        <v/>
      </c>
      <c r="H1325" s="8">
        <f>IF($B1325="","",VLOOKUP($B1325,Jogos!$A$2:$K$105,11,FALSE))</f>
        <v/>
      </c>
      <c r="I1325" s="5">
        <f>IF(OR($A1325="", $B1325="", $E1325="", $F1325="", $G1325="", $H1325=""), "",IF(AND($E1325=$G1325, $F1325=$H1325), 3, IF(SIGN($E1325-$F1325)=SIGN($G1325-$H1325), 1, 0))))</f>
        <v/>
      </c>
    </row>
    <row r="1326">
      <c r="A1326" s="5" t="inlineStr"/>
      <c r="B1326" s="5" t="inlineStr"/>
      <c r="C1326" s="5">
        <f>IF($B1326="","",VLOOKUP($B1326,Jogos!$A$2:$K$105,8,FALSE))</f>
        <v/>
      </c>
      <c r="D1326" s="5">
        <f>IF($B1326="","",VLOOKUP($B1326,Jogos!$A$2:$K$105,10,FALSE))</f>
        <v/>
      </c>
      <c r="E1326" s="5" t="inlineStr"/>
      <c r="F1326" s="5" t="inlineStr"/>
      <c r="G1326" s="8">
        <f>IF($B1326="","",VLOOKUP($B1326,Jogos!$A$2:$K$105,9,FALSE))</f>
        <v/>
      </c>
      <c r="H1326" s="8">
        <f>IF($B1326="","",VLOOKUP($B1326,Jogos!$A$2:$K$105,11,FALSE))</f>
        <v/>
      </c>
      <c r="I1326" s="5">
        <f>IF(OR($A1326="", $B1326="", $E1326="", $F1326="", $G1326="", $H1326=""), "",IF(AND($E1326=$G1326, $F1326=$H1326), 3, IF(SIGN($E1326-$F1326)=SIGN($G1326-$H1326), 1, 0))))</f>
        <v/>
      </c>
    </row>
    <row r="1327">
      <c r="A1327" s="5" t="inlineStr"/>
      <c r="B1327" s="5" t="inlineStr"/>
      <c r="C1327" s="5">
        <f>IF($B1327="","",VLOOKUP($B1327,Jogos!$A$2:$K$105,8,FALSE))</f>
        <v/>
      </c>
      <c r="D1327" s="5">
        <f>IF($B1327="","",VLOOKUP($B1327,Jogos!$A$2:$K$105,10,FALSE))</f>
        <v/>
      </c>
      <c r="E1327" s="5" t="inlineStr"/>
      <c r="F1327" s="5" t="inlineStr"/>
      <c r="G1327" s="8">
        <f>IF($B1327="","",VLOOKUP($B1327,Jogos!$A$2:$K$105,9,FALSE))</f>
        <v/>
      </c>
      <c r="H1327" s="8">
        <f>IF($B1327="","",VLOOKUP($B1327,Jogos!$A$2:$K$105,11,FALSE))</f>
        <v/>
      </c>
      <c r="I1327" s="5">
        <f>IF(OR($A1327="", $B1327="", $E1327="", $F1327="", $G1327="", $H1327=""), "",IF(AND($E1327=$G1327, $F1327=$H1327), 3, IF(SIGN($E1327-$F1327)=SIGN($G1327-$H1327), 1, 0))))</f>
        <v/>
      </c>
    </row>
    <row r="1328">
      <c r="A1328" s="5" t="inlineStr"/>
      <c r="B1328" s="5" t="inlineStr"/>
      <c r="C1328" s="5">
        <f>IF($B1328="","",VLOOKUP($B1328,Jogos!$A$2:$K$105,8,FALSE))</f>
        <v/>
      </c>
      <c r="D1328" s="5">
        <f>IF($B1328="","",VLOOKUP($B1328,Jogos!$A$2:$K$105,10,FALSE))</f>
        <v/>
      </c>
      <c r="E1328" s="5" t="inlineStr"/>
      <c r="F1328" s="5" t="inlineStr"/>
      <c r="G1328" s="8">
        <f>IF($B1328="","",VLOOKUP($B1328,Jogos!$A$2:$K$105,9,FALSE))</f>
        <v/>
      </c>
      <c r="H1328" s="8">
        <f>IF($B1328="","",VLOOKUP($B1328,Jogos!$A$2:$K$105,11,FALSE))</f>
        <v/>
      </c>
      <c r="I1328" s="5">
        <f>IF(OR($A1328="", $B1328="", $E1328="", $F1328="", $G1328="", $H1328=""), "",IF(AND($E1328=$G1328, $F1328=$H1328), 3, IF(SIGN($E1328-$F1328)=SIGN($G1328-$H1328), 1, 0))))</f>
        <v/>
      </c>
    </row>
    <row r="1329">
      <c r="A1329" s="5" t="inlineStr"/>
      <c r="B1329" s="5" t="inlineStr"/>
      <c r="C1329" s="5">
        <f>IF($B1329="","",VLOOKUP($B1329,Jogos!$A$2:$K$105,8,FALSE))</f>
        <v/>
      </c>
      <c r="D1329" s="5">
        <f>IF($B1329="","",VLOOKUP($B1329,Jogos!$A$2:$K$105,10,FALSE))</f>
        <v/>
      </c>
      <c r="E1329" s="5" t="inlineStr"/>
      <c r="F1329" s="5" t="inlineStr"/>
      <c r="G1329" s="8">
        <f>IF($B1329="","",VLOOKUP($B1329,Jogos!$A$2:$K$105,9,FALSE))</f>
        <v/>
      </c>
      <c r="H1329" s="8">
        <f>IF($B1329="","",VLOOKUP($B1329,Jogos!$A$2:$K$105,11,FALSE))</f>
        <v/>
      </c>
      <c r="I1329" s="5">
        <f>IF(OR($A1329="", $B1329="", $E1329="", $F1329="", $G1329="", $H1329=""), "",IF(AND($E1329=$G1329, $F1329=$H1329), 3, IF(SIGN($E1329-$F1329)=SIGN($G1329-$H1329), 1, 0))))</f>
        <v/>
      </c>
    </row>
    <row r="1330">
      <c r="A1330" s="5" t="inlineStr"/>
      <c r="B1330" s="5" t="inlineStr"/>
      <c r="C1330" s="5">
        <f>IF($B1330="","",VLOOKUP($B1330,Jogos!$A$2:$K$105,8,FALSE))</f>
        <v/>
      </c>
      <c r="D1330" s="5">
        <f>IF($B1330="","",VLOOKUP($B1330,Jogos!$A$2:$K$105,10,FALSE))</f>
        <v/>
      </c>
      <c r="E1330" s="5" t="inlineStr"/>
      <c r="F1330" s="5" t="inlineStr"/>
      <c r="G1330" s="8">
        <f>IF($B1330="","",VLOOKUP($B1330,Jogos!$A$2:$K$105,9,FALSE))</f>
        <v/>
      </c>
      <c r="H1330" s="8">
        <f>IF($B1330="","",VLOOKUP($B1330,Jogos!$A$2:$K$105,11,FALSE))</f>
        <v/>
      </c>
      <c r="I1330" s="5">
        <f>IF(OR($A1330="", $B1330="", $E1330="", $F1330="", $G1330="", $H1330=""), "",IF(AND($E1330=$G1330, $F1330=$H1330), 3, IF(SIGN($E1330-$F1330)=SIGN($G1330-$H1330), 1, 0))))</f>
        <v/>
      </c>
    </row>
    <row r="1331">
      <c r="A1331" s="5" t="inlineStr"/>
      <c r="B1331" s="5" t="inlineStr"/>
      <c r="C1331" s="5">
        <f>IF($B1331="","",VLOOKUP($B1331,Jogos!$A$2:$K$105,8,FALSE))</f>
        <v/>
      </c>
      <c r="D1331" s="5">
        <f>IF($B1331="","",VLOOKUP($B1331,Jogos!$A$2:$K$105,10,FALSE))</f>
        <v/>
      </c>
      <c r="E1331" s="5" t="inlineStr"/>
      <c r="F1331" s="5" t="inlineStr"/>
      <c r="G1331" s="8">
        <f>IF($B1331="","",VLOOKUP($B1331,Jogos!$A$2:$K$105,9,FALSE))</f>
        <v/>
      </c>
      <c r="H1331" s="8">
        <f>IF($B1331="","",VLOOKUP($B1331,Jogos!$A$2:$K$105,11,FALSE))</f>
        <v/>
      </c>
      <c r="I1331" s="5">
        <f>IF(OR($A1331="", $B1331="", $E1331="", $F1331="", $G1331="", $H1331=""), "",IF(AND($E1331=$G1331, $F1331=$H1331), 3, IF(SIGN($E1331-$F1331)=SIGN($G1331-$H1331), 1, 0))))</f>
        <v/>
      </c>
    </row>
    <row r="1332">
      <c r="A1332" s="5" t="inlineStr"/>
      <c r="B1332" s="5" t="inlineStr"/>
      <c r="C1332" s="5">
        <f>IF($B1332="","",VLOOKUP($B1332,Jogos!$A$2:$K$105,8,FALSE))</f>
        <v/>
      </c>
      <c r="D1332" s="5">
        <f>IF($B1332="","",VLOOKUP($B1332,Jogos!$A$2:$K$105,10,FALSE))</f>
        <v/>
      </c>
      <c r="E1332" s="5" t="inlineStr"/>
      <c r="F1332" s="5" t="inlineStr"/>
      <c r="G1332" s="8">
        <f>IF($B1332="","",VLOOKUP($B1332,Jogos!$A$2:$K$105,9,FALSE))</f>
        <v/>
      </c>
      <c r="H1332" s="8">
        <f>IF($B1332="","",VLOOKUP($B1332,Jogos!$A$2:$K$105,11,FALSE))</f>
        <v/>
      </c>
      <c r="I1332" s="5">
        <f>IF(OR($A1332="", $B1332="", $E1332="", $F1332="", $G1332="", $H1332=""), "",IF(AND($E1332=$G1332, $F1332=$H1332), 3, IF(SIGN($E1332-$F1332)=SIGN($G1332-$H1332), 1, 0))))</f>
        <v/>
      </c>
    </row>
    <row r="1333">
      <c r="A1333" s="5" t="inlineStr"/>
      <c r="B1333" s="5" t="inlineStr"/>
      <c r="C1333" s="5">
        <f>IF($B1333="","",VLOOKUP($B1333,Jogos!$A$2:$K$105,8,FALSE))</f>
        <v/>
      </c>
      <c r="D1333" s="5">
        <f>IF($B1333="","",VLOOKUP($B1333,Jogos!$A$2:$K$105,10,FALSE))</f>
        <v/>
      </c>
      <c r="E1333" s="5" t="inlineStr"/>
      <c r="F1333" s="5" t="inlineStr"/>
      <c r="G1333" s="8">
        <f>IF($B1333="","",VLOOKUP($B1333,Jogos!$A$2:$K$105,9,FALSE))</f>
        <v/>
      </c>
      <c r="H1333" s="8">
        <f>IF($B1333="","",VLOOKUP($B1333,Jogos!$A$2:$K$105,11,FALSE))</f>
        <v/>
      </c>
      <c r="I1333" s="5">
        <f>IF(OR($A1333="", $B1333="", $E1333="", $F1333="", $G1333="", $H1333=""), "",IF(AND($E1333=$G1333, $F1333=$H1333), 3, IF(SIGN($E1333-$F1333)=SIGN($G1333-$H1333), 1, 0))))</f>
        <v/>
      </c>
    </row>
    <row r="1334">
      <c r="A1334" s="5" t="inlineStr"/>
      <c r="B1334" s="5" t="inlineStr"/>
      <c r="C1334" s="5">
        <f>IF($B1334="","",VLOOKUP($B1334,Jogos!$A$2:$K$105,8,FALSE))</f>
        <v/>
      </c>
      <c r="D1334" s="5">
        <f>IF($B1334="","",VLOOKUP($B1334,Jogos!$A$2:$K$105,10,FALSE))</f>
        <v/>
      </c>
      <c r="E1334" s="5" t="inlineStr"/>
      <c r="F1334" s="5" t="inlineStr"/>
      <c r="G1334" s="8">
        <f>IF($B1334="","",VLOOKUP($B1334,Jogos!$A$2:$K$105,9,FALSE))</f>
        <v/>
      </c>
      <c r="H1334" s="8">
        <f>IF($B1334="","",VLOOKUP($B1334,Jogos!$A$2:$K$105,11,FALSE))</f>
        <v/>
      </c>
      <c r="I1334" s="5">
        <f>IF(OR($A1334="", $B1334="", $E1334="", $F1334="", $G1334="", $H1334=""), "",IF(AND($E1334=$G1334, $F1334=$H1334), 3, IF(SIGN($E1334-$F1334)=SIGN($G1334-$H1334), 1, 0))))</f>
        <v/>
      </c>
    </row>
    <row r="1335">
      <c r="A1335" s="5" t="inlineStr"/>
      <c r="B1335" s="5" t="inlineStr"/>
      <c r="C1335" s="5">
        <f>IF($B1335="","",VLOOKUP($B1335,Jogos!$A$2:$K$105,8,FALSE))</f>
        <v/>
      </c>
      <c r="D1335" s="5">
        <f>IF($B1335="","",VLOOKUP($B1335,Jogos!$A$2:$K$105,10,FALSE))</f>
        <v/>
      </c>
      <c r="E1335" s="5" t="inlineStr"/>
      <c r="F1335" s="5" t="inlineStr"/>
      <c r="G1335" s="8">
        <f>IF($B1335="","",VLOOKUP($B1335,Jogos!$A$2:$K$105,9,FALSE))</f>
        <v/>
      </c>
      <c r="H1335" s="8">
        <f>IF($B1335="","",VLOOKUP($B1335,Jogos!$A$2:$K$105,11,FALSE))</f>
        <v/>
      </c>
      <c r="I1335" s="5">
        <f>IF(OR($A1335="", $B1335="", $E1335="", $F1335="", $G1335="", $H1335=""), "",IF(AND($E1335=$G1335, $F1335=$H1335), 3, IF(SIGN($E1335-$F1335)=SIGN($G1335-$H1335), 1, 0))))</f>
        <v/>
      </c>
    </row>
    <row r="1336">
      <c r="A1336" s="5" t="inlineStr"/>
      <c r="B1336" s="5" t="inlineStr"/>
      <c r="C1336" s="5">
        <f>IF($B1336="","",VLOOKUP($B1336,Jogos!$A$2:$K$105,8,FALSE))</f>
        <v/>
      </c>
      <c r="D1336" s="5">
        <f>IF($B1336="","",VLOOKUP($B1336,Jogos!$A$2:$K$105,10,FALSE))</f>
        <v/>
      </c>
      <c r="E1336" s="5" t="inlineStr"/>
      <c r="F1336" s="5" t="inlineStr"/>
      <c r="G1336" s="8">
        <f>IF($B1336="","",VLOOKUP($B1336,Jogos!$A$2:$K$105,9,FALSE))</f>
        <v/>
      </c>
      <c r="H1336" s="8">
        <f>IF($B1336="","",VLOOKUP($B1336,Jogos!$A$2:$K$105,11,FALSE))</f>
        <v/>
      </c>
      <c r="I1336" s="5">
        <f>IF(OR($A1336="", $B1336="", $E1336="", $F1336="", $G1336="", $H1336=""), "",IF(AND($E1336=$G1336, $F1336=$H1336), 3, IF(SIGN($E1336-$F1336)=SIGN($G1336-$H1336), 1, 0))))</f>
        <v/>
      </c>
    </row>
    <row r="1337">
      <c r="A1337" s="5" t="inlineStr"/>
      <c r="B1337" s="5" t="inlineStr"/>
      <c r="C1337" s="5">
        <f>IF($B1337="","",VLOOKUP($B1337,Jogos!$A$2:$K$105,8,FALSE))</f>
        <v/>
      </c>
      <c r="D1337" s="5">
        <f>IF($B1337="","",VLOOKUP($B1337,Jogos!$A$2:$K$105,10,FALSE))</f>
        <v/>
      </c>
      <c r="E1337" s="5" t="inlineStr"/>
      <c r="F1337" s="5" t="inlineStr"/>
      <c r="G1337" s="8">
        <f>IF($B1337="","",VLOOKUP($B1337,Jogos!$A$2:$K$105,9,FALSE))</f>
        <v/>
      </c>
      <c r="H1337" s="8">
        <f>IF($B1337="","",VLOOKUP($B1337,Jogos!$A$2:$K$105,11,FALSE))</f>
        <v/>
      </c>
      <c r="I1337" s="5">
        <f>IF(OR($A1337="", $B1337="", $E1337="", $F1337="", $G1337="", $H1337=""), "",IF(AND($E1337=$G1337, $F1337=$H1337), 3, IF(SIGN($E1337-$F1337)=SIGN($G1337-$H1337), 1, 0))))</f>
        <v/>
      </c>
    </row>
    <row r="1338">
      <c r="A1338" s="5" t="inlineStr"/>
      <c r="B1338" s="5" t="inlineStr"/>
      <c r="C1338" s="5">
        <f>IF($B1338="","",VLOOKUP($B1338,Jogos!$A$2:$K$105,8,FALSE))</f>
        <v/>
      </c>
      <c r="D1338" s="5">
        <f>IF($B1338="","",VLOOKUP($B1338,Jogos!$A$2:$K$105,10,FALSE))</f>
        <v/>
      </c>
      <c r="E1338" s="5" t="inlineStr"/>
      <c r="F1338" s="5" t="inlineStr"/>
      <c r="G1338" s="8">
        <f>IF($B1338="","",VLOOKUP($B1338,Jogos!$A$2:$K$105,9,FALSE))</f>
        <v/>
      </c>
      <c r="H1338" s="8">
        <f>IF($B1338="","",VLOOKUP($B1338,Jogos!$A$2:$K$105,11,FALSE))</f>
        <v/>
      </c>
      <c r="I1338" s="5">
        <f>IF(OR($A1338="", $B1338="", $E1338="", $F1338="", $G1338="", $H1338=""), "",IF(AND($E1338=$G1338, $F1338=$H1338), 3, IF(SIGN($E1338-$F1338)=SIGN($G1338-$H1338), 1, 0))))</f>
        <v/>
      </c>
    </row>
    <row r="1339">
      <c r="A1339" s="5" t="inlineStr"/>
      <c r="B1339" s="5" t="inlineStr"/>
      <c r="C1339" s="5">
        <f>IF($B1339="","",VLOOKUP($B1339,Jogos!$A$2:$K$105,8,FALSE))</f>
        <v/>
      </c>
      <c r="D1339" s="5">
        <f>IF($B1339="","",VLOOKUP($B1339,Jogos!$A$2:$K$105,10,FALSE))</f>
        <v/>
      </c>
      <c r="E1339" s="5" t="inlineStr"/>
      <c r="F1339" s="5" t="inlineStr"/>
      <c r="G1339" s="8">
        <f>IF($B1339="","",VLOOKUP($B1339,Jogos!$A$2:$K$105,9,FALSE))</f>
        <v/>
      </c>
      <c r="H1339" s="8">
        <f>IF($B1339="","",VLOOKUP($B1339,Jogos!$A$2:$K$105,11,FALSE))</f>
        <v/>
      </c>
      <c r="I1339" s="5">
        <f>IF(OR($A1339="", $B1339="", $E1339="", $F1339="", $G1339="", $H1339=""), "",IF(AND($E1339=$G1339, $F1339=$H1339), 3, IF(SIGN($E1339-$F1339)=SIGN($G1339-$H1339), 1, 0))))</f>
        <v/>
      </c>
    </row>
    <row r="1340">
      <c r="A1340" s="5" t="inlineStr"/>
      <c r="B1340" s="5" t="inlineStr"/>
      <c r="C1340" s="5">
        <f>IF($B1340="","",VLOOKUP($B1340,Jogos!$A$2:$K$105,8,FALSE))</f>
        <v/>
      </c>
      <c r="D1340" s="5">
        <f>IF($B1340="","",VLOOKUP($B1340,Jogos!$A$2:$K$105,10,FALSE))</f>
        <v/>
      </c>
      <c r="E1340" s="5" t="inlineStr"/>
      <c r="F1340" s="5" t="inlineStr"/>
      <c r="G1340" s="8">
        <f>IF($B1340="","",VLOOKUP($B1340,Jogos!$A$2:$K$105,9,FALSE))</f>
        <v/>
      </c>
      <c r="H1340" s="8">
        <f>IF($B1340="","",VLOOKUP($B1340,Jogos!$A$2:$K$105,11,FALSE))</f>
        <v/>
      </c>
      <c r="I1340" s="5">
        <f>IF(OR($A1340="", $B1340="", $E1340="", $F1340="", $G1340="", $H1340=""), "",IF(AND($E1340=$G1340, $F1340=$H1340), 3, IF(SIGN($E1340-$F1340)=SIGN($G1340-$H1340), 1, 0))))</f>
        <v/>
      </c>
    </row>
    <row r="1341">
      <c r="A1341" s="5" t="inlineStr"/>
      <c r="B1341" s="5" t="inlineStr"/>
      <c r="C1341" s="5">
        <f>IF($B1341="","",VLOOKUP($B1341,Jogos!$A$2:$K$105,8,FALSE))</f>
        <v/>
      </c>
      <c r="D1341" s="5">
        <f>IF($B1341="","",VLOOKUP($B1341,Jogos!$A$2:$K$105,10,FALSE))</f>
        <v/>
      </c>
      <c r="E1341" s="5" t="inlineStr"/>
      <c r="F1341" s="5" t="inlineStr"/>
      <c r="G1341" s="8">
        <f>IF($B1341="","",VLOOKUP($B1341,Jogos!$A$2:$K$105,9,FALSE))</f>
        <v/>
      </c>
      <c r="H1341" s="8">
        <f>IF($B1341="","",VLOOKUP($B1341,Jogos!$A$2:$K$105,11,FALSE))</f>
        <v/>
      </c>
      <c r="I1341" s="5">
        <f>IF(OR($A1341="", $B1341="", $E1341="", $F1341="", $G1341="", $H1341=""), "",IF(AND($E1341=$G1341, $F1341=$H1341), 3, IF(SIGN($E1341-$F1341)=SIGN($G1341-$H1341), 1, 0))))</f>
        <v/>
      </c>
    </row>
    <row r="1342">
      <c r="A1342" s="5" t="inlineStr"/>
      <c r="B1342" s="5" t="inlineStr"/>
      <c r="C1342" s="5">
        <f>IF($B1342="","",VLOOKUP($B1342,Jogos!$A$2:$K$105,8,FALSE))</f>
        <v/>
      </c>
      <c r="D1342" s="5">
        <f>IF($B1342="","",VLOOKUP($B1342,Jogos!$A$2:$K$105,10,FALSE))</f>
        <v/>
      </c>
      <c r="E1342" s="5" t="inlineStr"/>
      <c r="F1342" s="5" t="inlineStr"/>
      <c r="G1342" s="8">
        <f>IF($B1342="","",VLOOKUP($B1342,Jogos!$A$2:$K$105,9,FALSE))</f>
        <v/>
      </c>
      <c r="H1342" s="8">
        <f>IF($B1342="","",VLOOKUP($B1342,Jogos!$A$2:$K$105,11,FALSE))</f>
        <v/>
      </c>
      <c r="I1342" s="5">
        <f>IF(OR($A1342="", $B1342="", $E1342="", $F1342="", $G1342="", $H1342=""), "",IF(AND($E1342=$G1342, $F1342=$H1342), 3, IF(SIGN($E1342-$F1342)=SIGN($G1342-$H1342), 1, 0))))</f>
        <v/>
      </c>
    </row>
    <row r="1343">
      <c r="A1343" s="5" t="inlineStr"/>
      <c r="B1343" s="5" t="inlineStr"/>
      <c r="C1343" s="5">
        <f>IF($B1343="","",VLOOKUP($B1343,Jogos!$A$2:$K$105,8,FALSE))</f>
        <v/>
      </c>
      <c r="D1343" s="5">
        <f>IF($B1343="","",VLOOKUP($B1343,Jogos!$A$2:$K$105,10,FALSE))</f>
        <v/>
      </c>
      <c r="E1343" s="5" t="inlineStr"/>
      <c r="F1343" s="5" t="inlineStr"/>
      <c r="G1343" s="8">
        <f>IF($B1343="","",VLOOKUP($B1343,Jogos!$A$2:$K$105,9,FALSE))</f>
        <v/>
      </c>
      <c r="H1343" s="8">
        <f>IF($B1343="","",VLOOKUP($B1343,Jogos!$A$2:$K$105,11,FALSE))</f>
        <v/>
      </c>
      <c r="I1343" s="5">
        <f>IF(OR($A1343="", $B1343="", $E1343="", $F1343="", $G1343="", $H1343=""), "",IF(AND($E1343=$G1343, $F1343=$H1343), 3, IF(SIGN($E1343-$F1343)=SIGN($G1343-$H1343), 1, 0))))</f>
        <v/>
      </c>
    </row>
    <row r="1344">
      <c r="A1344" s="5" t="inlineStr"/>
      <c r="B1344" s="5" t="inlineStr"/>
      <c r="C1344" s="5">
        <f>IF($B1344="","",VLOOKUP($B1344,Jogos!$A$2:$K$105,8,FALSE))</f>
        <v/>
      </c>
      <c r="D1344" s="5">
        <f>IF($B1344="","",VLOOKUP($B1344,Jogos!$A$2:$K$105,10,FALSE))</f>
        <v/>
      </c>
      <c r="E1344" s="5" t="inlineStr"/>
      <c r="F1344" s="5" t="inlineStr"/>
      <c r="G1344" s="8">
        <f>IF($B1344="","",VLOOKUP($B1344,Jogos!$A$2:$K$105,9,FALSE))</f>
        <v/>
      </c>
      <c r="H1344" s="8">
        <f>IF($B1344="","",VLOOKUP($B1344,Jogos!$A$2:$K$105,11,FALSE))</f>
        <v/>
      </c>
      <c r="I1344" s="5">
        <f>IF(OR($A1344="", $B1344="", $E1344="", $F1344="", $G1344="", $H1344=""), "",IF(AND($E1344=$G1344, $F1344=$H1344), 3, IF(SIGN($E1344-$F1344)=SIGN($G1344-$H1344), 1, 0))))</f>
        <v/>
      </c>
    </row>
    <row r="1345">
      <c r="A1345" s="5" t="inlineStr"/>
      <c r="B1345" s="5" t="inlineStr"/>
      <c r="C1345" s="5">
        <f>IF($B1345="","",VLOOKUP($B1345,Jogos!$A$2:$K$105,8,FALSE))</f>
        <v/>
      </c>
      <c r="D1345" s="5">
        <f>IF($B1345="","",VLOOKUP($B1345,Jogos!$A$2:$K$105,10,FALSE))</f>
        <v/>
      </c>
      <c r="E1345" s="5" t="inlineStr"/>
      <c r="F1345" s="5" t="inlineStr"/>
      <c r="G1345" s="8">
        <f>IF($B1345="","",VLOOKUP($B1345,Jogos!$A$2:$K$105,9,FALSE))</f>
        <v/>
      </c>
      <c r="H1345" s="8">
        <f>IF($B1345="","",VLOOKUP($B1345,Jogos!$A$2:$K$105,11,FALSE))</f>
        <v/>
      </c>
      <c r="I1345" s="5">
        <f>IF(OR($A1345="", $B1345="", $E1345="", $F1345="", $G1345="", $H1345=""), "",IF(AND($E1345=$G1345, $F1345=$H1345), 3, IF(SIGN($E1345-$F1345)=SIGN($G1345-$H1345), 1, 0))))</f>
        <v/>
      </c>
    </row>
    <row r="1346">
      <c r="A1346" s="5" t="inlineStr"/>
      <c r="B1346" s="5" t="inlineStr"/>
      <c r="C1346" s="5">
        <f>IF($B1346="","",VLOOKUP($B1346,Jogos!$A$2:$K$105,8,FALSE))</f>
        <v/>
      </c>
      <c r="D1346" s="5">
        <f>IF($B1346="","",VLOOKUP($B1346,Jogos!$A$2:$K$105,10,FALSE))</f>
        <v/>
      </c>
      <c r="E1346" s="5" t="inlineStr"/>
      <c r="F1346" s="5" t="inlineStr"/>
      <c r="G1346" s="8">
        <f>IF($B1346="","",VLOOKUP($B1346,Jogos!$A$2:$K$105,9,FALSE))</f>
        <v/>
      </c>
      <c r="H1346" s="8">
        <f>IF($B1346="","",VLOOKUP($B1346,Jogos!$A$2:$K$105,11,FALSE))</f>
        <v/>
      </c>
      <c r="I1346" s="5">
        <f>IF(OR($A1346="", $B1346="", $E1346="", $F1346="", $G1346="", $H1346=""), "",IF(AND($E1346=$G1346, $F1346=$H1346), 3, IF(SIGN($E1346-$F1346)=SIGN($G1346-$H1346), 1, 0))))</f>
        <v/>
      </c>
    </row>
    <row r="1347">
      <c r="A1347" s="5" t="inlineStr"/>
      <c r="B1347" s="5" t="inlineStr"/>
      <c r="C1347" s="5">
        <f>IF($B1347="","",VLOOKUP($B1347,Jogos!$A$2:$K$105,8,FALSE))</f>
        <v/>
      </c>
      <c r="D1347" s="5">
        <f>IF($B1347="","",VLOOKUP($B1347,Jogos!$A$2:$K$105,10,FALSE))</f>
        <v/>
      </c>
      <c r="E1347" s="5" t="inlineStr"/>
      <c r="F1347" s="5" t="inlineStr"/>
      <c r="G1347" s="8">
        <f>IF($B1347="","",VLOOKUP($B1347,Jogos!$A$2:$K$105,9,FALSE))</f>
        <v/>
      </c>
      <c r="H1347" s="8">
        <f>IF($B1347="","",VLOOKUP($B1347,Jogos!$A$2:$K$105,11,FALSE))</f>
        <v/>
      </c>
      <c r="I1347" s="5">
        <f>IF(OR($A1347="", $B1347="", $E1347="", $F1347="", $G1347="", $H1347=""), "",IF(AND($E1347=$G1347, $F1347=$H1347), 3, IF(SIGN($E1347-$F1347)=SIGN($G1347-$H1347), 1, 0))))</f>
        <v/>
      </c>
    </row>
    <row r="1348">
      <c r="A1348" s="5" t="inlineStr"/>
      <c r="B1348" s="5" t="inlineStr"/>
      <c r="C1348" s="5">
        <f>IF($B1348="","",VLOOKUP($B1348,Jogos!$A$2:$K$105,8,FALSE))</f>
        <v/>
      </c>
      <c r="D1348" s="5">
        <f>IF($B1348="","",VLOOKUP($B1348,Jogos!$A$2:$K$105,10,FALSE))</f>
        <v/>
      </c>
      <c r="E1348" s="5" t="inlineStr"/>
      <c r="F1348" s="5" t="inlineStr"/>
      <c r="G1348" s="8">
        <f>IF($B1348="","",VLOOKUP($B1348,Jogos!$A$2:$K$105,9,FALSE))</f>
        <v/>
      </c>
      <c r="H1348" s="8">
        <f>IF($B1348="","",VLOOKUP($B1348,Jogos!$A$2:$K$105,11,FALSE))</f>
        <v/>
      </c>
      <c r="I1348" s="5">
        <f>IF(OR($A1348="", $B1348="", $E1348="", $F1348="", $G1348="", $H1348=""), "",IF(AND($E1348=$G1348, $F1348=$H1348), 3, IF(SIGN($E1348-$F1348)=SIGN($G1348-$H1348), 1, 0))))</f>
        <v/>
      </c>
    </row>
    <row r="1349">
      <c r="A1349" s="5" t="inlineStr"/>
      <c r="B1349" s="5" t="inlineStr"/>
      <c r="C1349" s="5">
        <f>IF($B1349="","",VLOOKUP($B1349,Jogos!$A$2:$K$105,8,FALSE))</f>
        <v/>
      </c>
      <c r="D1349" s="5">
        <f>IF($B1349="","",VLOOKUP($B1349,Jogos!$A$2:$K$105,10,FALSE))</f>
        <v/>
      </c>
      <c r="E1349" s="5" t="inlineStr"/>
      <c r="F1349" s="5" t="inlineStr"/>
      <c r="G1349" s="8">
        <f>IF($B1349="","",VLOOKUP($B1349,Jogos!$A$2:$K$105,9,FALSE))</f>
        <v/>
      </c>
      <c r="H1349" s="8">
        <f>IF($B1349="","",VLOOKUP($B1349,Jogos!$A$2:$K$105,11,FALSE))</f>
        <v/>
      </c>
      <c r="I1349" s="5">
        <f>IF(OR($A1349="", $B1349="", $E1349="", $F1349="", $G1349="", $H1349=""), "",IF(AND($E1349=$G1349, $F1349=$H1349), 3, IF(SIGN($E1349-$F1349)=SIGN($G1349-$H1349), 1, 0))))</f>
        <v/>
      </c>
    </row>
    <row r="1350">
      <c r="A1350" s="5" t="inlineStr"/>
      <c r="B1350" s="5" t="inlineStr"/>
      <c r="C1350" s="5">
        <f>IF($B1350="","",VLOOKUP($B1350,Jogos!$A$2:$K$105,8,FALSE))</f>
        <v/>
      </c>
      <c r="D1350" s="5">
        <f>IF($B1350="","",VLOOKUP($B1350,Jogos!$A$2:$K$105,10,FALSE))</f>
        <v/>
      </c>
      <c r="E1350" s="5" t="inlineStr"/>
      <c r="F1350" s="5" t="inlineStr"/>
      <c r="G1350" s="8">
        <f>IF($B1350="","",VLOOKUP($B1350,Jogos!$A$2:$K$105,9,FALSE))</f>
        <v/>
      </c>
      <c r="H1350" s="8">
        <f>IF($B1350="","",VLOOKUP($B1350,Jogos!$A$2:$K$105,11,FALSE))</f>
        <v/>
      </c>
      <c r="I1350" s="5">
        <f>IF(OR($A1350="", $B1350="", $E1350="", $F1350="", $G1350="", $H1350=""), "",IF(AND($E1350=$G1350, $F1350=$H1350), 3, IF(SIGN($E1350-$F1350)=SIGN($G1350-$H1350), 1, 0))))</f>
        <v/>
      </c>
    </row>
    <row r="1351">
      <c r="A1351" s="5" t="inlineStr"/>
      <c r="B1351" s="5" t="inlineStr"/>
      <c r="C1351" s="5">
        <f>IF($B1351="","",VLOOKUP($B1351,Jogos!$A$2:$K$105,8,FALSE))</f>
        <v/>
      </c>
      <c r="D1351" s="5">
        <f>IF($B1351="","",VLOOKUP($B1351,Jogos!$A$2:$K$105,10,FALSE))</f>
        <v/>
      </c>
      <c r="E1351" s="5" t="inlineStr"/>
      <c r="F1351" s="5" t="inlineStr"/>
      <c r="G1351" s="8">
        <f>IF($B1351="","",VLOOKUP($B1351,Jogos!$A$2:$K$105,9,FALSE))</f>
        <v/>
      </c>
      <c r="H1351" s="8">
        <f>IF($B1351="","",VLOOKUP($B1351,Jogos!$A$2:$K$105,11,FALSE))</f>
        <v/>
      </c>
      <c r="I1351" s="5">
        <f>IF(OR($A1351="", $B1351="", $E1351="", $F1351="", $G1351="", $H1351=""), "",IF(AND($E1351=$G1351, $F1351=$H1351), 3, IF(SIGN($E1351-$F1351)=SIGN($G1351-$H1351), 1, 0))))</f>
        <v/>
      </c>
    </row>
    <row r="1352">
      <c r="A1352" s="5" t="inlineStr"/>
      <c r="B1352" s="5" t="inlineStr"/>
      <c r="C1352" s="5">
        <f>IF($B1352="","",VLOOKUP($B1352,Jogos!$A$2:$K$105,8,FALSE))</f>
        <v/>
      </c>
      <c r="D1352" s="5">
        <f>IF($B1352="","",VLOOKUP($B1352,Jogos!$A$2:$K$105,10,FALSE))</f>
        <v/>
      </c>
      <c r="E1352" s="5" t="inlineStr"/>
      <c r="F1352" s="5" t="inlineStr"/>
      <c r="G1352" s="8">
        <f>IF($B1352="","",VLOOKUP($B1352,Jogos!$A$2:$K$105,9,FALSE))</f>
        <v/>
      </c>
      <c r="H1352" s="8">
        <f>IF($B1352="","",VLOOKUP($B1352,Jogos!$A$2:$K$105,11,FALSE))</f>
        <v/>
      </c>
      <c r="I1352" s="5">
        <f>IF(OR($A1352="", $B1352="", $E1352="", $F1352="", $G1352="", $H1352=""), "",IF(AND($E1352=$G1352, $F1352=$H1352), 3, IF(SIGN($E1352-$F1352)=SIGN($G1352-$H1352), 1, 0))))</f>
        <v/>
      </c>
    </row>
    <row r="1353">
      <c r="A1353" s="5" t="inlineStr"/>
      <c r="B1353" s="5" t="inlineStr"/>
      <c r="C1353" s="5">
        <f>IF($B1353="","",VLOOKUP($B1353,Jogos!$A$2:$K$105,8,FALSE))</f>
        <v/>
      </c>
      <c r="D1353" s="5">
        <f>IF($B1353="","",VLOOKUP($B1353,Jogos!$A$2:$K$105,10,FALSE))</f>
        <v/>
      </c>
      <c r="E1353" s="5" t="inlineStr"/>
      <c r="F1353" s="5" t="inlineStr"/>
      <c r="G1353" s="8">
        <f>IF($B1353="","",VLOOKUP($B1353,Jogos!$A$2:$K$105,9,FALSE))</f>
        <v/>
      </c>
      <c r="H1353" s="8">
        <f>IF($B1353="","",VLOOKUP($B1353,Jogos!$A$2:$K$105,11,FALSE))</f>
        <v/>
      </c>
      <c r="I1353" s="5">
        <f>IF(OR($A1353="", $B1353="", $E1353="", $F1353="", $G1353="", $H1353=""), "",IF(AND($E1353=$G1353, $F1353=$H1353), 3, IF(SIGN($E1353-$F1353)=SIGN($G1353-$H1353), 1, 0))))</f>
        <v/>
      </c>
    </row>
    <row r="1354">
      <c r="A1354" s="5" t="inlineStr"/>
      <c r="B1354" s="5" t="inlineStr"/>
      <c r="C1354" s="5">
        <f>IF($B1354="","",VLOOKUP($B1354,Jogos!$A$2:$K$105,8,FALSE))</f>
        <v/>
      </c>
      <c r="D1354" s="5">
        <f>IF($B1354="","",VLOOKUP($B1354,Jogos!$A$2:$K$105,10,FALSE))</f>
        <v/>
      </c>
      <c r="E1354" s="5" t="inlineStr"/>
      <c r="F1354" s="5" t="inlineStr"/>
      <c r="G1354" s="8">
        <f>IF($B1354="","",VLOOKUP($B1354,Jogos!$A$2:$K$105,9,FALSE))</f>
        <v/>
      </c>
      <c r="H1354" s="8">
        <f>IF($B1354="","",VLOOKUP($B1354,Jogos!$A$2:$K$105,11,FALSE))</f>
        <v/>
      </c>
      <c r="I1354" s="5">
        <f>IF(OR($A1354="", $B1354="", $E1354="", $F1354="", $G1354="", $H1354=""), "",IF(AND($E1354=$G1354, $F1354=$H1354), 3, IF(SIGN($E1354-$F1354)=SIGN($G1354-$H1354), 1, 0))))</f>
        <v/>
      </c>
    </row>
    <row r="1355">
      <c r="A1355" s="5" t="inlineStr"/>
      <c r="B1355" s="5" t="inlineStr"/>
      <c r="C1355" s="5">
        <f>IF($B1355="","",VLOOKUP($B1355,Jogos!$A$2:$K$105,8,FALSE))</f>
        <v/>
      </c>
      <c r="D1355" s="5">
        <f>IF($B1355="","",VLOOKUP($B1355,Jogos!$A$2:$K$105,10,FALSE))</f>
        <v/>
      </c>
      <c r="E1355" s="5" t="inlineStr"/>
      <c r="F1355" s="5" t="inlineStr"/>
      <c r="G1355" s="8">
        <f>IF($B1355="","",VLOOKUP($B1355,Jogos!$A$2:$K$105,9,FALSE))</f>
        <v/>
      </c>
      <c r="H1355" s="8">
        <f>IF($B1355="","",VLOOKUP($B1355,Jogos!$A$2:$K$105,11,FALSE))</f>
        <v/>
      </c>
      <c r="I1355" s="5">
        <f>IF(OR($A1355="", $B1355="", $E1355="", $F1355="", $G1355="", $H1355=""), "",IF(AND($E1355=$G1355, $F1355=$H1355), 3, IF(SIGN($E1355-$F1355)=SIGN($G1355-$H1355), 1, 0))))</f>
        <v/>
      </c>
    </row>
    <row r="1356">
      <c r="A1356" s="5" t="inlineStr"/>
      <c r="B1356" s="5" t="inlineStr"/>
      <c r="C1356" s="5">
        <f>IF($B1356="","",VLOOKUP($B1356,Jogos!$A$2:$K$105,8,FALSE))</f>
        <v/>
      </c>
      <c r="D1356" s="5">
        <f>IF($B1356="","",VLOOKUP($B1356,Jogos!$A$2:$K$105,10,FALSE))</f>
        <v/>
      </c>
      <c r="E1356" s="5" t="inlineStr"/>
      <c r="F1356" s="5" t="inlineStr"/>
      <c r="G1356" s="8">
        <f>IF($B1356="","",VLOOKUP($B1356,Jogos!$A$2:$K$105,9,FALSE))</f>
        <v/>
      </c>
      <c r="H1356" s="8">
        <f>IF($B1356="","",VLOOKUP($B1356,Jogos!$A$2:$K$105,11,FALSE))</f>
        <v/>
      </c>
      <c r="I1356" s="5">
        <f>IF(OR($A1356="", $B1356="", $E1356="", $F1356="", $G1356="", $H1356=""), "",IF(AND($E1356=$G1356, $F1356=$H1356), 3, IF(SIGN($E1356-$F1356)=SIGN($G1356-$H1356), 1, 0))))</f>
        <v/>
      </c>
    </row>
    <row r="1357">
      <c r="A1357" s="5" t="inlineStr"/>
      <c r="B1357" s="5" t="inlineStr"/>
      <c r="C1357" s="5">
        <f>IF($B1357="","",VLOOKUP($B1357,Jogos!$A$2:$K$105,8,FALSE))</f>
        <v/>
      </c>
      <c r="D1357" s="5">
        <f>IF($B1357="","",VLOOKUP($B1357,Jogos!$A$2:$K$105,10,FALSE))</f>
        <v/>
      </c>
      <c r="E1357" s="5" t="inlineStr"/>
      <c r="F1357" s="5" t="inlineStr"/>
      <c r="G1357" s="8">
        <f>IF($B1357="","",VLOOKUP($B1357,Jogos!$A$2:$K$105,9,FALSE))</f>
        <v/>
      </c>
      <c r="H1357" s="8">
        <f>IF($B1357="","",VLOOKUP($B1357,Jogos!$A$2:$K$105,11,FALSE))</f>
        <v/>
      </c>
      <c r="I1357" s="5">
        <f>IF(OR($A1357="", $B1357="", $E1357="", $F1357="", $G1357="", $H1357=""), "",IF(AND($E1357=$G1357, $F1357=$H1357), 3, IF(SIGN($E1357-$F1357)=SIGN($G1357-$H1357), 1, 0))))</f>
        <v/>
      </c>
    </row>
    <row r="1358">
      <c r="A1358" s="5" t="inlineStr"/>
      <c r="B1358" s="5" t="inlineStr"/>
      <c r="C1358" s="5">
        <f>IF($B1358="","",VLOOKUP($B1358,Jogos!$A$2:$K$105,8,FALSE))</f>
        <v/>
      </c>
      <c r="D1358" s="5">
        <f>IF($B1358="","",VLOOKUP($B1358,Jogos!$A$2:$K$105,10,FALSE))</f>
        <v/>
      </c>
      <c r="E1358" s="5" t="inlineStr"/>
      <c r="F1358" s="5" t="inlineStr"/>
      <c r="G1358" s="8">
        <f>IF($B1358="","",VLOOKUP($B1358,Jogos!$A$2:$K$105,9,FALSE))</f>
        <v/>
      </c>
      <c r="H1358" s="8">
        <f>IF($B1358="","",VLOOKUP($B1358,Jogos!$A$2:$K$105,11,FALSE))</f>
        <v/>
      </c>
      <c r="I1358" s="5">
        <f>IF(OR($A1358="", $B1358="", $E1358="", $F1358="", $G1358="", $H1358=""), "",IF(AND($E1358=$G1358, $F1358=$H1358), 3, IF(SIGN($E1358-$F1358)=SIGN($G1358-$H1358), 1, 0))))</f>
        <v/>
      </c>
    </row>
    <row r="1359">
      <c r="A1359" s="5" t="inlineStr"/>
      <c r="B1359" s="5" t="inlineStr"/>
      <c r="C1359" s="5">
        <f>IF($B1359="","",VLOOKUP($B1359,Jogos!$A$2:$K$105,8,FALSE))</f>
        <v/>
      </c>
      <c r="D1359" s="5">
        <f>IF($B1359="","",VLOOKUP($B1359,Jogos!$A$2:$K$105,10,FALSE))</f>
        <v/>
      </c>
      <c r="E1359" s="5" t="inlineStr"/>
      <c r="F1359" s="5" t="inlineStr"/>
      <c r="G1359" s="8">
        <f>IF($B1359="","",VLOOKUP($B1359,Jogos!$A$2:$K$105,9,FALSE))</f>
        <v/>
      </c>
      <c r="H1359" s="8">
        <f>IF($B1359="","",VLOOKUP($B1359,Jogos!$A$2:$K$105,11,FALSE))</f>
        <v/>
      </c>
      <c r="I1359" s="5">
        <f>IF(OR($A1359="", $B1359="", $E1359="", $F1359="", $G1359="", $H1359=""), "",IF(AND($E1359=$G1359, $F1359=$H1359), 3, IF(SIGN($E1359-$F1359)=SIGN($G1359-$H1359), 1, 0))))</f>
        <v/>
      </c>
    </row>
    <row r="1360">
      <c r="A1360" s="5" t="inlineStr"/>
      <c r="B1360" s="5" t="inlineStr"/>
      <c r="C1360" s="5">
        <f>IF($B1360="","",VLOOKUP($B1360,Jogos!$A$2:$K$105,8,FALSE))</f>
        <v/>
      </c>
      <c r="D1360" s="5">
        <f>IF($B1360="","",VLOOKUP($B1360,Jogos!$A$2:$K$105,10,FALSE))</f>
        <v/>
      </c>
      <c r="E1360" s="5" t="inlineStr"/>
      <c r="F1360" s="5" t="inlineStr"/>
      <c r="G1360" s="8">
        <f>IF($B1360="","",VLOOKUP($B1360,Jogos!$A$2:$K$105,9,FALSE))</f>
        <v/>
      </c>
      <c r="H1360" s="8">
        <f>IF($B1360="","",VLOOKUP($B1360,Jogos!$A$2:$K$105,11,FALSE))</f>
        <v/>
      </c>
      <c r="I1360" s="5">
        <f>IF(OR($A1360="", $B1360="", $E1360="", $F1360="", $G1360="", $H1360=""), "",IF(AND($E1360=$G1360, $F1360=$H1360), 3, IF(SIGN($E1360-$F1360)=SIGN($G1360-$H1360), 1, 0))))</f>
        <v/>
      </c>
    </row>
    <row r="1361">
      <c r="A1361" s="5" t="inlineStr"/>
      <c r="B1361" s="5" t="inlineStr"/>
      <c r="C1361" s="5">
        <f>IF($B1361="","",VLOOKUP($B1361,Jogos!$A$2:$K$105,8,FALSE))</f>
        <v/>
      </c>
      <c r="D1361" s="5">
        <f>IF($B1361="","",VLOOKUP($B1361,Jogos!$A$2:$K$105,10,FALSE))</f>
        <v/>
      </c>
      <c r="E1361" s="5" t="inlineStr"/>
      <c r="F1361" s="5" t="inlineStr"/>
      <c r="G1361" s="8">
        <f>IF($B1361="","",VLOOKUP($B1361,Jogos!$A$2:$K$105,9,FALSE))</f>
        <v/>
      </c>
      <c r="H1361" s="8">
        <f>IF($B1361="","",VLOOKUP($B1361,Jogos!$A$2:$K$105,11,FALSE))</f>
        <v/>
      </c>
      <c r="I1361" s="5">
        <f>IF(OR($A1361="", $B1361="", $E1361="", $F1361="", $G1361="", $H1361=""), "",IF(AND($E1361=$G1361, $F1361=$H1361), 3, IF(SIGN($E1361-$F1361)=SIGN($G1361-$H1361), 1, 0))))</f>
        <v/>
      </c>
    </row>
    <row r="1362">
      <c r="A1362" s="5" t="inlineStr"/>
      <c r="B1362" s="5" t="inlineStr"/>
      <c r="C1362" s="5">
        <f>IF($B1362="","",VLOOKUP($B1362,Jogos!$A$2:$K$105,8,FALSE))</f>
        <v/>
      </c>
      <c r="D1362" s="5">
        <f>IF($B1362="","",VLOOKUP($B1362,Jogos!$A$2:$K$105,10,FALSE))</f>
        <v/>
      </c>
      <c r="E1362" s="5" t="inlineStr"/>
      <c r="F1362" s="5" t="inlineStr"/>
      <c r="G1362" s="8">
        <f>IF($B1362="","",VLOOKUP($B1362,Jogos!$A$2:$K$105,9,FALSE))</f>
        <v/>
      </c>
      <c r="H1362" s="8">
        <f>IF($B1362="","",VLOOKUP($B1362,Jogos!$A$2:$K$105,11,FALSE))</f>
        <v/>
      </c>
      <c r="I1362" s="5">
        <f>IF(OR($A1362="", $B1362="", $E1362="", $F1362="", $G1362="", $H1362=""), "",IF(AND($E1362=$G1362, $F1362=$H1362), 3, IF(SIGN($E1362-$F1362)=SIGN($G1362-$H1362), 1, 0))))</f>
        <v/>
      </c>
    </row>
    <row r="1363">
      <c r="A1363" s="5" t="inlineStr"/>
      <c r="B1363" s="5" t="inlineStr"/>
      <c r="C1363" s="5">
        <f>IF($B1363="","",VLOOKUP($B1363,Jogos!$A$2:$K$105,8,FALSE))</f>
        <v/>
      </c>
      <c r="D1363" s="5">
        <f>IF($B1363="","",VLOOKUP($B1363,Jogos!$A$2:$K$105,10,FALSE))</f>
        <v/>
      </c>
      <c r="E1363" s="5" t="inlineStr"/>
      <c r="F1363" s="5" t="inlineStr"/>
      <c r="G1363" s="8">
        <f>IF($B1363="","",VLOOKUP($B1363,Jogos!$A$2:$K$105,9,FALSE))</f>
        <v/>
      </c>
      <c r="H1363" s="8">
        <f>IF($B1363="","",VLOOKUP($B1363,Jogos!$A$2:$K$105,11,FALSE))</f>
        <v/>
      </c>
      <c r="I1363" s="5">
        <f>IF(OR($A1363="", $B1363="", $E1363="", $F1363="", $G1363="", $H1363=""), "",IF(AND($E1363=$G1363, $F1363=$H1363), 3, IF(SIGN($E1363-$F1363)=SIGN($G1363-$H1363), 1, 0))))</f>
        <v/>
      </c>
    </row>
    <row r="1364">
      <c r="A1364" s="5" t="inlineStr"/>
      <c r="B1364" s="5" t="inlineStr"/>
      <c r="C1364" s="5">
        <f>IF($B1364="","",VLOOKUP($B1364,Jogos!$A$2:$K$105,8,FALSE))</f>
        <v/>
      </c>
      <c r="D1364" s="5">
        <f>IF($B1364="","",VLOOKUP($B1364,Jogos!$A$2:$K$105,10,FALSE))</f>
        <v/>
      </c>
      <c r="E1364" s="5" t="inlineStr"/>
      <c r="F1364" s="5" t="inlineStr"/>
      <c r="G1364" s="8">
        <f>IF($B1364="","",VLOOKUP($B1364,Jogos!$A$2:$K$105,9,FALSE))</f>
        <v/>
      </c>
      <c r="H1364" s="8">
        <f>IF($B1364="","",VLOOKUP($B1364,Jogos!$A$2:$K$105,11,FALSE))</f>
        <v/>
      </c>
      <c r="I1364" s="5">
        <f>IF(OR($A1364="", $B1364="", $E1364="", $F1364="", $G1364="", $H1364=""), "",IF(AND($E1364=$G1364, $F1364=$H1364), 3, IF(SIGN($E1364-$F1364)=SIGN($G1364-$H1364), 1, 0))))</f>
        <v/>
      </c>
    </row>
    <row r="1365">
      <c r="A1365" s="5" t="inlineStr"/>
      <c r="B1365" s="5" t="inlineStr"/>
      <c r="C1365" s="5">
        <f>IF($B1365="","",VLOOKUP($B1365,Jogos!$A$2:$K$105,8,FALSE))</f>
        <v/>
      </c>
      <c r="D1365" s="5">
        <f>IF($B1365="","",VLOOKUP($B1365,Jogos!$A$2:$K$105,10,FALSE))</f>
        <v/>
      </c>
      <c r="E1365" s="5" t="inlineStr"/>
      <c r="F1365" s="5" t="inlineStr"/>
      <c r="G1365" s="8">
        <f>IF($B1365="","",VLOOKUP($B1365,Jogos!$A$2:$K$105,9,FALSE))</f>
        <v/>
      </c>
      <c r="H1365" s="8">
        <f>IF($B1365="","",VLOOKUP($B1365,Jogos!$A$2:$K$105,11,FALSE))</f>
        <v/>
      </c>
      <c r="I1365" s="5">
        <f>IF(OR($A1365="", $B1365="", $E1365="", $F1365="", $G1365="", $H1365=""), "",IF(AND($E1365=$G1365, $F1365=$H1365), 3, IF(SIGN($E1365-$F1365)=SIGN($G1365-$H1365), 1, 0))))</f>
        <v/>
      </c>
    </row>
    <row r="1366">
      <c r="A1366" s="5" t="inlineStr"/>
      <c r="B1366" s="5" t="inlineStr"/>
      <c r="C1366" s="5">
        <f>IF($B1366="","",VLOOKUP($B1366,Jogos!$A$2:$K$105,8,FALSE))</f>
        <v/>
      </c>
      <c r="D1366" s="5">
        <f>IF($B1366="","",VLOOKUP($B1366,Jogos!$A$2:$K$105,10,FALSE))</f>
        <v/>
      </c>
      <c r="E1366" s="5" t="inlineStr"/>
      <c r="F1366" s="5" t="inlineStr"/>
      <c r="G1366" s="8">
        <f>IF($B1366="","",VLOOKUP($B1366,Jogos!$A$2:$K$105,9,FALSE))</f>
        <v/>
      </c>
      <c r="H1366" s="8">
        <f>IF($B1366="","",VLOOKUP($B1366,Jogos!$A$2:$K$105,11,FALSE))</f>
        <v/>
      </c>
      <c r="I1366" s="5">
        <f>IF(OR($A1366="", $B1366="", $E1366="", $F1366="", $G1366="", $H1366=""), "",IF(AND($E1366=$G1366, $F1366=$H1366), 3, IF(SIGN($E1366-$F1366)=SIGN($G1366-$H1366), 1, 0))))</f>
        <v/>
      </c>
    </row>
    <row r="1367">
      <c r="A1367" s="5" t="inlineStr"/>
      <c r="B1367" s="5" t="inlineStr"/>
      <c r="C1367" s="5">
        <f>IF($B1367="","",VLOOKUP($B1367,Jogos!$A$2:$K$105,8,FALSE))</f>
        <v/>
      </c>
      <c r="D1367" s="5">
        <f>IF($B1367="","",VLOOKUP($B1367,Jogos!$A$2:$K$105,10,FALSE))</f>
        <v/>
      </c>
      <c r="E1367" s="5" t="inlineStr"/>
      <c r="F1367" s="5" t="inlineStr"/>
      <c r="G1367" s="8">
        <f>IF($B1367="","",VLOOKUP($B1367,Jogos!$A$2:$K$105,9,FALSE))</f>
        <v/>
      </c>
      <c r="H1367" s="8">
        <f>IF($B1367="","",VLOOKUP($B1367,Jogos!$A$2:$K$105,11,FALSE))</f>
        <v/>
      </c>
      <c r="I1367" s="5">
        <f>IF(OR($A1367="", $B1367="", $E1367="", $F1367="", $G1367="", $H1367=""), "",IF(AND($E1367=$G1367, $F1367=$H1367), 3, IF(SIGN($E1367-$F1367)=SIGN($G1367-$H1367), 1, 0))))</f>
        <v/>
      </c>
    </row>
    <row r="1368">
      <c r="A1368" s="5" t="inlineStr"/>
      <c r="B1368" s="5" t="inlineStr"/>
      <c r="C1368" s="5">
        <f>IF($B1368="","",VLOOKUP($B1368,Jogos!$A$2:$K$105,8,FALSE))</f>
        <v/>
      </c>
      <c r="D1368" s="5">
        <f>IF($B1368="","",VLOOKUP($B1368,Jogos!$A$2:$K$105,10,FALSE))</f>
        <v/>
      </c>
      <c r="E1368" s="5" t="inlineStr"/>
      <c r="F1368" s="5" t="inlineStr"/>
      <c r="G1368" s="8">
        <f>IF($B1368="","",VLOOKUP($B1368,Jogos!$A$2:$K$105,9,FALSE))</f>
        <v/>
      </c>
      <c r="H1368" s="8">
        <f>IF($B1368="","",VLOOKUP($B1368,Jogos!$A$2:$K$105,11,FALSE))</f>
        <v/>
      </c>
      <c r="I1368" s="5">
        <f>IF(OR($A1368="", $B1368="", $E1368="", $F1368="", $G1368="", $H1368=""), "",IF(AND($E1368=$G1368, $F1368=$H1368), 3, IF(SIGN($E1368-$F1368)=SIGN($G1368-$H1368), 1, 0))))</f>
        <v/>
      </c>
    </row>
    <row r="1369">
      <c r="A1369" s="5" t="inlineStr"/>
      <c r="B1369" s="5" t="inlineStr"/>
      <c r="C1369" s="5">
        <f>IF($B1369="","",VLOOKUP($B1369,Jogos!$A$2:$K$105,8,FALSE))</f>
        <v/>
      </c>
      <c r="D1369" s="5">
        <f>IF($B1369="","",VLOOKUP($B1369,Jogos!$A$2:$K$105,10,FALSE))</f>
        <v/>
      </c>
      <c r="E1369" s="5" t="inlineStr"/>
      <c r="F1369" s="5" t="inlineStr"/>
      <c r="G1369" s="8">
        <f>IF($B1369="","",VLOOKUP($B1369,Jogos!$A$2:$K$105,9,FALSE))</f>
        <v/>
      </c>
      <c r="H1369" s="8">
        <f>IF($B1369="","",VLOOKUP($B1369,Jogos!$A$2:$K$105,11,FALSE))</f>
        <v/>
      </c>
      <c r="I1369" s="5">
        <f>IF(OR($A1369="", $B1369="", $E1369="", $F1369="", $G1369="", $H1369=""), "",IF(AND($E1369=$G1369, $F1369=$H1369), 3, IF(SIGN($E1369-$F1369)=SIGN($G1369-$H1369), 1, 0))))</f>
        <v/>
      </c>
    </row>
    <row r="1370">
      <c r="A1370" s="5" t="inlineStr"/>
      <c r="B1370" s="5" t="inlineStr"/>
      <c r="C1370" s="5">
        <f>IF($B1370="","",VLOOKUP($B1370,Jogos!$A$2:$K$105,8,FALSE))</f>
        <v/>
      </c>
      <c r="D1370" s="5">
        <f>IF($B1370="","",VLOOKUP($B1370,Jogos!$A$2:$K$105,10,FALSE))</f>
        <v/>
      </c>
      <c r="E1370" s="5" t="inlineStr"/>
      <c r="F1370" s="5" t="inlineStr"/>
      <c r="G1370" s="8">
        <f>IF($B1370="","",VLOOKUP($B1370,Jogos!$A$2:$K$105,9,FALSE))</f>
        <v/>
      </c>
      <c r="H1370" s="8">
        <f>IF($B1370="","",VLOOKUP($B1370,Jogos!$A$2:$K$105,11,FALSE))</f>
        <v/>
      </c>
      <c r="I1370" s="5">
        <f>IF(OR($A1370="", $B1370="", $E1370="", $F1370="", $G1370="", $H1370=""), "",IF(AND($E1370=$G1370, $F1370=$H1370), 3, IF(SIGN($E1370-$F1370)=SIGN($G1370-$H1370), 1, 0))))</f>
        <v/>
      </c>
    </row>
    <row r="1371">
      <c r="A1371" s="5" t="inlineStr"/>
      <c r="B1371" s="5" t="inlineStr"/>
      <c r="C1371" s="5">
        <f>IF($B1371="","",VLOOKUP($B1371,Jogos!$A$2:$K$105,8,FALSE))</f>
        <v/>
      </c>
      <c r="D1371" s="5">
        <f>IF($B1371="","",VLOOKUP($B1371,Jogos!$A$2:$K$105,10,FALSE))</f>
        <v/>
      </c>
      <c r="E1371" s="5" t="inlineStr"/>
      <c r="F1371" s="5" t="inlineStr"/>
      <c r="G1371" s="8">
        <f>IF($B1371="","",VLOOKUP($B1371,Jogos!$A$2:$K$105,9,FALSE))</f>
        <v/>
      </c>
      <c r="H1371" s="8">
        <f>IF($B1371="","",VLOOKUP($B1371,Jogos!$A$2:$K$105,11,FALSE))</f>
        <v/>
      </c>
      <c r="I1371" s="5">
        <f>IF(OR($A1371="", $B1371="", $E1371="", $F1371="", $G1371="", $H1371=""), "",IF(AND($E1371=$G1371, $F1371=$H1371), 3, IF(SIGN($E1371-$F1371)=SIGN($G1371-$H1371), 1, 0))))</f>
        <v/>
      </c>
    </row>
    <row r="1372">
      <c r="A1372" s="5" t="inlineStr"/>
      <c r="B1372" s="5" t="inlineStr"/>
      <c r="C1372" s="5">
        <f>IF($B1372="","",VLOOKUP($B1372,Jogos!$A$2:$K$105,8,FALSE))</f>
        <v/>
      </c>
      <c r="D1372" s="5">
        <f>IF($B1372="","",VLOOKUP($B1372,Jogos!$A$2:$K$105,10,FALSE))</f>
        <v/>
      </c>
      <c r="E1372" s="5" t="inlineStr"/>
      <c r="F1372" s="5" t="inlineStr"/>
      <c r="G1372" s="8">
        <f>IF($B1372="","",VLOOKUP($B1372,Jogos!$A$2:$K$105,9,FALSE))</f>
        <v/>
      </c>
      <c r="H1372" s="8">
        <f>IF($B1372="","",VLOOKUP($B1372,Jogos!$A$2:$K$105,11,FALSE))</f>
        <v/>
      </c>
      <c r="I1372" s="5">
        <f>IF(OR($A1372="", $B1372="", $E1372="", $F1372="", $G1372="", $H1372=""), "",IF(AND($E1372=$G1372, $F1372=$H1372), 3, IF(SIGN($E1372-$F1372)=SIGN($G1372-$H1372), 1, 0))))</f>
        <v/>
      </c>
    </row>
    <row r="1373">
      <c r="A1373" s="5" t="inlineStr"/>
      <c r="B1373" s="5" t="inlineStr"/>
      <c r="C1373" s="5">
        <f>IF($B1373="","",VLOOKUP($B1373,Jogos!$A$2:$K$105,8,FALSE))</f>
        <v/>
      </c>
      <c r="D1373" s="5">
        <f>IF($B1373="","",VLOOKUP($B1373,Jogos!$A$2:$K$105,10,FALSE))</f>
        <v/>
      </c>
      <c r="E1373" s="5" t="inlineStr"/>
      <c r="F1373" s="5" t="inlineStr"/>
      <c r="G1373" s="8">
        <f>IF($B1373="","",VLOOKUP($B1373,Jogos!$A$2:$K$105,9,FALSE))</f>
        <v/>
      </c>
      <c r="H1373" s="8">
        <f>IF($B1373="","",VLOOKUP($B1373,Jogos!$A$2:$K$105,11,FALSE))</f>
        <v/>
      </c>
      <c r="I1373" s="5">
        <f>IF(OR($A1373="", $B1373="", $E1373="", $F1373="", $G1373="", $H1373=""), "",IF(AND($E1373=$G1373, $F1373=$H1373), 3, IF(SIGN($E1373-$F1373)=SIGN($G1373-$H1373), 1, 0))))</f>
        <v/>
      </c>
    </row>
    <row r="1374">
      <c r="A1374" s="5" t="inlineStr"/>
      <c r="B1374" s="5" t="inlineStr"/>
      <c r="C1374" s="5">
        <f>IF($B1374="","",VLOOKUP($B1374,Jogos!$A$2:$K$105,8,FALSE))</f>
        <v/>
      </c>
      <c r="D1374" s="5">
        <f>IF($B1374="","",VLOOKUP($B1374,Jogos!$A$2:$K$105,10,FALSE))</f>
        <v/>
      </c>
      <c r="E1374" s="5" t="inlineStr"/>
      <c r="F1374" s="5" t="inlineStr"/>
      <c r="G1374" s="8">
        <f>IF($B1374="","",VLOOKUP($B1374,Jogos!$A$2:$K$105,9,FALSE))</f>
        <v/>
      </c>
      <c r="H1374" s="8">
        <f>IF($B1374="","",VLOOKUP($B1374,Jogos!$A$2:$K$105,11,FALSE))</f>
        <v/>
      </c>
      <c r="I1374" s="5">
        <f>IF(OR($A1374="", $B1374="", $E1374="", $F1374="", $G1374="", $H1374=""), "",IF(AND($E1374=$G1374, $F1374=$H1374), 3, IF(SIGN($E1374-$F1374)=SIGN($G1374-$H1374), 1, 0))))</f>
        <v/>
      </c>
    </row>
    <row r="1375">
      <c r="A1375" s="5" t="inlineStr"/>
      <c r="B1375" s="5" t="inlineStr"/>
      <c r="C1375" s="5">
        <f>IF($B1375="","",VLOOKUP($B1375,Jogos!$A$2:$K$105,8,FALSE))</f>
        <v/>
      </c>
      <c r="D1375" s="5">
        <f>IF($B1375="","",VLOOKUP($B1375,Jogos!$A$2:$K$105,10,FALSE))</f>
        <v/>
      </c>
      <c r="E1375" s="5" t="inlineStr"/>
      <c r="F1375" s="5" t="inlineStr"/>
      <c r="G1375" s="8">
        <f>IF($B1375="","",VLOOKUP($B1375,Jogos!$A$2:$K$105,9,FALSE))</f>
        <v/>
      </c>
      <c r="H1375" s="8">
        <f>IF($B1375="","",VLOOKUP($B1375,Jogos!$A$2:$K$105,11,FALSE))</f>
        <v/>
      </c>
      <c r="I1375" s="5">
        <f>IF(OR($A1375="", $B1375="", $E1375="", $F1375="", $G1375="", $H1375=""), "",IF(AND($E1375=$G1375, $F1375=$H1375), 3, IF(SIGN($E1375-$F1375)=SIGN($G1375-$H1375), 1, 0))))</f>
        <v/>
      </c>
    </row>
    <row r="1376">
      <c r="A1376" s="5" t="inlineStr"/>
      <c r="B1376" s="5" t="inlineStr"/>
      <c r="C1376" s="5">
        <f>IF($B1376="","",VLOOKUP($B1376,Jogos!$A$2:$K$105,8,FALSE))</f>
        <v/>
      </c>
      <c r="D1376" s="5">
        <f>IF($B1376="","",VLOOKUP($B1376,Jogos!$A$2:$K$105,10,FALSE))</f>
        <v/>
      </c>
      <c r="E1376" s="5" t="inlineStr"/>
      <c r="F1376" s="5" t="inlineStr"/>
      <c r="G1376" s="8">
        <f>IF($B1376="","",VLOOKUP($B1376,Jogos!$A$2:$K$105,9,FALSE))</f>
        <v/>
      </c>
      <c r="H1376" s="8">
        <f>IF($B1376="","",VLOOKUP($B1376,Jogos!$A$2:$K$105,11,FALSE))</f>
        <v/>
      </c>
      <c r="I1376" s="5">
        <f>IF(OR($A1376="", $B1376="", $E1376="", $F1376="", $G1376="", $H1376=""), "",IF(AND($E1376=$G1376, $F1376=$H1376), 3, IF(SIGN($E1376-$F1376)=SIGN($G1376-$H1376), 1, 0))))</f>
        <v/>
      </c>
    </row>
    <row r="1377">
      <c r="A1377" s="5" t="inlineStr"/>
      <c r="B1377" s="5" t="inlineStr"/>
      <c r="C1377" s="5">
        <f>IF($B1377="","",VLOOKUP($B1377,Jogos!$A$2:$K$105,8,FALSE))</f>
        <v/>
      </c>
      <c r="D1377" s="5">
        <f>IF($B1377="","",VLOOKUP($B1377,Jogos!$A$2:$K$105,10,FALSE))</f>
        <v/>
      </c>
      <c r="E1377" s="5" t="inlineStr"/>
      <c r="F1377" s="5" t="inlineStr"/>
      <c r="G1377" s="8">
        <f>IF($B1377="","",VLOOKUP($B1377,Jogos!$A$2:$K$105,9,FALSE))</f>
        <v/>
      </c>
      <c r="H1377" s="8">
        <f>IF($B1377="","",VLOOKUP($B1377,Jogos!$A$2:$K$105,11,FALSE))</f>
        <v/>
      </c>
      <c r="I1377" s="5">
        <f>IF(OR($A1377="", $B1377="", $E1377="", $F1377="", $G1377="", $H1377=""), "",IF(AND($E1377=$G1377, $F1377=$H1377), 3, IF(SIGN($E1377-$F1377)=SIGN($G1377-$H1377), 1, 0))))</f>
        <v/>
      </c>
    </row>
    <row r="1378">
      <c r="A1378" s="5" t="inlineStr"/>
      <c r="B1378" s="5" t="inlineStr"/>
      <c r="C1378" s="5">
        <f>IF($B1378="","",VLOOKUP($B1378,Jogos!$A$2:$K$105,8,FALSE))</f>
        <v/>
      </c>
      <c r="D1378" s="5">
        <f>IF($B1378="","",VLOOKUP($B1378,Jogos!$A$2:$K$105,10,FALSE))</f>
        <v/>
      </c>
      <c r="E1378" s="5" t="inlineStr"/>
      <c r="F1378" s="5" t="inlineStr"/>
      <c r="G1378" s="8">
        <f>IF($B1378="","",VLOOKUP($B1378,Jogos!$A$2:$K$105,9,FALSE))</f>
        <v/>
      </c>
      <c r="H1378" s="8">
        <f>IF($B1378="","",VLOOKUP($B1378,Jogos!$A$2:$K$105,11,FALSE))</f>
        <v/>
      </c>
      <c r="I1378" s="5">
        <f>IF(OR($A1378="", $B1378="", $E1378="", $F1378="", $G1378="", $H1378=""), "",IF(AND($E1378=$G1378, $F1378=$H1378), 3, IF(SIGN($E1378-$F1378)=SIGN($G1378-$H1378), 1, 0))))</f>
        <v/>
      </c>
    </row>
    <row r="1379">
      <c r="A1379" s="5" t="inlineStr"/>
      <c r="B1379" s="5" t="inlineStr"/>
      <c r="C1379" s="5">
        <f>IF($B1379="","",VLOOKUP($B1379,Jogos!$A$2:$K$105,8,FALSE))</f>
        <v/>
      </c>
      <c r="D1379" s="5">
        <f>IF($B1379="","",VLOOKUP($B1379,Jogos!$A$2:$K$105,10,FALSE))</f>
        <v/>
      </c>
      <c r="E1379" s="5" t="inlineStr"/>
      <c r="F1379" s="5" t="inlineStr"/>
      <c r="G1379" s="8">
        <f>IF($B1379="","",VLOOKUP($B1379,Jogos!$A$2:$K$105,9,FALSE))</f>
        <v/>
      </c>
      <c r="H1379" s="8">
        <f>IF($B1379="","",VLOOKUP($B1379,Jogos!$A$2:$K$105,11,FALSE))</f>
        <v/>
      </c>
      <c r="I1379" s="5">
        <f>IF(OR($A1379="", $B1379="", $E1379="", $F1379="", $G1379="", $H1379=""), "",IF(AND($E1379=$G1379, $F1379=$H1379), 3, IF(SIGN($E1379-$F1379)=SIGN($G1379-$H1379), 1, 0))))</f>
        <v/>
      </c>
    </row>
    <row r="1380">
      <c r="A1380" s="5" t="inlineStr"/>
      <c r="B1380" s="5" t="inlineStr"/>
      <c r="C1380" s="5">
        <f>IF($B1380="","",VLOOKUP($B1380,Jogos!$A$2:$K$105,8,FALSE))</f>
        <v/>
      </c>
      <c r="D1380" s="5">
        <f>IF($B1380="","",VLOOKUP($B1380,Jogos!$A$2:$K$105,10,FALSE))</f>
        <v/>
      </c>
      <c r="E1380" s="5" t="inlineStr"/>
      <c r="F1380" s="5" t="inlineStr"/>
      <c r="G1380" s="8">
        <f>IF($B1380="","",VLOOKUP($B1380,Jogos!$A$2:$K$105,9,FALSE))</f>
        <v/>
      </c>
      <c r="H1380" s="8">
        <f>IF($B1380="","",VLOOKUP($B1380,Jogos!$A$2:$K$105,11,FALSE))</f>
        <v/>
      </c>
      <c r="I1380" s="5">
        <f>IF(OR($A1380="", $B1380="", $E1380="", $F1380="", $G1380="", $H1380=""), "",IF(AND($E1380=$G1380, $F1380=$H1380), 3, IF(SIGN($E1380-$F1380)=SIGN($G1380-$H1380), 1, 0))))</f>
        <v/>
      </c>
    </row>
    <row r="1381">
      <c r="A1381" s="5" t="inlineStr"/>
      <c r="B1381" s="5" t="inlineStr"/>
      <c r="C1381" s="5">
        <f>IF($B1381="","",VLOOKUP($B1381,Jogos!$A$2:$K$105,8,FALSE))</f>
        <v/>
      </c>
      <c r="D1381" s="5">
        <f>IF($B1381="","",VLOOKUP($B1381,Jogos!$A$2:$K$105,10,FALSE))</f>
        <v/>
      </c>
      <c r="E1381" s="5" t="inlineStr"/>
      <c r="F1381" s="5" t="inlineStr"/>
      <c r="G1381" s="8">
        <f>IF($B1381="","",VLOOKUP($B1381,Jogos!$A$2:$K$105,9,FALSE))</f>
        <v/>
      </c>
      <c r="H1381" s="8">
        <f>IF($B1381="","",VLOOKUP($B1381,Jogos!$A$2:$K$105,11,FALSE))</f>
        <v/>
      </c>
      <c r="I1381" s="5">
        <f>IF(OR($A1381="", $B1381="", $E1381="", $F1381="", $G1381="", $H1381=""), "",IF(AND($E1381=$G1381, $F1381=$H1381), 3, IF(SIGN($E1381-$F1381)=SIGN($G1381-$H1381), 1, 0))))</f>
        <v/>
      </c>
    </row>
    <row r="1382">
      <c r="A1382" s="5" t="inlineStr"/>
      <c r="B1382" s="5" t="inlineStr"/>
      <c r="C1382" s="5">
        <f>IF($B1382="","",VLOOKUP($B1382,Jogos!$A$2:$K$105,8,FALSE))</f>
        <v/>
      </c>
      <c r="D1382" s="5">
        <f>IF($B1382="","",VLOOKUP($B1382,Jogos!$A$2:$K$105,10,FALSE))</f>
        <v/>
      </c>
      <c r="E1382" s="5" t="inlineStr"/>
      <c r="F1382" s="5" t="inlineStr"/>
      <c r="G1382" s="8">
        <f>IF($B1382="","",VLOOKUP($B1382,Jogos!$A$2:$K$105,9,FALSE))</f>
        <v/>
      </c>
      <c r="H1382" s="8">
        <f>IF($B1382="","",VLOOKUP($B1382,Jogos!$A$2:$K$105,11,FALSE))</f>
        <v/>
      </c>
      <c r="I1382" s="5">
        <f>IF(OR($A1382="", $B1382="", $E1382="", $F1382="", $G1382="", $H1382=""), "",IF(AND($E1382=$G1382, $F1382=$H1382), 3, IF(SIGN($E1382-$F1382)=SIGN($G1382-$H1382), 1, 0))))</f>
        <v/>
      </c>
    </row>
    <row r="1383">
      <c r="A1383" s="5" t="inlineStr"/>
      <c r="B1383" s="5" t="inlineStr"/>
      <c r="C1383" s="5">
        <f>IF($B1383="","",VLOOKUP($B1383,Jogos!$A$2:$K$105,8,FALSE))</f>
        <v/>
      </c>
      <c r="D1383" s="5">
        <f>IF($B1383="","",VLOOKUP($B1383,Jogos!$A$2:$K$105,10,FALSE))</f>
        <v/>
      </c>
      <c r="E1383" s="5" t="inlineStr"/>
      <c r="F1383" s="5" t="inlineStr"/>
      <c r="G1383" s="8">
        <f>IF($B1383="","",VLOOKUP($B1383,Jogos!$A$2:$K$105,9,FALSE))</f>
        <v/>
      </c>
      <c r="H1383" s="8">
        <f>IF($B1383="","",VLOOKUP($B1383,Jogos!$A$2:$K$105,11,FALSE))</f>
        <v/>
      </c>
      <c r="I1383" s="5">
        <f>IF(OR($A1383="", $B1383="", $E1383="", $F1383="", $G1383="", $H1383=""), "",IF(AND($E1383=$G1383, $F1383=$H1383), 3, IF(SIGN($E1383-$F1383)=SIGN($G1383-$H1383), 1, 0))))</f>
        <v/>
      </c>
    </row>
    <row r="1384">
      <c r="A1384" s="5" t="inlineStr"/>
      <c r="B1384" s="5" t="inlineStr"/>
      <c r="C1384" s="5">
        <f>IF($B1384="","",VLOOKUP($B1384,Jogos!$A$2:$K$105,8,FALSE))</f>
        <v/>
      </c>
      <c r="D1384" s="5">
        <f>IF($B1384="","",VLOOKUP($B1384,Jogos!$A$2:$K$105,10,FALSE))</f>
        <v/>
      </c>
      <c r="E1384" s="5" t="inlineStr"/>
      <c r="F1384" s="5" t="inlineStr"/>
      <c r="G1384" s="8">
        <f>IF($B1384="","",VLOOKUP($B1384,Jogos!$A$2:$K$105,9,FALSE))</f>
        <v/>
      </c>
      <c r="H1384" s="8">
        <f>IF($B1384="","",VLOOKUP($B1384,Jogos!$A$2:$K$105,11,FALSE))</f>
        <v/>
      </c>
      <c r="I1384" s="5">
        <f>IF(OR($A1384="", $B1384="", $E1384="", $F1384="", $G1384="", $H1384=""), "",IF(AND($E1384=$G1384, $F1384=$H1384), 3, IF(SIGN($E1384-$F1384)=SIGN($G1384-$H1384), 1, 0))))</f>
        <v/>
      </c>
    </row>
    <row r="1385">
      <c r="A1385" s="5" t="inlineStr"/>
      <c r="B1385" s="5" t="inlineStr"/>
      <c r="C1385" s="5">
        <f>IF($B1385="","",VLOOKUP($B1385,Jogos!$A$2:$K$105,8,FALSE))</f>
        <v/>
      </c>
      <c r="D1385" s="5">
        <f>IF($B1385="","",VLOOKUP($B1385,Jogos!$A$2:$K$105,10,FALSE))</f>
        <v/>
      </c>
      <c r="E1385" s="5" t="inlineStr"/>
      <c r="F1385" s="5" t="inlineStr"/>
      <c r="G1385" s="8">
        <f>IF($B1385="","",VLOOKUP($B1385,Jogos!$A$2:$K$105,9,FALSE))</f>
        <v/>
      </c>
      <c r="H1385" s="8">
        <f>IF($B1385="","",VLOOKUP($B1385,Jogos!$A$2:$K$105,11,FALSE))</f>
        <v/>
      </c>
      <c r="I1385" s="5">
        <f>IF(OR($A1385="", $B1385="", $E1385="", $F1385="", $G1385="", $H1385=""), "",IF(AND($E1385=$G1385, $F1385=$H1385), 3, IF(SIGN($E1385-$F1385)=SIGN($G1385-$H1385), 1, 0))))</f>
        <v/>
      </c>
    </row>
    <row r="1386">
      <c r="A1386" s="5" t="inlineStr"/>
      <c r="B1386" s="5" t="inlineStr"/>
      <c r="C1386" s="5">
        <f>IF($B1386="","",VLOOKUP($B1386,Jogos!$A$2:$K$105,8,FALSE))</f>
        <v/>
      </c>
      <c r="D1386" s="5">
        <f>IF($B1386="","",VLOOKUP($B1386,Jogos!$A$2:$K$105,10,FALSE))</f>
        <v/>
      </c>
      <c r="E1386" s="5" t="inlineStr"/>
      <c r="F1386" s="5" t="inlineStr"/>
      <c r="G1386" s="8">
        <f>IF($B1386="","",VLOOKUP($B1386,Jogos!$A$2:$K$105,9,FALSE))</f>
        <v/>
      </c>
      <c r="H1386" s="8">
        <f>IF($B1386="","",VLOOKUP($B1386,Jogos!$A$2:$K$105,11,FALSE))</f>
        <v/>
      </c>
      <c r="I1386" s="5">
        <f>IF(OR($A1386="", $B1386="", $E1386="", $F1386="", $G1386="", $H1386=""), "",IF(AND($E1386=$G1386, $F1386=$H1386), 3, IF(SIGN($E1386-$F1386)=SIGN($G1386-$H1386), 1, 0))))</f>
        <v/>
      </c>
    </row>
    <row r="1387">
      <c r="A1387" s="5" t="inlineStr"/>
      <c r="B1387" s="5" t="inlineStr"/>
      <c r="C1387" s="5">
        <f>IF($B1387="","",VLOOKUP($B1387,Jogos!$A$2:$K$105,8,FALSE))</f>
        <v/>
      </c>
      <c r="D1387" s="5">
        <f>IF($B1387="","",VLOOKUP($B1387,Jogos!$A$2:$K$105,10,FALSE))</f>
        <v/>
      </c>
      <c r="E1387" s="5" t="inlineStr"/>
      <c r="F1387" s="5" t="inlineStr"/>
      <c r="G1387" s="8">
        <f>IF($B1387="","",VLOOKUP($B1387,Jogos!$A$2:$K$105,9,FALSE))</f>
        <v/>
      </c>
      <c r="H1387" s="8">
        <f>IF($B1387="","",VLOOKUP($B1387,Jogos!$A$2:$K$105,11,FALSE))</f>
        <v/>
      </c>
      <c r="I1387" s="5">
        <f>IF(OR($A1387="", $B1387="", $E1387="", $F1387="", $G1387="", $H1387=""), "",IF(AND($E1387=$G1387, $F1387=$H1387), 3, IF(SIGN($E1387-$F1387)=SIGN($G1387-$H1387), 1, 0))))</f>
        <v/>
      </c>
    </row>
    <row r="1388">
      <c r="A1388" s="5" t="inlineStr"/>
      <c r="B1388" s="5" t="inlineStr"/>
      <c r="C1388" s="5">
        <f>IF($B1388="","",VLOOKUP($B1388,Jogos!$A$2:$K$105,8,FALSE))</f>
        <v/>
      </c>
      <c r="D1388" s="5">
        <f>IF($B1388="","",VLOOKUP($B1388,Jogos!$A$2:$K$105,10,FALSE))</f>
        <v/>
      </c>
      <c r="E1388" s="5" t="inlineStr"/>
      <c r="F1388" s="5" t="inlineStr"/>
      <c r="G1388" s="8">
        <f>IF($B1388="","",VLOOKUP($B1388,Jogos!$A$2:$K$105,9,FALSE))</f>
        <v/>
      </c>
      <c r="H1388" s="8">
        <f>IF($B1388="","",VLOOKUP($B1388,Jogos!$A$2:$K$105,11,FALSE))</f>
        <v/>
      </c>
      <c r="I1388" s="5">
        <f>IF(OR($A1388="", $B1388="", $E1388="", $F1388="", $G1388="", $H1388=""), "",IF(AND($E1388=$G1388, $F1388=$H1388), 3, IF(SIGN($E1388-$F1388)=SIGN($G1388-$H1388), 1, 0))))</f>
        <v/>
      </c>
    </row>
    <row r="1389">
      <c r="A1389" s="5" t="inlineStr"/>
      <c r="B1389" s="5" t="inlineStr"/>
      <c r="C1389" s="5">
        <f>IF($B1389="","",VLOOKUP($B1389,Jogos!$A$2:$K$105,8,FALSE))</f>
        <v/>
      </c>
      <c r="D1389" s="5">
        <f>IF($B1389="","",VLOOKUP($B1389,Jogos!$A$2:$K$105,10,FALSE))</f>
        <v/>
      </c>
      <c r="E1389" s="5" t="inlineStr"/>
      <c r="F1389" s="5" t="inlineStr"/>
      <c r="G1389" s="8">
        <f>IF($B1389="","",VLOOKUP($B1389,Jogos!$A$2:$K$105,9,FALSE))</f>
        <v/>
      </c>
      <c r="H1389" s="8">
        <f>IF($B1389="","",VLOOKUP($B1389,Jogos!$A$2:$K$105,11,FALSE))</f>
        <v/>
      </c>
      <c r="I1389" s="5">
        <f>IF(OR($A1389="", $B1389="", $E1389="", $F1389="", $G1389="", $H1389=""), "",IF(AND($E1389=$G1389, $F1389=$H1389), 3, IF(SIGN($E1389-$F1389)=SIGN($G1389-$H1389), 1, 0))))</f>
        <v/>
      </c>
    </row>
    <row r="1390">
      <c r="A1390" s="5" t="inlineStr"/>
      <c r="B1390" s="5" t="inlineStr"/>
      <c r="C1390" s="5">
        <f>IF($B1390="","",VLOOKUP($B1390,Jogos!$A$2:$K$105,8,FALSE))</f>
        <v/>
      </c>
      <c r="D1390" s="5">
        <f>IF($B1390="","",VLOOKUP($B1390,Jogos!$A$2:$K$105,10,FALSE))</f>
        <v/>
      </c>
      <c r="E1390" s="5" t="inlineStr"/>
      <c r="F1390" s="5" t="inlineStr"/>
      <c r="G1390" s="8">
        <f>IF($B1390="","",VLOOKUP($B1390,Jogos!$A$2:$K$105,9,FALSE))</f>
        <v/>
      </c>
      <c r="H1390" s="8">
        <f>IF($B1390="","",VLOOKUP($B1390,Jogos!$A$2:$K$105,11,FALSE))</f>
        <v/>
      </c>
      <c r="I1390" s="5">
        <f>IF(OR($A1390="", $B1390="", $E1390="", $F1390="", $G1390="", $H1390=""), "",IF(AND($E1390=$G1390, $F1390=$H1390), 3, IF(SIGN($E1390-$F1390)=SIGN($G1390-$H1390), 1, 0))))</f>
        <v/>
      </c>
    </row>
    <row r="1391">
      <c r="A1391" s="5" t="inlineStr"/>
      <c r="B1391" s="5" t="inlineStr"/>
      <c r="C1391" s="5">
        <f>IF($B1391="","",VLOOKUP($B1391,Jogos!$A$2:$K$105,8,FALSE))</f>
        <v/>
      </c>
      <c r="D1391" s="5">
        <f>IF($B1391="","",VLOOKUP($B1391,Jogos!$A$2:$K$105,10,FALSE))</f>
        <v/>
      </c>
      <c r="E1391" s="5" t="inlineStr"/>
      <c r="F1391" s="5" t="inlineStr"/>
      <c r="G1391" s="8">
        <f>IF($B1391="","",VLOOKUP($B1391,Jogos!$A$2:$K$105,9,FALSE))</f>
        <v/>
      </c>
      <c r="H1391" s="8">
        <f>IF($B1391="","",VLOOKUP($B1391,Jogos!$A$2:$K$105,11,FALSE))</f>
        <v/>
      </c>
      <c r="I1391" s="5">
        <f>IF(OR($A1391="", $B1391="", $E1391="", $F1391="", $G1391="", $H1391=""), "",IF(AND($E1391=$G1391, $F1391=$H1391), 3, IF(SIGN($E1391-$F1391)=SIGN($G1391-$H1391), 1, 0))))</f>
        <v/>
      </c>
    </row>
    <row r="1392">
      <c r="A1392" s="5" t="inlineStr"/>
      <c r="B1392" s="5" t="inlineStr"/>
      <c r="C1392" s="5">
        <f>IF($B1392="","",VLOOKUP($B1392,Jogos!$A$2:$K$105,8,FALSE))</f>
        <v/>
      </c>
      <c r="D1392" s="5">
        <f>IF($B1392="","",VLOOKUP($B1392,Jogos!$A$2:$K$105,10,FALSE))</f>
        <v/>
      </c>
      <c r="E1392" s="5" t="inlineStr"/>
      <c r="F1392" s="5" t="inlineStr"/>
      <c r="G1392" s="8">
        <f>IF($B1392="","",VLOOKUP($B1392,Jogos!$A$2:$K$105,9,FALSE))</f>
        <v/>
      </c>
      <c r="H1392" s="8">
        <f>IF($B1392="","",VLOOKUP($B1392,Jogos!$A$2:$K$105,11,FALSE))</f>
        <v/>
      </c>
      <c r="I1392" s="5">
        <f>IF(OR($A1392="", $B1392="", $E1392="", $F1392="", $G1392="", $H1392=""), "",IF(AND($E1392=$G1392, $F1392=$H1392), 3, IF(SIGN($E1392-$F1392)=SIGN($G1392-$H1392), 1, 0))))</f>
        <v/>
      </c>
    </row>
    <row r="1393">
      <c r="A1393" s="5" t="inlineStr"/>
      <c r="B1393" s="5" t="inlineStr"/>
      <c r="C1393" s="5">
        <f>IF($B1393="","",VLOOKUP($B1393,Jogos!$A$2:$K$105,8,FALSE))</f>
        <v/>
      </c>
      <c r="D1393" s="5">
        <f>IF($B1393="","",VLOOKUP($B1393,Jogos!$A$2:$K$105,10,FALSE))</f>
        <v/>
      </c>
      <c r="E1393" s="5" t="inlineStr"/>
      <c r="F1393" s="5" t="inlineStr"/>
      <c r="G1393" s="8">
        <f>IF($B1393="","",VLOOKUP($B1393,Jogos!$A$2:$K$105,9,FALSE))</f>
        <v/>
      </c>
      <c r="H1393" s="8">
        <f>IF($B1393="","",VLOOKUP($B1393,Jogos!$A$2:$K$105,11,FALSE))</f>
        <v/>
      </c>
      <c r="I1393" s="5">
        <f>IF(OR($A1393="", $B1393="", $E1393="", $F1393="", $G1393="", $H1393=""), "",IF(AND($E1393=$G1393, $F1393=$H1393), 3, IF(SIGN($E1393-$F1393)=SIGN($G1393-$H1393), 1, 0))))</f>
        <v/>
      </c>
    </row>
    <row r="1394">
      <c r="A1394" s="5" t="inlineStr"/>
      <c r="B1394" s="5" t="inlineStr"/>
      <c r="C1394" s="5">
        <f>IF($B1394="","",VLOOKUP($B1394,Jogos!$A$2:$K$105,8,FALSE))</f>
        <v/>
      </c>
      <c r="D1394" s="5">
        <f>IF($B1394="","",VLOOKUP($B1394,Jogos!$A$2:$K$105,10,FALSE))</f>
        <v/>
      </c>
      <c r="E1394" s="5" t="inlineStr"/>
      <c r="F1394" s="5" t="inlineStr"/>
      <c r="G1394" s="8">
        <f>IF($B1394="","",VLOOKUP($B1394,Jogos!$A$2:$K$105,9,FALSE))</f>
        <v/>
      </c>
      <c r="H1394" s="8">
        <f>IF($B1394="","",VLOOKUP($B1394,Jogos!$A$2:$K$105,11,FALSE))</f>
        <v/>
      </c>
      <c r="I1394" s="5">
        <f>IF(OR($A1394="", $B1394="", $E1394="", $F1394="", $G1394="", $H1394=""), "",IF(AND($E1394=$G1394, $F1394=$H1394), 3, IF(SIGN($E1394-$F1394)=SIGN($G1394-$H1394), 1, 0))))</f>
        <v/>
      </c>
    </row>
    <row r="1395">
      <c r="A1395" s="5" t="inlineStr"/>
      <c r="B1395" s="5" t="inlineStr"/>
      <c r="C1395" s="5">
        <f>IF($B1395="","",VLOOKUP($B1395,Jogos!$A$2:$K$105,8,FALSE))</f>
        <v/>
      </c>
      <c r="D1395" s="5">
        <f>IF($B1395="","",VLOOKUP($B1395,Jogos!$A$2:$K$105,10,FALSE))</f>
        <v/>
      </c>
      <c r="E1395" s="5" t="inlineStr"/>
      <c r="F1395" s="5" t="inlineStr"/>
      <c r="G1395" s="8">
        <f>IF($B1395="","",VLOOKUP($B1395,Jogos!$A$2:$K$105,9,FALSE))</f>
        <v/>
      </c>
      <c r="H1395" s="8">
        <f>IF($B1395="","",VLOOKUP($B1395,Jogos!$A$2:$K$105,11,FALSE))</f>
        <v/>
      </c>
      <c r="I1395" s="5">
        <f>IF(OR($A1395="", $B1395="", $E1395="", $F1395="", $G1395="", $H1395=""), "",IF(AND($E1395=$G1395, $F1395=$H1395), 3, IF(SIGN($E1395-$F1395)=SIGN($G1395-$H1395), 1, 0))))</f>
        <v/>
      </c>
    </row>
    <row r="1396">
      <c r="A1396" s="5" t="inlineStr"/>
      <c r="B1396" s="5" t="inlineStr"/>
      <c r="C1396" s="5">
        <f>IF($B1396="","",VLOOKUP($B1396,Jogos!$A$2:$K$105,8,FALSE))</f>
        <v/>
      </c>
      <c r="D1396" s="5">
        <f>IF($B1396="","",VLOOKUP($B1396,Jogos!$A$2:$K$105,10,FALSE))</f>
        <v/>
      </c>
      <c r="E1396" s="5" t="inlineStr"/>
      <c r="F1396" s="5" t="inlineStr"/>
      <c r="G1396" s="8">
        <f>IF($B1396="","",VLOOKUP($B1396,Jogos!$A$2:$K$105,9,FALSE))</f>
        <v/>
      </c>
      <c r="H1396" s="8">
        <f>IF($B1396="","",VLOOKUP($B1396,Jogos!$A$2:$K$105,11,FALSE))</f>
        <v/>
      </c>
      <c r="I1396" s="5">
        <f>IF(OR($A1396="", $B1396="", $E1396="", $F1396="", $G1396="", $H1396=""), "",IF(AND($E1396=$G1396, $F1396=$H1396), 3, IF(SIGN($E1396-$F1396)=SIGN($G1396-$H1396), 1, 0))))</f>
        <v/>
      </c>
    </row>
    <row r="1397">
      <c r="A1397" s="5" t="inlineStr"/>
      <c r="B1397" s="5" t="inlineStr"/>
      <c r="C1397" s="5">
        <f>IF($B1397="","",VLOOKUP($B1397,Jogos!$A$2:$K$105,8,FALSE))</f>
        <v/>
      </c>
      <c r="D1397" s="5">
        <f>IF($B1397="","",VLOOKUP($B1397,Jogos!$A$2:$K$105,10,FALSE))</f>
        <v/>
      </c>
      <c r="E1397" s="5" t="inlineStr"/>
      <c r="F1397" s="5" t="inlineStr"/>
      <c r="G1397" s="8">
        <f>IF($B1397="","",VLOOKUP($B1397,Jogos!$A$2:$K$105,9,FALSE))</f>
        <v/>
      </c>
      <c r="H1397" s="8">
        <f>IF($B1397="","",VLOOKUP($B1397,Jogos!$A$2:$K$105,11,FALSE))</f>
        <v/>
      </c>
      <c r="I1397" s="5">
        <f>IF(OR($A1397="", $B1397="", $E1397="", $F1397="", $G1397="", $H1397=""), "",IF(AND($E1397=$G1397, $F1397=$H1397), 3, IF(SIGN($E1397-$F1397)=SIGN($G1397-$H1397), 1, 0))))</f>
        <v/>
      </c>
    </row>
    <row r="1398">
      <c r="A1398" s="5" t="inlineStr"/>
      <c r="B1398" s="5" t="inlineStr"/>
      <c r="C1398" s="5">
        <f>IF($B1398="","",VLOOKUP($B1398,Jogos!$A$2:$K$105,8,FALSE))</f>
        <v/>
      </c>
      <c r="D1398" s="5">
        <f>IF($B1398="","",VLOOKUP($B1398,Jogos!$A$2:$K$105,10,FALSE))</f>
        <v/>
      </c>
      <c r="E1398" s="5" t="inlineStr"/>
      <c r="F1398" s="5" t="inlineStr"/>
      <c r="G1398" s="8">
        <f>IF($B1398="","",VLOOKUP($B1398,Jogos!$A$2:$K$105,9,FALSE))</f>
        <v/>
      </c>
      <c r="H1398" s="8">
        <f>IF($B1398="","",VLOOKUP($B1398,Jogos!$A$2:$K$105,11,FALSE))</f>
        <v/>
      </c>
      <c r="I1398" s="5">
        <f>IF(OR($A1398="", $B1398="", $E1398="", $F1398="", $G1398="", $H1398=""), "",IF(AND($E1398=$G1398, $F1398=$H1398), 3, IF(SIGN($E1398-$F1398)=SIGN($G1398-$H1398), 1, 0))))</f>
        <v/>
      </c>
    </row>
    <row r="1399">
      <c r="A1399" s="5" t="inlineStr"/>
      <c r="B1399" s="5" t="inlineStr"/>
      <c r="C1399" s="5">
        <f>IF($B1399="","",VLOOKUP($B1399,Jogos!$A$2:$K$105,8,FALSE))</f>
        <v/>
      </c>
      <c r="D1399" s="5">
        <f>IF($B1399="","",VLOOKUP($B1399,Jogos!$A$2:$K$105,10,FALSE))</f>
        <v/>
      </c>
      <c r="E1399" s="5" t="inlineStr"/>
      <c r="F1399" s="5" t="inlineStr"/>
      <c r="G1399" s="8">
        <f>IF($B1399="","",VLOOKUP($B1399,Jogos!$A$2:$K$105,9,FALSE))</f>
        <v/>
      </c>
      <c r="H1399" s="8">
        <f>IF($B1399="","",VLOOKUP($B1399,Jogos!$A$2:$K$105,11,FALSE))</f>
        <v/>
      </c>
      <c r="I1399" s="5">
        <f>IF(OR($A1399="", $B1399="", $E1399="", $F1399="", $G1399="", $H1399=""), "",IF(AND($E1399=$G1399, $F1399=$H1399), 3, IF(SIGN($E1399-$F1399)=SIGN($G1399-$H1399), 1, 0))))</f>
        <v/>
      </c>
    </row>
    <row r="1400">
      <c r="A1400" s="5" t="inlineStr"/>
      <c r="B1400" s="5" t="inlineStr"/>
      <c r="C1400" s="5">
        <f>IF($B1400="","",VLOOKUP($B1400,Jogos!$A$2:$K$105,8,FALSE))</f>
        <v/>
      </c>
      <c r="D1400" s="5">
        <f>IF($B1400="","",VLOOKUP($B1400,Jogos!$A$2:$K$105,10,FALSE))</f>
        <v/>
      </c>
      <c r="E1400" s="5" t="inlineStr"/>
      <c r="F1400" s="5" t="inlineStr"/>
      <c r="G1400" s="8">
        <f>IF($B1400="","",VLOOKUP($B1400,Jogos!$A$2:$K$105,9,FALSE))</f>
        <v/>
      </c>
      <c r="H1400" s="8">
        <f>IF($B1400="","",VLOOKUP($B1400,Jogos!$A$2:$K$105,11,FALSE))</f>
        <v/>
      </c>
      <c r="I1400" s="5">
        <f>IF(OR($A1400="", $B1400="", $E1400="", $F1400="", $G1400="", $H1400=""), "",IF(AND($E1400=$G1400, $F1400=$H1400), 3, IF(SIGN($E1400-$F1400)=SIGN($G1400-$H1400), 1, 0))))</f>
        <v/>
      </c>
    </row>
    <row r="1401">
      <c r="A1401" s="5" t="inlineStr"/>
      <c r="B1401" s="5" t="inlineStr"/>
      <c r="C1401" s="5">
        <f>IF($B1401="","",VLOOKUP($B1401,Jogos!$A$2:$K$105,8,FALSE))</f>
        <v/>
      </c>
      <c r="D1401" s="5">
        <f>IF($B1401="","",VLOOKUP($B1401,Jogos!$A$2:$K$105,10,FALSE))</f>
        <v/>
      </c>
      <c r="E1401" s="5" t="inlineStr"/>
      <c r="F1401" s="5" t="inlineStr"/>
      <c r="G1401" s="8">
        <f>IF($B1401="","",VLOOKUP($B1401,Jogos!$A$2:$K$105,9,FALSE))</f>
        <v/>
      </c>
      <c r="H1401" s="8">
        <f>IF($B1401="","",VLOOKUP($B1401,Jogos!$A$2:$K$105,11,FALSE))</f>
        <v/>
      </c>
      <c r="I1401" s="5">
        <f>IF(OR($A1401="", $B1401="", $E1401="", $F1401="", $G1401="", $H1401=""), "",IF(AND($E1401=$G1401, $F1401=$H1401), 3, IF(SIGN($E1401-$F1401)=SIGN($G1401-$H1401), 1, 0))))</f>
        <v/>
      </c>
    </row>
    <row r="1402">
      <c r="A1402" s="5" t="inlineStr"/>
      <c r="B1402" s="5" t="inlineStr"/>
      <c r="C1402" s="5">
        <f>IF($B1402="","",VLOOKUP($B1402,Jogos!$A$2:$K$105,8,FALSE))</f>
        <v/>
      </c>
      <c r="D1402" s="5">
        <f>IF($B1402="","",VLOOKUP($B1402,Jogos!$A$2:$K$105,10,FALSE))</f>
        <v/>
      </c>
      <c r="E1402" s="5" t="inlineStr"/>
      <c r="F1402" s="5" t="inlineStr"/>
      <c r="G1402" s="8">
        <f>IF($B1402="","",VLOOKUP($B1402,Jogos!$A$2:$K$105,9,FALSE))</f>
        <v/>
      </c>
      <c r="H1402" s="8">
        <f>IF($B1402="","",VLOOKUP($B1402,Jogos!$A$2:$K$105,11,FALSE))</f>
        <v/>
      </c>
      <c r="I1402" s="5">
        <f>IF(OR($A1402="", $B1402="", $E1402="", $F1402="", $G1402="", $H1402=""), "",IF(AND($E1402=$G1402, $F1402=$H1402), 3, IF(SIGN($E1402-$F1402)=SIGN($G1402-$H1402), 1, 0))))</f>
        <v/>
      </c>
    </row>
    <row r="1403">
      <c r="A1403" s="5" t="inlineStr"/>
      <c r="B1403" s="5" t="inlineStr"/>
      <c r="C1403" s="5">
        <f>IF($B1403="","",VLOOKUP($B1403,Jogos!$A$2:$K$105,8,FALSE))</f>
        <v/>
      </c>
      <c r="D1403" s="5">
        <f>IF($B1403="","",VLOOKUP($B1403,Jogos!$A$2:$K$105,10,FALSE))</f>
        <v/>
      </c>
      <c r="E1403" s="5" t="inlineStr"/>
      <c r="F1403" s="5" t="inlineStr"/>
      <c r="G1403" s="8">
        <f>IF($B1403="","",VLOOKUP($B1403,Jogos!$A$2:$K$105,9,FALSE))</f>
        <v/>
      </c>
      <c r="H1403" s="8">
        <f>IF($B1403="","",VLOOKUP($B1403,Jogos!$A$2:$K$105,11,FALSE))</f>
        <v/>
      </c>
      <c r="I1403" s="5">
        <f>IF(OR($A1403="", $B1403="", $E1403="", $F1403="", $G1403="", $H1403=""), "",IF(AND($E1403=$G1403, $F1403=$H1403), 3, IF(SIGN($E1403-$F1403)=SIGN($G1403-$H1403), 1, 0))))</f>
        <v/>
      </c>
    </row>
    <row r="1404">
      <c r="A1404" s="5" t="inlineStr"/>
      <c r="B1404" s="5" t="inlineStr"/>
      <c r="C1404" s="5">
        <f>IF($B1404="","",VLOOKUP($B1404,Jogos!$A$2:$K$105,8,FALSE))</f>
        <v/>
      </c>
      <c r="D1404" s="5">
        <f>IF($B1404="","",VLOOKUP($B1404,Jogos!$A$2:$K$105,10,FALSE))</f>
        <v/>
      </c>
      <c r="E1404" s="5" t="inlineStr"/>
      <c r="F1404" s="5" t="inlineStr"/>
      <c r="G1404" s="8">
        <f>IF($B1404="","",VLOOKUP($B1404,Jogos!$A$2:$K$105,9,FALSE))</f>
        <v/>
      </c>
      <c r="H1404" s="8">
        <f>IF($B1404="","",VLOOKUP($B1404,Jogos!$A$2:$K$105,11,FALSE))</f>
        <v/>
      </c>
      <c r="I1404" s="5">
        <f>IF(OR($A1404="", $B1404="", $E1404="", $F1404="", $G1404="", $H1404=""), "",IF(AND($E1404=$G1404, $F1404=$H1404), 3, IF(SIGN($E1404-$F1404)=SIGN($G1404-$H1404), 1, 0))))</f>
        <v/>
      </c>
    </row>
    <row r="1405">
      <c r="A1405" s="5" t="inlineStr"/>
      <c r="B1405" s="5" t="inlineStr"/>
      <c r="C1405" s="5">
        <f>IF($B1405="","",VLOOKUP($B1405,Jogos!$A$2:$K$105,8,FALSE))</f>
        <v/>
      </c>
      <c r="D1405" s="5">
        <f>IF($B1405="","",VLOOKUP($B1405,Jogos!$A$2:$K$105,10,FALSE))</f>
        <v/>
      </c>
      <c r="E1405" s="5" t="inlineStr"/>
      <c r="F1405" s="5" t="inlineStr"/>
      <c r="G1405" s="8">
        <f>IF($B1405="","",VLOOKUP($B1405,Jogos!$A$2:$K$105,9,FALSE))</f>
        <v/>
      </c>
      <c r="H1405" s="8">
        <f>IF($B1405="","",VLOOKUP($B1405,Jogos!$A$2:$K$105,11,FALSE))</f>
        <v/>
      </c>
      <c r="I1405" s="5">
        <f>IF(OR($A1405="", $B1405="", $E1405="", $F1405="", $G1405="", $H1405=""), "",IF(AND($E1405=$G1405, $F1405=$H1405), 3, IF(SIGN($E1405-$F1405)=SIGN($G1405-$H1405), 1, 0))))</f>
        <v/>
      </c>
    </row>
    <row r="1406">
      <c r="A1406" s="5" t="inlineStr"/>
      <c r="B1406" s="5" t="inlineStr"/>
      <c r="C1406" s="5">
        <f>IF($B1406="","",VLOOKUP($B1406,Jogos!$A$2:$K$105,8,FALSE))</f>
        <v/>
      </c>
      <c r="D1406" s="5">
        <f>IF($B1406="","",VLOOKUP($B1406,Jogos!$A$2:$K$105,10,FALSE))</f>
        <v/>
      </c>
      <c r="E1406" s="5" t="inlineStr"/>
      <c r="F1406" s="5" t="inlineStr"/>
      <c r="G1406" s="8">
        <f>IF($B1406="","",VLOOKUP($B1406,Jogos!$A$2:$K$105,9,FALSE))</f>
        <v/>
      </c>
      <c r="H1406" s="8">
        <f>IF($B1406="","",VLOOKUP($B1406,Jogos!$A$2:$K$105,11,FALSE))</f>
        <v/>
      </c>
      <c r="I1406" s="5">
        <f>IF(OR($A1406="", $B1406="", $E1406="", $F1406="", $G1406="", $H1406=""), "",IF(AND($E1406=$G1406, $F1406=$H1406), 3, IF(SIGN($E1406-$F1406)=SIGN($G1406-$H1406), 1, 0))))</f>
        <v/>
      </c>
    </row>
    <row r="1407">
      <c r="A1407" s="5" t="inlineStr"/>
      <c r="B1407" s="5" t="inlineStr"/>
      <c r="C1407" s="5">
        <f>IF($B1407="","",VLOOKUP($B1407,Jogos!$A$2:$K$105,8,FALSE))</f>
        <v/>
      </c>
      <c r="D1407" s="5">
        <f>IF($B1407="","",VLOOKUP($B1407,Jogos!$A$2:$K$105,10,FALSE))</f>
        <v/>
      </c>
      <c r="E1407" s="5" t="inlineStr"/>
      <c r="F1407" s="5" t="inlineStr"/>
      <c r="G1407" s="8">
        <f>IF($B1407="","",VLOOKUP($B1407,Jogos!$A$2:$K$105,9,FALSE))</f>
        <v/>
      </c>
      <c r="H1407" s="8">
        <f>IF($B1407="","",VLOOKUP($B1407,Jogos!$A$2:$K$105,11,FALSE))</f>
        <v/>
      </c>
      <c r="I1407" s="5">
        <f>IF(OR($A1407="", $B1407="", $E1407="", $F1407="", $G1407="", $H1407=""), "",IF(AND($E1407=$G1407, $F1407=$H1407), 3, IF(SIGN($E1407-$F1407)=SIGN($G1407-$H1407), 1, 0))))</f>
        <v/>
      </c>
    </row>
    <row r="1408">
      <c r="A1408" s="5" t="inlineStr"/>
      <c r="B1408" s="5" t="inlineStr"/>
      <c r="C1408" s="5">
        <f>IF($B1408="","",VLOOKUP($B1408,Jogos!$A$2:$K$105,8,FALSE))</f>
        <v/>
      </c>
      <c r="D1408" s="5">
        <f>IF($B1408="","",VLOOKUP($B1408,Jogos!$A$2:$K$105,10,FALSE))</f>
        <v/>
      </c>
      <c r="E1408" s="5" t="inlineStr"/>
      <c r="F1408" s="5" t="inlineStr"/>
      <c r="G1408" s="8">
        <f>IF($B1408="","",VLOOKUP($B1408,Jogos!$A$2:$K$105,9,FALSE))</f>
        <v/>
      </c>
      <c r="H1408" s="8">
        <f>IF($B1408="","",VLOOKUP($B1408,Jogos!$A$2:$K$105,11,FALSE))</f>
        <v/>
      </c>
      <c r="I1408" s="5">
        <f>IF(OR($A1408="", $B1408="", $E1408="", $F1408="", $G1408="", $H1408=""), "",IF(AND($E1408=$G1408, $F1408=$H1408), 3, IF(SIGN($E1408-$F1408)=SIGN($G1408-$H1408), 1, 0))))</f>
        <v/>
      </c>
    </row>
    <row r="1409">
      <c r="A1409" s="5" t="inlineStr"/>
      <c r="B1409" s="5" t="inlineStr"/>
      <c r="C1409" s="5">
        <f>IF($B1409="","",VLOOKUP($B1409,Jogos!$A$2:$K$105,8,FALSE))</f>
        <v/>
      </c>
      <c r="D1409" s="5">
        <f>IF($B1409="","",VLOOKUP($B1409,Jogos!$A$2:$K$105,10,FALSE))</f>
        <v/>
      </c>
      <c r="E1409" s="5" t="inlineStr"/>
      <c r="F1409" s="5" t="inlineStr"/>
      <c r="G1409" s="8">
        <f>IF($B1409="","",VLOOKUP($B1409,Jogos!$A$2:$K$105,9,FALSE))</f>
        <v/>
      </c>
      <c r="H1409" s="8">
        <f>IF($B1409="","",VLOOKUP($B1409,Jogos!$A$2:$K$105,11,FALSE))</f>
        <v/>
      </c>
      <c r="I1409" s="5">
        <f>IF(OR($A1409="", $B1409="", $E1409="", $F1409="", $G1409="", $H1409=""), "",IF(AND($E1409=$G1409, $F1409=$H1409), 3, IF(SIGN($E1409-$F1409)=SIGN($G1409-$H1409), 1, 0))))</f>
        <v/>
      </c>
    </row>
    <row r="1410">
      <c r="A1410" s="5" t="inlineStr"/>
      <c r="B1410" s="5" t="inlineStr"/>
      <c r="C1410" s="5">
        <f>IF($B1410="","",VLOOKUP($B1410,Jogos!$A$2:$K$105,8,FALSE))</f>
        <v/>
      </c>
      <c r="D1410" s="5">
        <f>IF($B1410="","",VLOOKUP($B1410,Jogos!$A$2:$K$105,10,FALSE))</f>
        <v/>
      </c>
      <c r="E1410" s="5" t="inlineStr"/>
      <c r="F1410" s="5" t="inlineStr"/>
      <c r="G1410" s="8">
        <f>IF($B1410="","",VLOOKUP($B1410,Jogos!$A$2:$K$105,9,FALSE))</f>
        <v/>
      </c>
      <c r="H1410" s="8">
        <f>IF($B1410="","",VLOOKUP($B1410,Jogos!$A$2:$K$105,11,FALSE))</f>
        <v/>
      </c>
      <c r="I1410" s="5">
        <f>IF(OR($A1410="", $B1410="", $E1410="", $F1410="", $G1410="", $H1410=""), "",IF(AND($E1410=$G1410, $F1410=$H1410), 3, IF(SIGN($E1410-$F1410)=SIGN($G1410-$H1410), 1, 0))))</f>
        <v/>
      </c>
    </row>
    <row r="1411">
      <c r="A1411" s="5" t="inlineStr"/>
      <c r="B1411" s="5" t="inlineStr"/>
      <c r="C1411" s="5">
        <f>IF($B1411="","",VLOOKUP($B1411,Jogos!$A$2:$K$105,8,FALSE))</f>
        <v/>
      </c>
      <c r="D1411" s="5">
        <f>IF($B1411="","",VLOOKUP($B1411,Jogos!$A$2:$K$105,10,FALSE))</f>
        <v/>
      </c>
      <c r="E1411" s="5" t="inlineStr"/>
      <c r="F1411" s="5" t="inlineStr"/>
      <c r="G1411" s="8">
        <f>IF($B1411="","",VLOOKUP($B1411,Jogos!$A$2:$K$105,9,FALSE))</f>
        <v/>
      </c>
      <c r="H1411" s="8">
        <f>IF($B1411="","",VLOOKUP($B1411,Jogos!$A$2:$K$105,11,FALSE))</f>
        <v/>
      </c>
      <c r="I1411" s="5">
        <f>IF(OR($A1411="", $B1411="", $E1411="", $F1411="", $G1411="", $H1411=""), "",IF(AND($E1411=$G1411, $F1411=$H1411), 3, IF(SIGN($E1411-$F1411)=SIGN($G1411-$H1411), 1, 0))))</f>
        <v/>
      </c>
    </row>
    <row r="1412">
      <c r="A1412" s="5" t="inlineStr"/>
      <c r="B1412" s="5" t="inlineStr"/>
      <c r="C1412" s="5">
        <f>IF($B1412="","",VLOOKUP($B1412,Jogos!$A$2:$K$105,8,FALSE))</f>
        <v/>
      </c>
      <c r="D1412" s="5">
        <f>IF($B1412="","",VLOOKUP($B1412,Jogos!$A$2:$K$105,10,FALSE))</f>
        <v/>
      </c>
      <c r="E1412" s="5" t="inlineStr"/>
      <c r="F1412" s="5" t="inlineStr"/>
      <c r="G1412" s="8">
        <f>IF($B1412="","",VLOOKUP($B1412,Jogos!$A$2:$K$105,9,FALSE))</f>
        <v/>
      </c>
      <c r="H1412" s="8">
        <f>IF($B1412="","",VLOOKUP($B1412,Jogos!$A$2:$K$105,11,FALSE))</f>
        <v/>
      </c>
      <c r="I1412" s="5">
        <f>IF(OR($A1412="", $B1412="", $E1412="", $F1412="", $G1412="", $H1412=""), "",IF(AND($E1412=$G1412, $F1412=$H1412), 3, IF(SIGN($E1412-$F1412)=SIGN($G1412-$H1412), 1, 0))))</f>
        <v/>
      </c>
    </row>
    <row r="1413">
      <c r="A1413" s="5" t="inlineStr"/>
      <c r="B1413" s="5" t="inlineStr"/>
      <c r="C1413" s="5">
        <f>IF($B1413="","",VLOOKUP($B1413,Jogos!$A$2:$K$105,8,FALSE))</f>
        <v/>
      </c>
      <c r="D1413" s="5">
        <f>IF($B1413="","",VLOOKUP($B1413,Jogos!$A$2:$K$105,10,FALSE))</f>
        <v/>
      </c>
      <c r="E1413" s="5" t="inlineStr"/>
      <c r="F1413" s="5" t="inlineStr"/>
      <c r="G1413" s="8">
        <f>IF($B1413="","",VLOOKUP($B1413,Jogos!$A$2:$K$105,9,FALSE))</f>
        <v/>
      </c>
      <c r="H1413" s="8">
        <f>IF($B1413="","",VLOOKUP($B1413,Jogos!$A$2:$K$105,11,FALSE))</f>
        <v/>
      </c>
      <c r="I1413" s="5">
        <f>IF(OR($A1413="", $B1413="", $E1413="", $F1413="", $G1413="", $H1413=""), "",IF(AND($E1413=$G1413, $F1413=$H1413), 3, IF(SIGN($E1413-$F1413)=SIGN($G1413-$H1413), 1, 0))))</f>
        <v/>
      </c>
    </row>
    <row r="1414">
      <c r="A1414" s="5" t="inlineStr"/>
      <c r="B1414" s="5" t="inlineStr"/>
      <c r="C1414" s="5">
        <f>IF($B1414="","",VLOOKUP($B1414,Jogos!$A$2:$K$105,8,FALSE))</f>
        <v/>
      </c>
      <c r="D1414" s="5">
        <f>IF($B1414="","",VLOOKUP($B1414,Jogos!$A$2:$K$105,10,FALSE))</f>
        <v/>
      </c>
      <c r="E1414" s="5" t="inlineStr"/>
      <c r="F1414" s="5" t="inlineStr"/>
      <c r="G1414" s="8">
        <f>IF($B1414="","",VLOOKUP($B1414,Jogos!$A$2:$K$105,9,FALSE))</f>
        <v/>
      </c>
      <c r="H1414" s="8">
        <f>IF($B1414="","",VLOOKUP($B1414,Jogos!$A$2:$K$105,11,FALSE))</f>
        <v/>
      </c>
      <c r="I1414" s="5">
        <f>IF(OR($A1414="", $B1414="", $E1414="", $F1414="", $G1414="", $H1414=""), "",IF(AND($E1414=$G1414, $F1414=$H1414), 3, IF(SIGN($E1414-$F1414)=SIGN($G1414-$H1414), 1, 0))))</f>
        <v/>
      </c>
    </row>
    <row r="1415">
      <c r="A1415" s="5" t="inlineStr"/>
      <c r="B1415" s="5" t="inlineStr"/>
      <c r="C1415" s="5">
        <f>IF($B1415="","",VLOOKUP($B1415,Jogos!$A$2:$K$105,8,FALSE))</f>
        <v/>
      </c>
      <c r="D1415" s="5">
        <f>IF($B1415="","",VLOOKUP($B1415,Jogos!$A$2:$K$105,10,FALSE))</f>
        <v/>
      </c>
      <c r="E1415" s="5" t="inlineStr"/>
      <c r="F1415" s="5" t="inlineStr"/>
      <c r="G1415" s="8">
        <f>IF($B1415="","",VLOOKUP($B1415,Jogos!$A$2:$K$105,9,FALSE))</f>
        <v/>
      </c>
      <c r="H1415" s="8">
        <f>IF($B1415="","",VLOOKUP($B1415,Jogos!$A$2:$K$105,11,FALSE))</f>
        <v/>
      </c>
      <c r="I1415" s="5">
        <f>IF(OR($A1415="", $B1415="", $E1415="", $F1415="", $G1415="", $H1415=""), "",IF(AND($E1415=$G1415, $F1415=$H1415), 3, IF(SIGN($E1415-$F1415)=SIGN($G1415-$H1415), 1, 0))))</f>
        <v/>
      </c>
    </row>
    <row r="1416">
      <c r="A1416" s="5" t="inlineStr"/>
      <c r="B1416" s="5" t="inlineStr"/>
      <c r="C1416" s="5">
        <f>IF($B1416="","",VLOOKUP($B1416,Jogos!$A$2:$K$105,8,FALSE))</f>
        <v/>
      </c>
      <c r="D1416" s="5">
        <f>IF($B1416="","",VLOOKUP($B1416,Jogos!$A$2:$K$105,10,FALSE))</f>
        <v/>
      </c>
      <c r="E1416" s="5" t="inlineStr"/>
      <c r="F1416" s="5" t="inlineStr"/>
      <c r="G1416" s="8">
        <f>IF($B1416="","",VLOOKUP($B1416,Jogos!$A$2:$K$105,9,FALSE))</f>
        <v/>
      </c>
      <c r="H1416" s="8">
        <f>IF($B1416="","",VLOOKUP($B1416,Jogos!$A$2:$K$105,11,FALSE))</f>
        <v/>
      </c>
      <c r="I1416" s="5">
        <f>IF(OR($A1416="", $B1416="", $E1416="", $F1416="", $G1416="", $H1416=""), "",IF(AND($E1416=$G1416, $F1416=$H1416), 3, IF(SIGN($E1416-$F1416)=SIGN($G1416-$H1416), 1, 0))))</f>
        <v/>
      </c>
    </row>
    <row r="1417">
      <c r="A1417" s="5" t="inlineStr"/>
      <c r="B1417" s="5" t="inlineStr"/>
      <c r="C1417" s="5">
        <f>IF($B1417="","",VLOOKUP($B1417,Jogos!$A$2:$K$105,8,FALSE))</f>
        <v/>
      </c>
      <c r="D1417" s="5">
        <f>IF($B1417="","",VLOOKUP($B1417,Jogos!$A$2:$K$105,10,FALSE))</f>
        <v/>
      </c>
      <c r="E1417" s="5" t="inlineStr"/>
      <c r="F1417" s="5" t="inlineStr"/>
      <c r="G1417" s="8">
        <f>IF($B1417="","",VLOOKUP($B1417,Jogos!$A$2:$K$105,9,FALSE))</f>
        <v/>
      </c>
      <c r="H1417" s="8">
        <f>IF($B1417="","",VLOOKUP($B1417,Jogos!$A$2:$K$105,11,FALSE))</f>
        <v/>
      </c>
      <c r="I1417" s="5">
        <f>IF(OR($A1417="", $B1417="", $E1417="", $F1417="", $G1417="", $H1417=""), "",IF(AND($E1417=$G1417, $F1417=$H1417), 3, IF(SIGN($E1417-$F1417)=SIGN($G1417-$H1417), 1, 0))))</f>
        <v/>
      </c>
    </row>
    <row r="1418">
      <c r="A1418" s="5" t="inlineStr"/>
      <c r="B1418" s="5" t="inlineStr"/>
      <c r="C1418" s="5">
        <f>IF($B1418="","",VLOOKUP($B1418,Jogos!$A$2:$K$105,8,FALSE))</f>
        <v/>
      </c>
      <c r="D1418" s="5">
        <f>IF($B1418="","",VLOOKUP($B1418,Jogos!$A$2:$K$105,10,FALSE))</f>
        <v/>
      </c>
      <c r="E1418" s="5" t="inlineStr"/>
      <c r="F1418" s="5" t="inlineStr"/>
      <c r="G1418" s="8">
        <f>IF($B1418="","",VLOOKUP($B1418,Jogos!$A$2:$K$105,9,FALSE))</f>
        <v/>
      </c>
      <c r="H1418" s="8">
        <f>IF($B1418="","",VLOOKUP($B1418,Jogos!$A$2:$K$105,11,FALSE))</f>
        <v/>
      </c>
      <c r="I1418" s="5">
        <f>IF(OR($A1418="", $B1418="", $E1418="", $F1418="", $G1418="", $H1418=""), "",IF(AND($E1418=$G1418, $F1418=$H1418), 3, IF(SIGN($E1418-$F1418)=SIGN($G1418-$H1418), 1, 0))))</f>
        <v/>
      </c>
    </row>
    <row r="1419">
      <c r="A1419" s="5" t="inlineStr"/>
      <c r="B1419" s="5" t="inlineStr"/>
      <c r="C1419" s="5">
        <f>IF($B1419="","",VLOOKUP($B1419,Jogos!$A$2:$K$105,8,FALSE))</f>
        <v/>
      </c>
      <c r="D1419" s="5">
        <f>IF($B1419="","",VLOOKUP($B1419,Jogos!$A$2:$K$105,10,FALSE))</f>
        <v/>
      </c>
      <c r="E1419" s="5" t="inlineStr"/>
      <c r="F1419" s="5" t="inlineStr"/>
      <c r="G1419" s="8">
        <f>IF($B1419="","",VLOOKUP($B1419,Jogos!$A$2:$K$105,9,FALSE))</f>
        <v/>
      </c>
      <c r="H1419" s="8">
        <f>IF($B1419="","",VLOOKUP($B1419,Jogos!$A$2:$K$105,11,FALSE))</f>
        <v/>
      </c>
      <c r="I1419" s="5">
        <f>IF(OR($A1419="", $B1419="", $E1419="", $F1419="", $G1419="", $H1419=""), "",IF(AND($E1419=$G1419, $F1419=$H1419), 3, IF(SIGN($E1419-$F1419)=SIGN($G1419-$H1419), 1, 0))))</f>
        <v/>
      </c>
    </row>
    <row r="1420">
      <c r="A1420" s="5" t="inlineStr"/>
      <c r="B1420" s="5" t="inlineStr"/>
      <c r="C1420" s="5">
        <f>IF($B1420="","",VLOOKUP($B1420,Jogos!$A$2:$K$105,8,FALSE))</f>
        <v/>
      </c>
      <c r="D1420" s="5">
        <f>IF($B1420="","",VLOOKUP($B1420,Jogos!$A$2:$K$105,10,FALSE))</f>
        <v/>
      </c>
      <c r="E1420" s="5" t="inlineStr"/>
      <c r="F1420" s="5" t="inlineStr"/>
      <c r="G1420" s="8">
        <f>IF($B1420="","",VLOOKUP($B1420,Jogos!$A$2:$K$105,9,FALSE))</f>
        <v/>
      </c>
      <c r="H1420" s="8">
        <f>IF($B1420="","",VLOOKUP($B1420,Jogos!$A$2:$K$105,11,FALSE))</f>
        <v/>
      </c>
      <c r="I1420" s="5">
        <f>IF(OR($A1420="", $B1420="", $E1420="", $F1420="", $G1420="", $H1420=""), "",IF(AND($E1420=$G1420, $F1420=$H1420), 3, IF(SIGN($E1420-$F1420)=SIGN($G1420-$H1420), 1, 0))))</f>
        <v/>
      </c>
    </row>
    <row r="1421">
      <c r="A1421" s="5" t="inlineStr"/>
      <c r="B1421" s="5" t="inlineStr"/>
      <c r="C1421" s="5">
        <f>IF($B1421="","",VLOOKUP($B1421,Jogos!$A$2:$K$105,8,FALSE))</f>
        <v/>
      </c>
      <c r="D1421" s="5">
        <f>IF($B1421="","",VLOOKUP($B1421,Jogos!$A$2:$K$105,10,FALSE))</f>
        <v/>
      </c>
      <c r="E1421" s="5" t="inlineStr"/>
      <c r="F1421" s="5" t="inlineStr"/>
      <c r="G1421" s="8">
        <f>IF($B1421="","",VLOOKUP($B1421,Jogos!$A$2:$K$105,9,FALSE))</f>
        <v/>
      </c>
      <c r="H1421" s="8">
        <f>IF($B1421="","",VLOOKUP($B1421,Jogos!$A$2:$K$105,11,FALSE))</f>
        <v/>
      </c>
      <c r="I1421" s="5">
        <f>IF(OR($A1421="", $B1421="", $E1421="", $F1421="", $G1421="", $H1421=""), "",IF(AND($E1421=$G1421, $F1421=$H1421), 3, IF(SIGN($E1421-$F1421)=SIGN($G1421-$H1421), 1, 0))))</f>
        <v/>
      </c>
    </row>
    <row r="1422">
      <c r="A1422" s="5" t="inlineStr"/>
      <c r="B1422" s="5" t="inlineStr"/>
      <c r="C1422" s="5">
        <f>IF($B1422="","",VLOOKUP($B1422,Jogos!$A$2:$K$105,8,FALSE))</f>
        <v/>
      </c>
      <c r="D1422" s="5">
        <f>IF($B1422="","",VLOOKUP($B1422,Jogos!$A$2:$K$105,10,FALSE))</f>
        <v/>
      </c>
      <c r="E1422" s="5" t="inlineStr"/>
      <c r="F1422" s="5" t="inlineStr"/>
      <c r="G1422" s="8">
        <f>IF($B1422="","",VLOOKUP($B1422,Jogos!$A$2:$K$105,9,FALSE))</f>
        <v/>
      </c>
      <c r="H1422" s="8">
        <f>IF($B1422="","",VLOOKUP($B1422,Jogos!$A$2:$K$105,11,FALSE))</f>
        <v/>
      </c>
      <c r="I1422" s="5">
        <f>IF(OR($A1422="", $B1422="", $E1422="", $F1422="", $G1422="", $H1422=""), "",IF(AND($E1422=$G1422, $F1422=$H1422), 3, IF(SIGN($E1422-$F1422)=SIGN($G1422-$H1422), 1, 0))))</f>
        <v/>
      </c>
    </row>
    <row r="1423">
      <c r="A1423" s="5" t="inlineStr"/>
      <c r="B1423" s="5" t="inlineStr"/>
      <c r="C1423" s="5">
        <f>IF($B1423="","",VLOOKUP($B1423,Jogos!$A$2:$K$105,8,FALSE))</f>
        <v/>
      </c>
      <c r="D1423" s="5">
        <f>IF($B1423="","",VLOOKUP($B1423,Jogos!$A$2:$K$105,10,FALSE))</f>
        <v/>
      </c>
      <c r="E1423" s="5" t="inlineStr"/>
      <c r="F1423" s="5" t="inlineStr"/>
      <c r="G1423" s="8">
        <f>IF($B1423="","",VLOOKUP($B1423,Jogos!$A$2:$K$105,9,FALSE))</f>
        <v/>
      </c>
      <c r="H1423" s="8">
        <f>IF($B1423="","",VLOOKUP($B1423,Jogos!$A$2:$K$105,11,FALSE))</f>
        <v/>
      </c>
      <c r="I1423" s="5">
        <f>IF(OR($A1423="", $B1423="", $E1423="", $F1423="", $G1423="", $H1423=""), "",IF(AND($E1423=$G1423, $F1423=$H1423), 3, IF(SIGN($E1423-$F1423)=SIGN($G1423-$H1423), 1, 0))))</f>
        <v/>
      </c>
    </row>
    <row r="1424">
      <c r="A1424" s="5" t="inlineStr"/>
      <c r="B1424" s="5" t="inlineStr"/>
      <c r="C1424" s="5">
        <f>IF($B1424="","",VLOOKUP($B1424,Jogos!$A$2:$K$105,8,FALSE))</f>
        <v/>
      </c>
      <c r="D1424" s="5">
        <f>IF($B1424="","",VLOOKUP($B1424,Jogos!$A$2:$K$105,10,FALSE))</f>
        <v/>
      </c>
      <c r="E1424" s="5" t="inlineStr"/>
      <c r="F1424" s="5" t="inlineStr"/>
      <c r="G1424" s="8">
        <f>IF($B1424="","",VLOOKUP($B1424,Jogos!$A$2:$K$105,9,FALSE))</f>
        <v/>
      </c>
      <c r="H1424" s="8">
        <f>IF($B1424="","",VLOOKUP($B1424,Jogos!$A$2:$K$105,11,FALSE))</f>
        <v/>
      </c>
      <c r="I1424" s="5">
        <f>IF(OR($A1424="", $B1424="", $E1424="", $F1424="", $G1424="", $H1424=""), "",IF(AND($E1424=$G1424, $F1424=$H1424), 3, IF(SIGN($E1424-$F1424)=SIGN($G1424-$H1424), 1, 0))))</f>
        <v/>
      </c>
    </row>
    <row r="1425">
      <c r="A1425" s="5" t="inlineStr"/>
      <c r="B1425" s="5" t="inlineStr"/>
      <c r="C1425" s="5">
        <f>IF($B1425="","",VLOOKUP($B1425,Jogos!$A$2:$K$105,8,FALSE))</f>
        <v/>
      </c>
      <c r="D1425" s="5">
        <f>IF($B1425="","",VLOOKUP($B1425,Jogos!$A$2:$K$105,10,FALSE))</f>
        <v/>
      </c>
      <c r="E1425" s="5" t="inlineStr"/>
      <c r="F1425" s="5" t="inlineStr"/>
      <c r="G1425" s="8">
        <f>IF($B1425="","",VLOOKUP($B1425,Jogos!$A$2:$K$105,9,FALSE))</f>
        <v/>
      </c>
      <c r="H1425" s="8">
        <f>IF($B1425="","",VLOOKUP($B1425,Jogos!$A$2:$K$105,11,FALSE))</f>
        <v/>
      </c>
      <c r="I1425" s="5">
        <f>IF(OR($A1425="", $B1425="", $E1425="", $F1425="", $G1425="", $H1425=""), "",IF(AND($E1425=$G1425, $F1425=$H1425), 3, IF(SIGN($E1425-$F1425)=SIGN($G1425-$H1425), 1, 0))))</f>
        <v/>
      </c>
    </row>
    <row r="1426">
      <c r="A1426" s="5" t="inlineStr"/>
      <c r="B1426" s="5" t="inlineStr"/>
      <c r="C1426" s="5">
        <f>IF($B1426="","",VLOOKUP($B1426,Jogos!$A$2:$K$105,8,FALSE))</f>
        <v/>
      </c>
      <c r="D1426" s="5">
        <f>IF($B1426="","",VLOOKUP($B1426,Jogos!$A$2:$K$105,10,FALSE))</f>
        <v/>
      </c>
      <c r="E1426" s="5" t="inlineStr"/>
      <c r="F1426" s="5" t="inlineStr"/>
      <c r="G1426" s="8">
        <f>IF($B1426="","",VLOOKUP($B1426,Jogos!$A$2:$K$105,9,FALSE))</f>
        <v/>
      </c>
      <c r="H1426" s="8">
        <f>IF($B1426="","",VLOOKUP($B1426,Jogos!$A$2:$K$105,11,FALSE))</f>
        <v/>
      </c>
      <c r="I1426" s="5">
        <f>IF(OR($A1426="", $B1426="", $E1426="", $F1426="", $G1426="", $H1426=""), "",IF(AND($E1426=$G1426, $F1426=$H1426), 3, IF(SIGN($E1426-$F1426)=SIGN($G1426-$H1426), 1, 0))))</f>
        <v/>
      </c>
    </row>
    <row r="1427">
      <c r="A1427" s="5" t="inlineStr"/>
      <c r="B1427" s="5" t="inlineStr"/>
      <c r="C1427" s="5">
        <f>IF($B1427="","",VLOOKUP($B1427,Jogos!$A$2:$K$105,8,FALSE))</f>
        <v/>
      </c>
      <c r="D1427" s="5">
        <f>IF($B1427="","",VLOOKUP($B1427,Jogos!$A$2:$K$105,10,FALSE))</f>
        <v/>
      </c>
      <c r="E1427" s="5" t="inlineStr"/>
      <c r="F1427" s="5" t="inlineStr"/>
      <c r="G1427" s="8">
        <f>IF($B1427="","",VLOOKUP($B1427,Jogos!$A$2:$K$105,9,FALSE))</f>
        <v/>
      </c>
      <c r="H1427" s="8">
        <f>IF($B1427="","",VLOOKUP($B1427,Jogos!$A$2:$K$105,11,FALSE))</f>
        <v/>
      </c>
      <c r="I1427" s="5">
        <f>IF(OR($A1427="", $B1427="", $E1427="", $F1427="", $G1427="", $H1427=""), "",IF(AND($E1427=$G1427, $F1427=$H1427), 3, IF(SIGN($E1427-$F1427)=SIGN($G1427-$H1427), 1, 0))))</f>
        <v/>
      </c>
    </row>
    <row r="1428">
      <c r="A1428" s="5" t="inlineStr"/>
      <c r="B1428" s="5" t="inlineStr"/>
      <c r="C1428" s="5">
        <f>IF($B1428="","",VLOOKUP($B1428,Jogos!$A$2:$K$105,8,FALSE))</f>
        <v/>
      </c>
      <c r="D1428" s="5">
        <f>IF($B1428="","",VLOOKUP($B1428,Jogos!$A$2:$K$105,10,FALSE))</f>
        <v/>
      </c>
      <c r="E1428" s="5" t="inlineStr"/>
      <c r="F1428" s="5" t="inlineStr"/>
      <c r="G1428" s="8">
        <f>IF($B1428="","",VLOOKUP($B1428,Jogos!$A$2:$K$105,9,FALSE))</f>
        <v/>
      </c>
      <c r="H1428" s="8">
        <f>IF($B1428="","",VLOOKUP($B1428,Jogos!$A$2:$K$105,11,FALSE))</f>
        <v/>
      </c>
      <c r="I1428" s="5">
        <f>IF(OR($A1428="", $B1428="", $E1428="", $F1428="", $G1428="", $H1428=""), "",IF(AND($E1428=$G1428, $F1428=$H1428), 3, IF(SIGN($E1428-$F1428)=SIGN($G1428-$H1428), 1, 0))))</f>
        <v/>
      </c>
    </row>
    <row r="1429">
      <c r="A1429" s="5" t="inlineStr"/>
      <c r="B1429" s="5" t="inlineStr"/>
      <c r="C1429" s="5">
        <f>IF($B1429="","",VLOOKUP($B1429,Jogos!$A$2:$K$105,8,FALSE))</f>
        <v/>
      </c>
      <c r="D1429" s="5">
        <f>IF($B1429="","",VLOOKUP($B1429,Jogos!$A$2:$K$105,10,FALSE))</f>
        <v/>
      </c>
      <c r="E1429" s="5" t="inlineStr"/>
      <c r="F1429" s="5" t="inlineStr"/>
      <c r="G1429" s="8">
        <f>IF($B1429="","",VLOOKUP($B1429,Jogos!$A$2:$K$105,9,FALSE))</f>
        <v/>
      </c>
      <c r="H1429" s="8">
        <f>IF($B1429="","",VLOOKUP($B1429,Jogos!$A$2:$K$105,11,FALSE))</f>
        <v/>
      </c>
      <c r="I1429" s="5">
        <f>IF(OR($A1429="", $B1429="", $E1429="", $F1429="", $G1429="", $H1429=""), "",IF(AND($E1429=$G1429, $F1429=$H1429), 3, IF(SIGN($E1429-$F1429)=SIGN($G1429-$H1429), 1, 0))))</f>
        <v/>
      </c>
    </row>
    <row r="1430">
      <c r="A1430" s="5" t="inlineStr"/>
      <c r="B1430" s="5" t="inlineStr"/>
      <c r="C1430" s="5">
        <f>IF($B1430="","",VLOOKUP($B1430,Jogos!$A$2:$K$105,8,FALSE))</f>
        <v/>
      </c>
      <c r="D1430" s="5">
        <f>IF($B1430="","",VLOOKUP($B1430,Jogos!$A$2:$K$105,10,FALSE))</f>
        <v/>
      </c>
      <c r="E1430" s="5" t="inlineStr"/>
      <c r="F1430" s="5" t="inlineStr"/>
      <c r="G1430" s="8">
        <f>IF($B1430="","",VLOOKUP($B1430,Jogos!$A$2:$K$105,9,FALSE))</f>
        <v/>
      </c>
      <c r="H1430" s="8">
        <f>IF($B1430="","",VLOOKUP($B1430,Jogos!$A$2:$K$105,11,FALSE))</f>
        <v/>
      </c>
      <c r="I1430" s="5">
        <f>IF(OR($A1430="", $B1430="", $E1430="", $F1430="", $G1430="", $H1430=""), "",IF(AND($E1430=$G1430, $F1430=$H1430), 3, IF(SIGN($E1430-$F1430)=SIGN($G1430-$H1430), 1, 0))))</f>
        <v/>
      </c>
    </row>
    <row r="1431">
      <c r="A1431" s="5" t="inlineStr"/>
      <c r="B1431" s="5" t="inlineStr"/>
      <c r="C1431" s="5">
        <f>IF($B1431="","",VLOOKUP($B1431,Jogos!$A$2:$K$105,8,FALSE))</f>
        <v/>
      </c>
      <c r="D1431" s="5">
        <f>IF($B1431="","",VLOOKUP($B1431,Jogos!$A$2:$K$105,10,FALSE))</f>
        <v/>
      </c>
      <c r="E1431" s="5" t="inlineStr"/>
      <c r="F1431" s="5" t="inlineStr"/>
      <c r="G1431" s="8">
        <f>IF($B1431="","",VLOOKUP($B1431,Jogos!$A$2:$K$105,9,FALSE))</f>
        <v/>
      </c>
      <c r="H1431" s="8">
        <f>IF($B1431="","",VLOOKUP($B1431,Jogos!$A$2:$K$105,11,FALSE))</f>
        <v/>
      </c>
      <c r="I1431" s="5">
        <f>IF(OR($A1431="", $B1431="", $E1431="", $F1431="", $G1431="", $H1431=""), "",IF(AND($E1431=$G1431, $F1431=$H1431), 3, IF(SIGN($E1431-$F1431)=SIGN($G1431-$H1431), 1, 0))))</f>
        <v/>
      </c>
    </row>
    <row r="1432">
      <c r="A1432" s="5" t="inlineStr"/>
      <c r="B1432" s="5" t="inlineStr"/>
      <c r="C1432" s="5">
        <f>IF($B1432="","",VLOOKUP($B1432,Jogos!$A$2:$K$105,8,FALSE))</f>
        <v/>
      </c>
      <c r="D1432" s="5">
        <f>IF($B1432="","",VLOOKUP($B1432,Jogos!$A$2:$K$105,10,FALSE))</f>
        <v/>
      </c>
      <c r="E1432" s="5" t="inlineStr"/>
      <c r="F1432" s="5" t="inlineStr"/>
      <c r="G1432" s="8">
        <f>IF($B1432="","",VLOOKUP($B1432,Jogos!$A$2:$K$105,9,FALSE))</f>
        <v/>
      </c>
      <c r="H1432" s="8">
        <f>IF($B1432="","",VLOOKUP($B1432,Jogos!$A$2:$K$105,11,FALSE))</f>
        <v/>
      </c>
      <c r="I1432" s="5">
        <f>IF(OR($A1432="", $B1432="", $E1432="", $F1432="", $G1432="", $H1432=""), "",IF(AND($E1432=$G1432, $F1432=$H1432), 3, IF(SIGN($E1432-$F1432)=SIGN($G1432-$H1432), 1, 0))))</f>
        <v/>
      </c>
    </row>
    <row r="1433">
      <c r="A1433" s="5" t="inlineStr"/>
      <c r="B1433" s="5" t="inlineStr"/>
      <c r="C1433" s="5">
        <f>IF($B1433="","",VLOOKUP($B1433,Jogos!$A$2:$K$105,8,FALSE))</f>
        <v/>
      </c>
      <c r="D1433" s="5">
        <f>IF($B1433="","",VLOOKUP($B1433,Jogos!$A$2:$K$105,10,FALSE))</f>
        <v/>
      </c>
      <c r="E1433" s="5" t="inlineStr"/>
      <c r="F1433" s="5" t="inlineStr"/>
      <c r="G1433" s="8">
        <f>IF($B1433="","",VLOOKUP($B1433,Jogos!$A$2:$K$105,9,FALSE))</f>
        <v/>
      </c>
      <c r="H1433" s="8">
        <f>IF($B1433="","",VLOOKUP($B1433,Jogos!$A$2:$K$105,11,FALSE))</f>
        <v/>
      </c>
      <c r="I1433" s="5">
        <f>IF(OR($A1433="", $B1433="", $E1433="", $F1433="", $G1433="", $H1433=""), "",IF(AND($E1433=$G1433, $F1433=$H1433), 3, IF(SIGN($E1433-$F1433)=SIGN($G1433-$H1433), 1, 0))))</f>
        <v/>
      </c>
    </row>
    <row r="1434">
      <c r="A1434" s="5" t="inlineStr"/>
      <c r="B1434" s="5" t="inlineStr"/>
      <c r="C1434" s="5">
        <f>IF($B1434="","",VLOOKUP($B1434,Jogos!$A$2:$K$105,8,FALSE))</f>
        <v/>
      </c>
      <c r="D1434" s="5">
        <f>IF($B1434="","",VLOOKUP($B1434,Jogos!$A$2:$K$105,10,FALSE))</f>
        <v/>
      </c>
      <c r="E1434" s="5" t="inlineStr"/>
      <c r="F1434" s="5" t="inlineStr"/>
      <c r="G1434" s="8">
        <f>IF($B1434="","",VLOOKUP($B1434,Jogos!$A$2:$K$105,9,FALSE))</f>
        <v/>
      </c>
      <c r="H1434" s="8">
        <f>IF($B1434="","",VLOOKUP($B1434,Jogos!$A$2:$K$105,11,FALSE))</f>
        <v/>
      </c>
      <c r="I1434" s="5">
        <f>IF(OR($A1434="", $B1434="", $E1434="", $F1434="", $G1434="", $H1434=""), "",IF(AND($E1434=$G1434, $F1434=$H1434), 3, IF(SIGN($E1434-$F1434)=SIGN($G1434-$H1434), 1, 0))))</f>
        <v/>
      </c>
    </row>
    <row r="1435">
      <c r="A1435" s="5" t="inlineStr"/>
      <c r="B1435" s="5" t="inlineStr"/>
      <c r="C1435" s="5">
        <f>IF($B1435="","",VLOOKUP($B1435,Jogos!$A$2:$K$105,8,FALSE))</f>
        <v/>
      </c>
      <c r="D1435" s="5">
        <f>IF($B1435="","",VLOOKUP($B1435,Jogos!$A$2:$K$105,10,FALSE))</f>
        <v/>
      </c>
      <c r="E1435" s="5" t="inlineStr"/>
      <c r="F1435" s="5" t="inlineStr"/>
      <c r="G1435" s="8">
        <f>IF($B1435="","",VLOOKUP($B1435,Jogos!$A$2:$K$105,9,FALSE))</f>
        <v/>
      </c>
      <c r="H1435" s="8">
        <f>IF($B1435="","",VLOOKUP($B1435,Jogos!$A$2:$K$105,11,FALSE))</f>
        <v/>
      </c>
      <c r="I1435" s="5">
        <f>IF(OR($A1435="", $B1435="", $E1435="", $F1435="", $G1435="", $H1435=""), "",IF(AND($E1435=$G1435, $F1435=$H1435), 3, IF(SIGN($E1435-$F1435)=SIGN($G1435-$H1435), 1, 0))))</f>
        <v/>
      </c>
    </row>
    <row r="1436">
      <c r="A1436" s="5" t="inlineStr"/>
      <c r="B1436" s="5" t="inlineStr"/>
      <c r="C1436" s="5">
        <f>IF($B1436="","",VLOOKUP($B1436,Jogos!$A$2:$K$105,8,FALSE))</f>
        <v/>
      </c>
      <c r="D1436" s="5">
        <f>IF($B1436="","",VLOOKUP($B1436,Jogos!$A$2:$K$105,10,FALSE))</f>
        <v/>
      </c>
      <c r="E1436" s="5" t="inlineStr"/>
      <c r="F1436" s="5" t="inlineStr"/>
      <c r="G1436" s="8">
        <f>IF($B1436="","",VLOOKUP($B1436,Jogos!$A$2:$K$105,9,FALSE))</f>
        <v/>
      </c>
      <c r="H1436" s="8">
        <f>IF($B1436="","",VLOOKUP($B1436,Jogos!$A$2:$K$105,11,FALSE))</f>
        <v/>
      </c>
      <c r="I1436" s="5">
        <f>IF(OR($A1436="", $B1436="", $E1436="", $F1436="", $G1436="", $H1436=""), "",IF(AND($E1436=$G1436, $F1436=$H1436), 3, IF(SIGN($E1436-$F1436)=SIGN($G1436-$H1436), 1, 0))))</f>
        <v/>
      </c>
    </row>
    <row r="1437">
      <c r="A1437" s="5" t="inlineStr"/>
      <c r="B1437" s="5" t="inlineStr"/>
      <c r="C1437" s="5">
        <f>IF($B1437="","",VLOOKUP($B1437,Jogos!$A$2:$K$105,8,FALSE))</f>
        <v/>
      </c>
      <c r="D1437" s="5">
        <f>IF($B1437="","",VLOOKUP($B1437,Jogos!$A$2:$K$105,10,FALSE))</f>
        <v/>
      </c>
      <c r="E1437" s="5" t="inlineStr"/>
      <c r="F1437" s="5" t="inlineStr"/>
      <c r="G1437" s="8">
        <f>IF($B1437="","",VLOOKUP($B1437,Jogos!$A$2:$K$105,9,FALSE))</f>
        <v/>
      </c>
      <c r="H1437" s="8">
        <f>IF($B1437="","",VLOOKUP($B1437,Jogos!$A$2:$K$105,11,FALSE))</f>
        <v/>
      </c>
      <c r="I1437" s="5">
        <f>IF(OR($A1437="", $B1437="", $E1437="", $F1437="", $G1437="", $H1437=""), "",IF(AND($E1437=$G1437, $F1437=$H1437), 3, IF(SIGN($E1437-$F1437)=SIGN($G1437-$H1437), 1, 0))))</f>
        <v/>
      </c>
    </row>
    <row r="1438">
      <c r="A1438" s="5" t="inlineStr"/>
      <c r="B1438" s="5" t="inlineStr"/>
      <c r="C1438" s="5">
        <f>IF($B1438="","",VLOOKUP($B1438,Jogos!$A$2:$K$105,8,FALSE))</f>
        <v/>
      </c>
      <c r="D1438" s="5">
        <f>IF($B1438="","",VLOOKUP($B1438,Jogos!$A$2:$K$105,10,FALSE))</f>
        <v/>
      </c>
      <c r="E1438" s="5" t="inlineStr"/>
      <c r="F1438" s="5" t="inlineStr"/>
      <c r="G1438" s="8">
        <f>IF($B1438="","",VLOOKUP($B1438,Jogos!$A$2:$K$105,9,FALSE))</f>
        <v/>
      </c>
      <c r="H1438" s="8">
        <f>IF($B1438="","",VLOOKUP($B1438,Jogos!$A$2:$K$105,11,FALSE))</f>
        <v/>
      </c>
      <c r="I1438" s="5">
        <f>IF(OR($A1438="", $B1438="", $E1438="", $F1438="", $G1438="", $H1438=""), "",IF(AND($E1438=$G1438, $F1438=$H1438), 3, IF(SIGN($E1438-$F1438)=SIGN($G1438-$H1438), 1, 0))))</f>
        <v/>
      </c>
    </row>
    <row r="1439">
      <c r="A1439" s="5" t="inlineStr"/>
      <c r="B1439" s="5" t="inlineStr"/>
      <c r="C1439" s="5">
        <f>IF($B1439="","",VLOOKUP($B1439,Jogos!$A$2:$K$105,8,FALSE))</f>
        <v/>
      </c>
      <c r="D1439" s="5">
        <f>IF($B1439="","",VLOOKUP($B1439,Jogos!$A$2:$K$105,10,FALSE))</f>
        <v/>
      </c>
      <c r="E1439" s="5" t="inlineStr"/>
      <c r="F1439" s="5" t="inlineStr"/>
      <c r="G1439" s="8">
        <f>IF($B1439="","",VLOOKUP($B1439,Jogos!$A$2:$K$105,9,FALSE))</f>
        <v/>
      </c>
      <c r="H1439" s="8">
        <f>IF($B1439="","",VLOOKUP($B1439,Jogos!$A$2:$K$105,11,FALSE))</f>
        <v/>
      </c>
      <c r="I1439" s="5">
        <f>IF(OR($A1439="", $B1439="", $E1439="", $F1439="", $G1439="", $H1439=""), "",IF(AND($E1439=$G1439, $F1439=$H1439), 3, IF(SIGN($E1439-$F1439)=SIGN($G1439-$H1439), 1, 0))))</f>
        <v/>
      </c>
    </row>
    <row r="1440">
      <c r="A1440" s="5" t="inlineStr"/>
      <c r="B1440" s="5" t="inlineStr"/>
      <c r="C1440" s="5">
        <f>IF($B1440="","",VLOOKUP($B1440,Jogos!$A$2:$K$105,8,FALSE))</f>
        <v/>
      </c>
      <c r="D1440" s="5">
        <f>IF($B1440="","",VLOOKUP($B1440,Jogos!$A$2:$K$105,10,FALSE))</f>
        <v/>
      </c>
      <c r="E1440" s="5" t="inlineStr"/>
      <c r="F1440" s="5" t="inlineStr"/>
      <c r="G1440" s="8">
        <f>IF($B1440="","",VLOOKUP($B1440,Jogos!$A$2:$K$105,9,FALSE))</f>
        <v/>
      </c>
      <c r="H1440" s="8">
        <f>IF($B1440="","",VLOOKUP($B1440,Jogos!$A$2:$K$105,11,FALSE))</f>
        <v/>
      </c>
      <c r="I1440" s="5">
        <f>IF(OR($A1440="", $B1440="", $E1440="", $F1440="", $G1440="", $H1440=""), "",IF(AND($E1440=$G1440, $F1440=$H1440), 3, IF(SIGN($E1440-$F1440)=SIGN($G1440-$H1440), 1, 0))))</f>
        <v/>
      </c>
    </row>
    <row r="1441">
      <c r="A1441" s="5" t="inlineStr"/>
      <c r="B1441" s="5" t="inlineStr"/>
      <c r="C1441" s="5">
        <f>IF($B1441="","",VLOOKUP($B1441,Jogos!$A$2:$K$105,8,FALSE))</f>
        <v/>
      </c>
      <c r="D1441" s="5">
        <f>IF($B1441="","",VLOOKUP($B1441,Jogos!$A$2:$K$105,10,FALSE))</f>
        <v/>
      </c>
      <c r="E1441" s="5" t="inlineStr"/>
      <c r="F1441" s="5" t="inlineStr"/>
      <c r="G1441" s="8">
        <f>IF($B1441="","",VLOOKUP($B1441,Jogos!$A$2:$K$105,9,FALSE))</f>
        <v/>
      </c>
      <c r="H1441" s="8">
        <f>IF($B1441="","",VLOOKUP($B1441,Jogos!$A$2:$K$105,11,FALSE))</f>
        <v/>
      </c>
      <c r="I1441" s="5">
        <f>IF(OR($A1441="", $B1441="", $E1441="", $F1441="", $G1441="", $H1441=""), "",IF(AND($E1441=$G1441, $F1441=$H1441), 3, IF(SIGN($E1441-$F1441)=SIGN($G1441-$H1441), 1, 0))))</f>
        <v/>
      </c>
    </row>
    <row r="1442">
      <c r="A1442" s="5" t="inlineStr"/>
      <c r="B1442" s="5" t="inlineStr"/>
      <c r="C1442" s="5">
        <f>IF($B1442="","",VLOOKUP($B1442,Jogos!$A$2:$K$105,8,FALSE))</f>
        <v/>
      </c>
      <c r="D1442" s="5">
        <f>IF($B1442="","",VLOOKUP($B1442,Jogos!$A$2:$K$105,10,FALSE))</f>
        <v/>
      </c>
      <c r="E1442" s="5" t="inlineStr"/>
      <c r="F1442" s="5" t="inlineStr"/>
      <c r="G1442" s="8">
        <f>IF($B1442="","",VLOOKUP($B1442,Jogos!$A$2:$K$105,9,FALSE))</f>
        <v/>
      </c>
      <c r="H1442" s="8">
        <f>IF($B1442="","",VLOOKUP($B1442,Jogos!$A$2:$K$105,11,FALSE))</f>
        <v/>
      </c>
      <c r="I1442" s="5">
        <f>IF(OR($A1442="", $B1442="", $E1442="", $F1442="", $G1442="", $H1442=""), "",IF(AND($E1442=$G1442, $F1442=$H1442), 3, IF(SIGN($E1442-$F1442)=SIGN($G1442-$H1442), 1, 0))))</f>
        <v/>
      </c>
    </row>
    <row r="1443">
      <c r="A1443" s="5" t="inlineStr"/>
      <c r="B1443" s="5" t="inlineStr"/>
      <c r="C1443" s="5">
        <f>IF($B1443="","",VLOOKUP($B1443,Jogos!$A$2:$K$105,8,FALSE))</f>
        <v/>
      </c>
      <c r="D1443" s="5">
        <f>IF($B1443="","",VLOOKUP($B1443,Jogos!$A$2:$K$105,10,FALSE))</f>
        <v/>
      </c>
      <c r="E1443" s="5" t="inlineStr"/>
      <c r="F1443" s="5" t="inlineStr"/>
      <c r="G1443" s="8">
        <f>IF($B1443="","",VLOOKUP($B1443,Jogos!$A$2:$K$105,9,FALSE))</f>
        <v/>
      </c>
      <c r="H1443" s="8">
        <f>IF($B1443="","",VLOOKUP($B1443,Jogos!$A$2:$K$105,11,FALSE))</f>
        <v/>
      </c>
      <c r="I1443" s="5">
        <f>IF(OR($A1443="", $B1443="", $E1443="", $F1443="", $G1443="", $H1443=""), "",IF(AND($E1443=$G1443, $F1443=$H1443), 3, IF(SIGN($E1443-$F1443)=SIGN($G1443-$H1443), 1, 0))))</f>
        <v/>
      </c>
    </row>
    <row r="1444">
      <c r="A1444" s="5" t="inlineStr"/>
      <c r="B1444" s="5" t="inlineStr"/>
      <c r="C1444" s="5">
        <f>IF($B1444="","",VLOOKUP($B1444,Jogos!$A$2:$K$105,8,FALSE))</f>
        <v/>
      </c>
      <c r="D1444" s="5">
        <f>IF($B1444="","",VLOOKUP($B1444,Jogos!$A$2:$K$105,10,FALSE))</f>
        <v/>
      </c>
      <c r="E1444" s="5" t="inlineStr"/>
      <c r="F1444" s="5" t="inlineStr"/>
      <c r="G1444" s="8">
        <f>IF($B1444="","",VLOOKUP($B1444,Jogos!$A$2:$K$105,9,FALSE))</f>
        <v/>
      </c>
      <c r="H1444" s="8">
        <f>IF($B1444="","",VLOOKUP($B1444,Jogos!$A$2:$K$105,11,FALSE))</f>
        <v/>
      </c>
      <c r="I1444" s="5">
        <f>IF(OR($A1444="", $B1444="", $E1444="", $F1444="", $G1444="", $H1444=""), "",IF(AND($E1444=$G1444, $F1444=$H1444), 3, IF(SIGN($E1444-$F1444)=SIGN($G1444-$H1444), 1, 0))))</f>
        <v/>
      </c>
    </row>
    <row r="1445">
      <c r="A1445" s="5" t="inlineStr"/>
      <c r="B1445" s="5" t="inlineStr"/>
      <c r="C1445" s="5">
        <f>IF($B1445="","",VLOOKUP($B1445,Jogos!$A$2:$K$105,8,FALSE))</f>
        <v/>
      </c>
      <c r="D1445" s="5">
        <f>IF($B1445="","",VLOOKUP($B1445,Jogos!$A$2:$K$105,10,FALSE))</f>
        <v/>
      </c>
      <c r="E1445" s="5" t="inlineStr"/>
      <c r="F1445" s="5" t="inlineStr"/>
      <c r="G1445" s="8">
        <f>IF($B1445="","",VLOOKUP($B1445,Jogos!$A$2:$K$105,9,FALSE))</f>
        <v/>
      </c>
      <c r="H1445" s="8">
        <f>IF($B1445="","",VLOOKUP($B1445,Jogos!$A$2:$K$105,11,FALSE))</f>
        <v/>
      </c>
      <c r="I1445" s="5">
        <f>IF(OR($A1445="", $B1445="", $E1445="", $F1445="", $G1445="", $H1445=""), "",IF(AND($E1445=$G1445, $F1445=$H1445), 3, IF(SIGN($E1445-$F1445)=SIGN($G1445-$H1445), 1, 0))))</f>
        <v/>
      </c>
    </row>
    <row r="1446">
      <c r="A1446" s="5" t="inlineStr"/>
      <c r="B1446" s="5" t="inlineStr"/>
      <c r="C1446" s="5">
        <f>IF($B1446="","",VLOOKUP($B1446,Jogos!$A$2:$K$105,8,FALSE))</f>
        <v/>
      </c>
      <c r="D1446" s="5">
        <f>IF($B1446="","",VLOOKUP($B1446,Jogos!$A$2:$K$105,10,FALSE))</f>
        <v/>
      </c>
      <c r="E1446" s="5" t="inlineStr"/>
      <c r="F1446" s="5" t="inlineStr"/>
      <c r="G1446" s="8">
        <f>IF($B1446="","",VLOOKUP($B1446,Jogos!$A$2:$K$105,9,FALSE))</f>
        <v/>
      </c>
      <c r="H1446" s="8">
        <f>IF($B1446="","",VLOOKUP($B1446,Jogos!$A$2:$K$105,11,FALSE))</f>
        <v/>
      </c>
      <c r="I1446" s="5">
        <f>IF(OR($A1446="", $B1446="", $E1446="", $F1446="", $G1446="", $H1446=""), "",IF(AND($E1446=$G1446, $F1446=$H1446), 3, IF(SIGN($E1446-$F1446)=SIGN($G1446-$H1446), 1, 0))))</f>
        <v/>
      </c>
    </row>
    <row r="1447">
      <c r="A1447" s="5" t="inlineStr"/>
      <c r="B1447" s="5" t="inlineStr"/>
      <c r="C1447" s="5">
        <f>IF($B1447="","",VLOOKUP($B1447,Jogos!$A$2:$K$105,8,FALSE))</f>
        <v/>
      </c>
      <c r="D1447" s="5">
        <f>IF($B1447="","",VLOOKUP($B1447,Jogos!$A$2:$K$105,10,FALSE))</f>
        <v/>
      </c>
      <c r="E1447" s="5" t="inlineStr"/>
      <c r="F1447" s="5" t="inlineStr"/>
      <c r="G1447" s="8">
        <f>IF($B1447="","",VLOOKUP($B1447,Jogos!$A$2:$K$105,9,FALSE))</f>
        <v/>
      </c>
      <c r="H1447" s="8">
        <f>IF($B1447="","",VLOOKUP($B1447,Jogos!$A$2:$K$105,11,FALSE))</f>
        <v/>
      </c>
      <c r="I1447" s="5">
        <f>IF(OR($A1447="", $B1447="", $E1447="", $F1447="", $G1447="", $H1447=""), "",IF(AND($E1447=$G1447, $F1447=$H1447), 3, IF(SIGN($E1447-$F1447)=SIGN($G1447-$H1447), 1, 0))))</f>
        <v/>
      </c>
    </row>
    <row r="1448">
      <c r="A1448" s="5" t="inlineStr"/>
      <c r="B1448" s="5" t="inlineStr"/>
      <c r="C1448" s="5">
        <f>IF($B1448="","",VLOOKUP($B1448,Jogos!$A$2:$K$105,8,FALSE))</f>
        <v/>
      </c>
      <c r="D1448" s="5">
        <f>IF($B1448="","",VLOOKUP($B1448,Jogos!$A$2:$K$105,10,FALSE))</f>
        <v/>
      </c>
      <c r="E1448" s="5" t="inlineStr"/>
      <c r="F1448" s="5" t="inlineStr"/>
      <c r="G1448" s="8">
        <f>IF($B1448="","",VLOOKUP($B1448,Jogos!$A$2:$K$105,9,FALSE))</f>
        <v/>
      </c>
      <c r="H1448" s="8">
        <f>IF($B1448="","",VLOOKUP($B1448,Jogos!$A$2:$K$105,11,FALSE))</f>
        <v/>
      </c>
      <c r="I1448" s="5">
        <f>IF(OR($A1448="", $B1448="", $E1448="", $F1448="", $G1448="", $H1448=""), "",IF(AND($E1448=$G1448, $F1448=$H1448), 3, IF(SIGN($E1448-$F1448)=SIGN($G1448-$H1448), 1, 0))))</f>
        <v/>
      </c>
    </row>
    <row r="1449">
      <c r="A1449" s="5" t="inlineStr"/>
      <c r="B1449" s="5" t="inlineStr"/>
      <c r="C1449" s="5">
        <f>IF($B1449="","",VLOOKUP($B1449,Jogos!$A$2:$K$105,8,FALSE))</f>
        <v/>
      </c>
      <c r="D1449" s="5">
        <f>IF($B1449="","",VLOOKUP($B1449,Jogos!$A$2:$K$105,10,FALSE))</f>
        <v/>
      </c>
      <c r="E1449" s="5" t="inlineStr"/>
      <c r="F1449" s="5" t="inlineStr"/>
      <c r="G1449" s="8">
        <f>IF($B1449="","",VLOOKUP($B1449,Jogos!$A$2:$K$105,9,FALSE))</f>
        <v/>
      </c>
      <c r="H1449" s="8">
        <f>IF($B1449="","",VLOOKUP($B1449,Jogos!$A$2:$K$105,11,FALSE))</f>
        <v/>
      </c>
      <c r="I1449" s="5">
        <f>IF(OR($A1449="", $B1449="", $E1449="", $F1449="", $G1449="", $H1449=""), "",IF(AND($E1449=$G1449, $F1449=$H1449), 3, IF(SIGN($E1449-$F1449)=SIGN($G1449-$H1449), 1, 0))))</f>
        <v/>
      </c>
    </row>
    <row r="1450">
      <c r="A1450" s="5" t="inlineStr"/>
      <c r="B1450" s="5" t="inlineStr"/>
      <c r="C1450" s="5">
        <f>IF($B1450="","",VLOOKUP($B1450,Jogos!$A$2:$K$105,8,FALSE))</f>
        <v/>
      </c>
      <c r="D1450" s="5">
        <f>IF($B1450="","",VLOOKUP($B1450,Jogos!$A$2:$K$105,10,FALSE))</f>
        <v/>
      </c>
      <c r="E1450" s="5" t="inlineStr"/>
      <c r="F1450" s="5" t="inlineStr"/>
      <c r="G1450" s="8">
        <f>IF($B1450="","",VLOOKUP($B1450,Jogos!$A$2:$K$105,9,FALSE))</f>
        <v/>
      </c>
      <c r="H1450" s="8">
        <f>IF($B1450="","",VLOOKUP($B1450,Jogos!$A$2:$K$105,11,FALSE))</f>
        <v/>
      </c>
      <c r="I1450" s="5">
        <f>IF(OR($A1450="", $B1450="", $E1450="", $F1450="", $G1450="", $H1450=""), "",IF(AND($E1450=$G1450, $F1450=$H1450), 3, IF(SIGN($E1450-$F1450)=SIGN($G1450-$H1450), 1, 0))))</f>
        <v/>
      </c>
    </row>
    <row r="1451">
      <c r="A1451" s="5" t="inlineStr"/>
      <c r="B1451" s="5" t="inlineStr"/>
      <c r="C1451" s="5">
        <f>IF($B1451="","",VLOOKUP($B1451,Jogos!$A$2:$K$105,8,FALSE))</f>
        <v/>
      </c>
      <c r="D1451" s="5">
        <f>IF($B1451="","",VLOOKUP($B1451,Jogos!$A$2:$K$105,10,FALSE))</f>
        <v/>
      </c>
      <c r="E1451" s="5" t="inlineStr"/>
      <c r="F1451" s="5" t="inlineStr"/>
      <c r="G1451" s="8">
        <f>IF($B1451="","",VLOOKUP($B1451,Jogos!$A$2:$K$105,9,FALSE))</f>
        <v/>
      </c>
      <c r="H1451" s="8">
        <f>IF($B1451="","",VLOOKUP($B1451,Jogos!$A$2:$K$105,11,FALSE))</f>
        <v/>
      </c>
      <c r="I1451" s="5">
        <f>IF(OR($A1451="", $B1451="", $E1451="", $F1451="", $G1451="", $H1451=""), "",IF(AND($E1451=$G1451, $F1451=$H1451), 3, IF(SIGN($E1451-$F1451)=SIGN($G1451-$H1451), 1, 0))))</f>
        <v/>
      </c>
    </row>
    <row r="1452">
      <c r="A1452" s="5" t="inlineStr"/>
      <c r="B1452" s="5" t="inlineStr"/>
      <c r="C1452" s="5">
        <f>IF($B1452="","",VLOOKUP($B1452,Jogos!$A$2:$K$105,8,FALSE))</f>
        <v/>
      </c>
      <c r="D1452" s="5">
        <f>IF($B1452="","",VLOOKUP($B1452,Jogos!$A$2:$K$105,10,FALSE))</f>
        <v/>
      </c>
      <c r="E1452" s="5" t="inlineStr"/>
      <c r="F1452" s="5" t="inlineStr"/>
      <c r="G1452" s="8">
        <f>IF($B1452="","",VLOOKUP($B1452,Jogos!$A$2:$K$105,9,FALSE))</f>
        <v/>
      </c>
      <c r="H1452" s="8">
        <f>IF($B1452="","",VLOOKUP($B1452,Jogos!$A$2:$K$105,11,FALSE))</f>
        <v/>
      </c>
      <c r="I1452" s="5">
        <f>IF(OR($A1452="", $B1452="", $E1452="", $F1452="", $G1452="", $H1452=""), "",IF(AND($E1452=$G1452, $F1452=$H1452), 3, IF(SIGN($E1452-$F1452)=SIGN($G1452-$H1452), 1, 0))))</f>
        <v/>
      </c>
    </row>
    <row r="1453">
      <c r="A1453" s="5" t="inlineStr"/>
      <c r="B1453" s="5" t="inlineStr"/>
      <c r="C1453" s="5">
        <f>IF($B1453="","",VLOOKUP($B1453,Jogos!$A$2:$K$105,8,FALSE))</f>
        <v/>
      </c>
      <c r="D1453" s="5">
        <f>IF($B1453="","",VLOOKUP($B1453,Jogos!$A$2:$K$105,10,FALSE))</f>
        <v/>
      </c>
      <c r="E1453" s="5" t="inlineStr"/>
      <c r="F1453" s="5" t="inlineStr"/>
      <c r="G1453" s="8">
        <f>IF($B1453="","",VLOOKUP($B1453,Jogos!$A$2:$K$105,9,FALSE))</f>
        <v/>
      </c>
      <c r="H1453" s="8">
        <f>IF($B1453="","",VLOOKUP($B1453,Jogos!$A$2:$K$105,11,FALSE))</f>
        <v/>
      </c>
      <c r="I1453" s="5">
        <f>IF(OR($A1453="", $B1453="", $E1453="", $F1453="", $G1453="", $H1453=""), "",IF(AND($E1453=$G1453, $F1453=$H1453), 3, IF(SIGN($E1453-$F1453)=SIGN($G1453-$H1453), 1, 0))))</f>
        <v/>
      </c>
    </row>
    <row r="1454">
      <c r="A1454" s="5" t="inlineStr"/>
      <c r="B1454" s="5" t="inlineStr"/>
      <c r="C1454" s="5">
        <f>IF($B1454="","",VLOOKUP($B1454,Jogos!$A$2:$K$105,8,FALSE))</f>
        <v/>
      </c>
      <c r="D1454" s="5">
        <f>IF($B1454="","",VLOOKUP($B1454,Jogos!$A$2:$K$105,10,FALSE))</f>
        <v/>
      </c>
      <c r="E1454" s="5" t="inlineStr"/>
      <c r="F1454" s="5" t="inlineStr"/>
      <c r="G1454" s="8">
        <f>IF($B1454="","",VLOOKUP($B1454,Jogos!$A$2:$K$105,9,FALSE))</f>
        <v/>
      </c>
      <c r="H1454" s="8">
        <f>IF($B1454="","",VLOOKUP($B1454,Jogos!$A$2:$K$105,11,FALSE))</f>
        <v/>
      </c>
      <c r="I1454" s="5">
        <f>IF(OR($A1454="", $B1454="", $E1454="", $F1454="", $G1454="", $H1454=""), "",IF(AND($E1454=$G1454, $F1454=$H1454), 3, IF(SIGN($E1454-$F1454)=SIGN($G1454-$H1454), 1, 0))))</f>
        <v/>
      </c>
    </row>
    <row r="1455">
      <c r="A1455" s="5" t="inlineStr"/>
      <c r="B1455" s="5" t="inlineStr"/>
      <c r="C1455" s="5">
        <f>IF($B1455="","",VLOOKUP($B1455,Jogos!$A$2:$K$105,8,FALSE))</f>
        <v/>
      </c>
      <c r="D1455" s="5">
        <f>IF($B1455="","",VLOOKUP($B1455,Jogos!$A$2:$K$105,10,FALSE))</f>
        <v/>
      </c>
      <c r="E1455" s="5" t="inlineStr"/>
      <c r="F1455" s="5" t="inlineStr"/>
      <c r="G1455" s="8">
        <f>IF($B1455="","",VLOOKUP($B1455,Jogos!$A$2:$K$105,9,FALSE))</f>
        <v/>
      </c>
      <c r="H1455" s="8">
        <f>IF($B1455="","",VLOOKUP($B1455,Jogos!$A$2:$K$105,11,FALSE))</f>
        <v/>
      </c>
      <c r="I1455" s="5">
        <f>IF(OR($A1455="", $B1455="", $E1455="", $F1455="", $G1455="", $H1455=""), "",IF(AND($E1455=$G1455, $F1455=$H1455), 3, IF(SIGN($E1455-$F1455)=SIGN($G1455-$H1455), 1, 0))))</f>
        <v/>
      </c>
    </row>
    <row r="1456">
      <c r="A1456" s="5" t="inlineStr"/>
      <c r="B1456" s="5" t="inlineStr"/>
      <c r="C1456" s="5">
        <f>IF($B1456="","",VLOOKUP($B1456,Jogos!$A$2:$K$105,8,FALSE))</f>
        <v/>
      </c>
      <c r="D1456" s="5">
        <f>IF($B1456="","",VLOOKUP($B1456,Jogos!$A$2:$K$105,10,FALSE))</f>
        <v/>
      </c>
      <c r="E1456" s="5" t="inlineStr"/>
      <c r="F1456" s="5" t="inlineStr"/>
      <c r="G1456" s="8">
        <f>IF($B1456="","",VLOOKUP($B1456,Jogos!$A$2:$K$105,9,FALSE))</f>
        <v/>
      </c>
      <c r="H1456" s="8">
        <f>IF($B1456="","",VLOOKUP($B1456,Jogos!$A$2:$K$105,11,FALSE))</f>
        <v/>
      </c>
      <c r="I1456" s="5">
        <f>IF(OR($A1456="", $B1456="", $E1456="", $F1456="", $G1456="", $H1456=""), "",IF(AND($E1456=$G1456, $F1456=$H1456), 3, IF(SIGN($E1456-$F1456)=SIGN($G1456-$H1456), 1, 0))))</f>
        <v/>
      </c>
    </row>
    <row r="1457">
      <c r="A1457" s="5" t="inlineStr"/>
      <c r="B1457" s="5" t="inlineStr"/>
      <c r="C1457" s="5">
        <f>IF($B1457="","",VLOOKUP($B1457,Jogos!$A$2:$K$105,8,FALSE))</f>
        <v/>
      </c>
      <c r="D1457" s="5">
        <f>IF($B1457="","",VLOOKUP($B1457,Jogos!$A$2:$K$105,10,FALSE))</f>
        <v/>
      </c>
      <c r="E1457" s="5" t="inlineStr"/>
      <c r="F1457" s="5" t="inlineStr"/>
      <c r="G1457" s="8">
        <f>IF($B1457="","",VLOOKUP($B1457,Jogos!$A$2:$K$105,9,FALSE))</f>
        <v/>
      </c>
      <c r="H1457" s="8">
        <f>IF($B1457="","",VLOOKUP($B1457,Jogos!$A$2:$K$105,11,FALSE))</f>
        <v/>
      </c>
      <c r="I1457" s="5">
        <f>IF(OR($A1457="", $B1457="", $E1457="", $F1457="", $G1457="", $H1457=""), "",IF(AND($E1457=$G1457, $F1457=$H1457), 3, IF(SIGN($E1457-$F1457)=SIGN($G1457-$H1457), 1, 0))))</f>
        <v/>
      </c>
    </row>
    <row r="1458">
      <c r="A1458" s="5" t="inlineStr"/>
      <c r="B1458" s="5" t="inlineStr"/>
      <c r="C1458" s="5">
        <f>IF($B1458="","",VLOOKUP($B1458,Jogos!$A$2:$K$105,8,FALSE))</f>
        <v/>
      </c>
      <c r="D1458" s="5">
        <f>IF($B1458="","",VLOOKUP($B1458,Jogos!$A$2:$K$105,10,FALSE))</f>
        <v/>
      </c>
      <c r="E1458" s="5" t="inlineStr"/>
      <c r="F1458" s="5" t="inlineStr"/>
      <c r="G1458" s="8">
        <f>IF($B1458="","",VLOOKUP($B1458,Jogos!$A$2:$K$105,9,FALSE))</f>
        <v/>
      </c>
      <c r="H1458" s="8">
        <f>IF($B1458="","",VLOOKUP($B1458,Jogos!$A$2:$K$105,11,FALSE))</f>
        <v/>
      </c>
      <c r="I1458" s="5">
        <f>IF(OR($A1458="", $B1458="", $E1458="", $F1458="", $G1458="", $H1458=""), "",IF(AND($E1458=$G1458, $F1458=$H1458), 3, IF(SIGN($E1458-$F1458)=SIGN($G1458-$H1458), 1, 0))))</f>
        <v/>
      </c>
    </row>
    <row r="1459">
      <c r="A1459" s="5" t="inlineStr"/>
      <c r="B1459" s="5" t="inlineStr"/>
      <c r="C1459" s="5">
        <f>IF($B1459="","",VLOOKUP($B1459,Jogos!$A$2:$K$105,8,FALSE))</f>
        <v/>
      </c>
      <c r="D1459" s="5">
        <f>IF($B1459="","",VLOOKUP($B1459,Jogos!$A$2:$K$105,10,FALSE))</f>
        <v/>
      </c>
      <c r="E1459" s="5" t="inlineStr"/>
      <c r="F1459" s="5" t="inlineStr"/>
      <c r="G1459" s="8">
        <f>IF($B1459="","",VLOOKUP($B1459,Jogos!$A$2:$K$105,9,FALSE))</f>
        <v/>
      </c>
      <c r="H1459" s="8">
        <f>IF($B1459="","",VLOOKUP($B1459,Jogos!$A$2:$K$105,11,FALSE))</f>
        <v/>
      </c>
      <c r="I1459" s="5">
        <f>IF(OR($A1459="", $B1459="", $E1459="", $F1459="", $G1459="", $H1459=""), "",IF(AND($E1459=$G1459, $F1459=$H1459), 3, IF(SIGN($E1459-$F1459)=SIGN($G1459-$H1459), 1, 0))))</f>
        <v/>
      </c>
    </row>
    <row r="1460">
      <c r="A1460" s="5" t="inlineStr"/>
      <c r="B1460" s="5" t="inlineStr"/>
      <c r="C1460" s="5">
        <f>IF($B1460="","",VLOOKUP($B1460,Jogos!$A$2:$K$105,8,FALSE))</f>
        <v/>
      </c>
      <c r="D1460" s="5">
        <f>IF($B1460="","",VLOOKUP($B1460,Jogos!$A$2:$K$105,10,FALSE))</f>
        <v/>
      </c>
      <c r="E1460" s="5" t="inlineStr"/>
      <c r="F1460" s="5" t="inlineStr"/>
      <c r="G1460" s="8">
        <f>IF($B1460="","",VLOOKUP($B1460,Jogos!$A$2:$K$105,9,FALSE))</f>
        <v/>
      </c>
      <c r="H1460" s="8">
        <f>IF($B1460="","",VLOOKUP($B1460,Jogos!$A$2:$K$105,11,FALSE))</f>
        <v/>
      </c>
      <c r="I1460" s="5">
        <f>IF(OR($A1460="", $B1460="", $E1460="", $F1460="", $G1460="", $H1460=""), "",IF(AND($E1460=$G1460, $F1460=$H1460), 3, IF(SIGN($E1460-$F1460)=SIGN($G1460-$H1460), 1, 0))))</f>
        <v/>
      </c>
    </row>
    <row r="1461">
      <c r="A1461" s="5" t="inlineStr"/>
      <c r="B1461" s="5" t="inlineStr"/>
      <c r="C1461" s="5">
        <f>IF($B1461="","",VLOOKUP($B1461,Jogos!$A$2:$K$105,8,FALSE))</f>
        <v/>
      </c>
      <c r="D1461" s="5">
        <f>IF($B1461="","",VLOOKUP($B1461,Jogos!$A$2:$K$105,10,FALSE))</f>
        <v/>
      </c>
      <c r="E1461" s="5" t="inlineStr"/>
      <c r="F1461" s="5" t="inlineStr"/>
      <c r="G1461" s="8">
        <f>IF($B1461="","",VLOOKUP($B1461,Jogos!$A$2:$K$105,9,FALSE))</f>
        <v/>
      </c>
      <c r="H1461" s="8">
        <f>IF($B1461="","",VLOOKUP($B1461,Jogos!$A$2:$K$105,11,FALSE))</f>
        <v/>
      </c>
      <c r="I1461" s="5">
        <f>IF(OR($A1461="", $B1461="", $E1461="", $F1461="", $G1461="", $H1461=""), "",IF(AND($E1461=$G1461, $F1461=$H1461), 3, IF(SIGN($E1461-$F1461)=SIGN($G1461-$H1461), 1, 0))))</f>
        <v/>
      </c>
    </row>
    <row r="1462">
      <c r="A1462" s="5" t="inlineStr"/>
      <c r="B1462" s="5" t="inlineStr"/>
      <c r="C1462" s="5">
        <f>IF($B1462="","",VLOOKUP($B1462,Jogos!$A$2:$K$105,8,FALSE))</f>
        <v/>
      </c>
      <c r="D1462" s="5">
        <f>IF($B1462="","",VLOOKUP($B1462,Jogos!$A$2:$K$105,10,FALSE))</f>
        <v/>
      </c>
      <c r="E1462" s="5" t="inlineStr"/>
      <c r="F1462" s="5" t="inlineStr"/>
      <c r="G1462" s="8">
        <f>IF($B1462="","",VLOOKUP($B1462,Jogos!$A$2:$K$105,9,FALSE))</f>
        <v/>
      </c>
      <c r="H1462" s="8">
        <f>IF($B1462="","",VLOOKUP($B1462,Jogos!$A$2:$K$105,11,FALSE))</f>
        <v/>
      </c>
      <c r="I1462" s="5">
        <f>IF(OR($A1462="", $B1462="", $E1462="", $F1462="", $G1462="", $H1462=""), "",IF(AND($E1462=$G1462, $F1462=$H1462), 3, IF(SIGN($E1462-$F1462)=SIGN($G1462-$H1462), 1, 0))))</f>
        <v/>
      </c>
    </row>
    <row r="1463">
      <c r="A1463" s="5" t="inlineStr"/>
      <c r="B1463" s="5" t="inlineStr"/>
      <c r="C1463" s="5">
        <f>IF($B1463="","",VLOOKUP($B1463,Jogos!$A$2:$K$105,8,FALSE))</f>
        <v/>
      </c>
      <c r="D1463" s="5">
        <f>IF($B1463="","",VLOOKUP($B1463,Jogos!$A$2:$K$105,10,FALSE))</f>
        <v/>
      </c>
      <c r="E1463" s="5" t="inlineStr"/>
      <c r="F1463" s="5" t="inlineStr"/>
      <c r="G1463" s="8">
        <f>IF($B1463="","",VLOOKUP($B1463,Jogos!$A$2:$K$105,9,FALSE))</f>
        <v/>
      </c>
      <c r="H1463" s="8">
        <f>IF($B1463="","",VLOOKUP($B1463,Jogos!$A$2:$K$105,11,FALSE))</f>
        <v/>
      </c>
      <c r="I1463" s="5">
        <f>IF(OR($A1463="", $B1463="", $E1463="", $F1463="", $G1463="", $H1463=""), "",IF(AND($E1463=$G1463, $F1463=$H1463), 3, IF(SIGN($E1463-$F1463)=SIGN($G1463-$H1463), 1, 0))))</f>
        <v/>
      </c>
    </row>
    <row r="1464">
      <c r="A1464" s="5" t="inlineStr"/>
      <c r="B1464" s="5" t="inlineStr"/>
      <c r="C1464" s="5">
        <f>IF($B1464="","",VLOOKUP($B1464,Jogos!$A$2:$K$105,8,FALSE))</f>
        <v/>
      </c>
      <c r="D1464" s="5">
        <f>IF($B1464="","",VLOOKUP($B1464,Jogos!$A$2:$K$105,10,FALSE))</f>
        <v/>
      </c>
      <c r="E1464" s="5" t="inlineStr"/>
      <c r="F1464" s="5" t="inlineStr"/>
      <c r="G1464" s="8">
        <f>IF($B1464="","",VLOOKUP($B1464,Jogos!$A$2:$K$105,9,FALSE))</f>
        <v/>
      </c>
      <c r="H1464" s="8">
        <f>IF($B1464="","",VLOOKUP($B1464,Jogos!$A$2:$K$105,11,FALSE))</f>
        <v/>
      </c>
      <c r="I1464" s="5">
        <f>IF(OR($A1464="", $B1464="", $E1464="", $F1464="", $G1464="", $H1464=""), "",IF(AND($E1464=$G1464, $F1464=$H1464), 3, IF(SIGN($E1464-$F1464)=SIGN($G1464-$H1464), 1, 0))))</f>
        <v/>
      </c>
    </row>
    <row r="1465">
      <c r="A1465" s="5" t="inlineStr"/>
      <c r="B1465" s="5" t="inlineStr"/>
      <c r="C1465" s="5">
        <f>IF($B1465="","",VLOOKUP($B1465,Jogos!$A$2:$K$105,8,FALSE))</f>
        <v/>
      </c>
      <c r="D1465" s="5">
        <f>IF($B1465="","",VLOOKUP($B1465,Jogos!$A$2:$K$105,10,FALSE))</f>
        <v/>
      </c>
      <c r="E1465" s="5" t="inlineStr"/>
      <c r="F1465" s="5" t="inlineStr"/>
      <c r="G1465" s="8">
        <f>IF($B1465="","",VLOOKUP($B1465,Jogos!$A$2:$K$105,9,FALSE))</f>
        <v/>
      </c>
      <c r="H1465" s="8">
        <f>IF($B1465="","",VLOOKUP($B1465,Jogos!$A$2:$K$105,11,FALSE))</f>
        <v/>
      </c>
      <c r="I1465" s="5">
        <f>IF(OR($A1465="", $B1465="", $E1465="", $F1465="", $G1465="", $H1465=""), "",IF(AND($E1465=$G1465, $F1465=$H1465), 3, IF(SIGN($E1465-$F1465)=SIGN($G1465-$H1465), 1, 0))))</f>
        <v/>
      </c>
    </row>
    <row r="1466">
      <c r="A1466" s="5" t="inlineStr"/>
      <c r="B1466" s="5" t="inlineStr"/>
      <c r="C1466" s="5">
        <f>IF($B1466="","",VLOOKUP($B1466,Jogos!$A$2:$K$105,8,FALSE))</f>
        <v/>
      </c>
      <c r="D1466" s="5">
        <f>IF($B1466="","",VLOOKUP($B1466,Jogos!$A$2:$K$105,10,FALSE))</f>
        <v/>
      </c>
      <c r="E1466" s="5" t="inlineStr"/>
      <c r="F1466" s="5" t="inlineStr"/>
      <c r="G1466" s="8">
        <f>IF($B1466="","",VLOOKUP($B1466,Jogos!$A$2:$K$105,9,FALSE))</f>
        <v/>
      </c>
      <c r="H1466" s="8">
        <f>IF($B1466="","",VLOOKUP($B1466,Jogos!$A$2:$K$105,11,FALSE))</f>
        <v/>
      </c>
      <c r="I1466" s="5">
        <f>IF(OR($A1466="", $B1466="", $E1466="", $F1466="", $G1466="", $H1466=""), "",IF(AND($E1466=$G1466, $F1466=$H1466), 3, IF(SIGN($E1466-$F1466)=SIGN($G1466-$H1466), 1, 0))))</f>
        <v/>
      </c>
    </row>
    <row r="1467">
      <c r="A1467" s="5" t="inlineStr"/>
      <c r="B1467" s="5" t="inlineStr"/>
      <c r="C1467" s="5">
        <f>IF($B1467="","",VLOOKUP($B1467,Jogos!$A$2:$K$105,8,FALSE))</f>
        <v/>
      </c>
      <c r="D1467" s="5">
        <f>IF($B1467="","",VLOOKUP($B1467,Jogos!$A$2:$K$105,10,FALSE))</f>
        <v/>
      </c>
      <c r="E1467" s="5" t="inlineStr"/>
      <c r="F1467" s="5" t="inlineStr"/>
      <c r="G1467" s="8">
        <f>IF($B1467="","",VLOOKUP($B1467,Jogos!$A$2:$K$105,9,FALSE))</f>
        <v/>
      </c>
      <c r="H1467" s="8">
        <f>IF($B1467="","",VLOOKUP($B1467,Jogos!$A$2:$K$105,11,FALSE))</f>
        <v/>
      </c>
      <c r="I1467" s="5">
        <f>IF(OR($A1467="", $B1467="", $E1467="", $F1467="", $G1467="", $H1467=""), "",IF(AND($E1467=$G1467, $F1467=$H1467), 3, IF(SIGN($E1467-$F1467)=SIGN($G1467-$H1467), 1, 0))))</f>
        <v/>
      </c>
    </row>
    <row r="1468">
      <c r="A1468" s="5" t="inlineStr"/>
      <c r="B1468" s="5" t="inlineStr"/>
      <c r="C1468" s="5">
        <f>IF($B1468="","",VLOOKUP($B1468,Jogos!$A$2:$K$105,8,FALSE))</f>
        <v/>
      </c>
      <c r="D1468" s="5">
        <f>IF($B1468="","",VLOOKUP($B1468,Jogos!$A$2:$K$105,10,FALSE))</f>
        <v/>
      </c>
      <c r="E1468" s="5" t="inlineStr"/>
      <c r="F1468" s="5" t="inlineStr"/>
      <c r="G1468" s="8">
        <f>IF($B1468="","",VLOOKUP($B1468,Jogos!$A$2:$K$105,9,FALSE))</f>
        <v/>
      </c>
      <c r="H1468" s="8">
        <f>IF($B1468="","",VLOOKUP($B1468,Jogos!$A$2:$K$105,11,FALSE))</f>
        <v/>
      </c>
      <c r="I1468" s="5">
        <f>IF(OR($A1468="", $B1468="", $E1468="", $F1468="", $G1468="", $H1468=""), "",IF(AND($E1468=$G1468, $F1468=$H1468), 3, IF(SIGN($E1468-$F1468)=SIGN($G1468-$H1468), 1, 0))))</f>
        <v/>
      </c>
    </row>
    <row r="1469">
      <c r="A1469" s="5" t="inlineStr"/>
      <c r="B1469" s="5" t="inlineStr"/>
      <c r="C1469" s="5">
        <f>IF($B1469="","",VLOOKUP($B1469,Jogos!$A$2:$K$105,8,FALSE))</f>
        <v/>
      </c>
      <c r="D1469" s="5">
        <f>IF($B1469="","",VLOOKUP($B1469,Jogos!$A$2:$K$105,10,FALSE))</f>
        <v/>
      </c>
      <c r="E1469" s="5" t="inlineStr"/>
      <c r="F1469" s="5" t="inlineStr"/>
      <c r="G1469" s="8">
        <f>IF($B1469="","",VLOOKUP($B1469,Jogos!$A$2:$K$105,9,FALSE))</f>
        <v/>
      </c>
      <c r="H1469" s="8">
        <f>IF($B1469="","",VLOOKUP($B1469,Jogos!$A$2:$K$105,11,FALSE))</f>
        <v/>
      </c>
      <c r="I1469" s="5">
        <f>IF(OR($A1469="", $B1469="", $E1469="", $F1469="", $G1469="", $H1469=""), "",IF(AND($E1469=$G1469, $F1469=$H1469), 3, IF(SIGN($E1469-$F1469)=SIGN($G1469-$H1469), 1, 0))))</f>
        <v/>
      </c>
    </row>
    <row r="1470">
      <c r="A1470" s="5" t="inlineStr"/>
      <c r="B1470" s="5" t="inlineStr"/>
      <c r="C1470" s="5">
        <f>IF($B1470="","",VLOOKUP($B1470,Jogos!$A$2:$K$105,8,FALSE))</f>
        <v/>
      </c>
      <c r="D1470" s="5">
        <f>IF($B1470="","",VLOOKUP($B1470,Jogos!$A$2:$K$105,10,FALSE))</f>
        <v/>
      </c>
      <c r="E1470" s="5" t="inlineStr"/>
      <c r="F1470" s="5" t="inlineStr"/>
      <c r="G1470" s="8">
        <f>IF($B1470="","",VLOOKUP($B1470,Jogos!$A$2:$K$105,9,FALSE))</f>
        <v/>
      </c>
      <c r="H1470" s="8">
        <f>IF($B1470="","",VLOOKUP($B1470,Jogos!$A$2:$K$105,11,FALSE))</f>
        <v/>
      </c>
      <c r="I1470" s="5">
        <f>IF(OR($A1470="", $B1470="", $E1470="", $F1470="", $G1470="", $H1470=""), "",IF(AND($E1470=$G1470, $F1470=$H1470), 3, IF(SIGN($E1470-$F1470)=SIGN($G1470-$H1470), 1, 0))))</f>
        <v/>
      </c>
    </row>
    <row r="1471">
      <c r="A1471" s="5" t="inlineStr"/>
      <c r="B1471" s="5" t="inlineStr"/>
      <c r="C1471" s="5">
        <f>IF($B1471="","",VLOOKUP($B1471,Jogos!$A$2:$K$105,8,FALSE))</f>
        <v/>
      </c>
      <c r="D1471" s="5">
        <f>IF($B1471="","",VLOOKUP($B1471,Jogos!$A$2:$K$105,10,FALSE))</f>
        <v/>
      </c>
      <c r="E1471" s="5" t="inlineStr"/>
      <c r="F1471" s="5" t="inlineStr"/>
      <c r="G1471" s="8">
        <f>IF($B1471="","",VLOOKUP($B1471,Jogos!$A$2:$K$105,9,FALSE))</f>
        <v/>
      </c>
      <c r="H1471" s="8">
        <f>IF($B1471="","",VLOOKUP($B1471,Jogos!$A$2:$K$105,11,FALSE))</f>
        <v/>
      </c>
      <c r="I1471" s="5">
        <f>IF(OR($A1471="", $B1471="", $E1471="", $F1471="", $G1471="", $H1471=""), "",IF(AND($E1471=$G1471, $F1471=$H1471), 3, IF(SIGN($E1471-$F1471)=SIGN($G1471-$H1471), 1, 0))))</f>
        <v/>
      </c>
    </row>
    <row r="1472">
      <c r="A1472" s="5" t="inlineStr"/>
      <c r="B1472" s="5" t="inlineStr"/>
      <c r="C1472" s="5">
        <f>IF($B1472="","",VLOOKUP($B1472,Jogos!$A$2:$K$105,8,FALSE))</f>
        <v/>
      </c>
      <c r="D1472" s="5">
        <f>IF($B1472="","",VLOOKUP($B1472,Jogos!$A$2:$K$105,10,FALSE))</f>
        <v/>
      </c>
      <c r="E1472" s="5" t="inlineStr"/>
      <c r="F1472" s="5" t="inlineStr"/>
      <c r="G1472" s="8">
        <f>IF($B1472="","",VLOOKUP($B1472,Jogos!$A$2:$K$105,9,FALSE))</f>
        <v/>
      </c>
      <c r="H1472" s="8">
        <f>IF($B1472="","",VLOOKUP($B1472,Jogos!$A$2:$K$105,11,FALSE))</f>
        <v/>
      </c>
      <c r="I1472" s="5">
        <f>IF(OR($A1472="", $B1472="", $E1472="", $F1472="", $G1472="", $H1472=""), "",IF(AND($E1472=$G1472, $F1472=$H1472), 3, IF(SIGN($E1472-$F1472)=SIGN($G1472-$H1472), 1, 0))))</f>
        <v/>
      </c>
    </row>
    <row r="1473">
      <c r="A1473" s="5" t="inlineStr"/>
      <c r="B1473" s="5" t="inlineStr"/>
      <c r="C1473" s="5">
        <f>IF($B1473="","",VLOOKUP($B1473,Jogos!$A$2:$K$105,8,FALSE))</f>
        <v/>
      </c>
      <c r="D1473" s="5">
        <f>IF($B1473="","",VLOOKUP($B1473,Jogos!$A$2:$K$105,10,FALSE))</f>
        <v/>
      </c>
      <c r="E1473" s="5" t="inlineStr"/>
      <c r="F1473" s="5" t="inlineStr"/>
      <c r="G1473" s="8">
        <f>IF($B1473="","",VLOOKUP($B1473,Jogos!$A$2:$K$105,9,FALSE))</f>
        <v/>
      </c>
      <c r="H1473" s="8">
        <f>IF($B1473="","",VLOOKUP($B1473,Jogos!$A$2:$K$105,11,FALSE))</f>
        <v/>
      </c>
      <c r="I1473" s="5">
        <f>IF(OR($A1473="", $B1473="", $E1473="", $F1473="", $G1473="", $H1473=""), "",IF(AND($E1473=$G1473, $F1473=$H1473), 3, IF(SIGN($E1473-$F1473)=SIGN($G1473-$H1473), 1, 0))))</f>
        <v/>
      </c>
    </row>
    <row r="1474">
      <c r="A1474" s="5" t="inlineStr"/>
      <c r="B1474" s="5" t="inlineStr"/>
      <c r="C1474" s="5">
        <f>IF($B1474="","",VLOOKUP($B1474,Jogos!$A$2:$K$105,8,FALSE))</f>
        <v/>
      </c>
      <c r="D1474" s="5">
        <f>IF($B1474="","",VLOOKUP($B1474,Jogos!$A$2:$K$105,10,FALSE))</f>
        <v/>
      </c>
      <c r="E1474" s="5" t="inlineStr"/>
      <c r="F1474" s="5" t="inlineStr"/>
      <c r="G1474" s="8">
        <f>IF($B1474="","",VLOOKUP($B1474,Jogos!$A$2:$K$105,9,FALSE))</f>
        <v/>
      </c>
      <c r="H1474" s="8">
        <f>IF($B1474="","",VLOOKUP($B1474,Jogos!$A$2:$K$105,11,FALSE))</f>
        <v/>
      </c>
      <c r="I1474" s="5">
        <f>IF(OR($A1474="", $B1474="", $E1474="", $F1474="", $G1474="", $H1474=""), "",IF(AND($E1474=$G1474, $F1474=$H1474), 3, IF(SIGN($E1474-$F1474)=SIGN($G1474-$H1474), 1, 0))))</f>
        <v/>
      </c>
    </row>
    <row r="1475">
      <c r="A1475" s="5" t="inlineStr"/>
      <c r="B1475" s="5" t="inlineStr"/>
      <c r="C1475" s="5">
        <f>IF($B1475="","",VLOOKUP($B1475,Jogos!$A$2:$K$105,8,FALSE))</f>
        <v/>
      </c>
      <c r="D1475" s="5">
        <f>IF($B1475="","",VLOOKUP($B1475,Jogos!$A$2:$K$105,10,FALSE))</f>
        <v/>
      </c>
      <c r="E1475" s="5" t="inlineStr"/>
      <c r="F1475" s="5" t="inlineStr"/>
      <c r="G1475" s="8">
        <f>IF($B1475="","",VLOOKUP($B1475,Jogos!$A$2:$K$105,9,FALSE))</f>
        <v/>
      </c>
      <c r="H1475" s="8">
        <f>IF($B1475="","",VLOOKUP($B1475,Jogos!$A$2:$K$105,11,FALSE))</f>
        <v/>
      </c>
      <c r="I1475" s="5">
        <f>IF(OR($A1475="", $B1475="", $E1475="", $F1475="", $G1475="", $H1475=""), "",IF(AND($E1475=$G1475, $F1475=$H1475), 3, IF(SIGN($E1475-$F1475)=SIGN($G1475-$H1475), 1, 0))))</f>
        <v/>
      </c>
    </row>
    <row r="1476">
      <c r="A1476" s="5" t="inlineStr"/>
      <c r="B1476" s="5" t="inlineStr"/>
      <c r="C1476" s="5">
        <f>IF($B1476="","",VLOOKUP($B1476,Jogos!$A$2:$K$105,8,FALSE))</f>
        <v/>
      </c>
      <c r="D1476" s="5">
        <f>IF($B1476="","",VLOOKUP($B1476,Jogos!$A$2:$K$105,10,FALSE))</f>
        <v/>
      </c>
      <c r="E1476" s="5" t="inlineStr"/>
      <c r="F1476" s="5" t="inlineStr"/>
      <c r="G1476" s="8">
        <f>IF($B1476="","",VLOOKUP($B1476,Jogos!$A$2:$K$105,9,FALSE))</f>
        <v/>
      </c>
      <c r="H1476" s="8">
        <f>IF($B1476="","",VLOOKUP($B1476,Jogos!$A$2:$K$105,11,FALSE))</f>
        <v/>
      </c>
      <c r="I1476" s="5">
        <f>IF(OR($A1476="", $B1476="", $E1476="", $F1476="", $G1476="", $H1476=""), "",IF(AND($E1476=$G1476, $F1476=$H1476), 3, IF(SIGN($E1476-$F1476)=SIGN($G1476-$H1476), 1, 0))))</f>
        <v/>
      </c>
    </row>
    <row r="1477">
      <c r="A1477" s="5" t="inlineStr"/>
      <c r="B1477" s="5" t="inlineStr"/>
      <c r="C1477" s="5">
        <f>IF($B1477="","",VLOOKUP($B1477,Jogos!$A$2:$K$105,8,FALSE))</f>
        <v/>
      </c>
      <c r="D1477" s="5">
        <f>IF($B1477="","",VLOOKUP($B1477,Jogos!$A$2:$K$105,10,FALSE))</f>
        <v/>
      </c>
      <c r="E1477" s="5" t="inlineStr"/>
      <c r="F1477" s="5" t="inlineStr"/>
      <c r="G1477" s="8">
        <f>IF($B1477="","",VLOOKUP($B1477,Jogos!$A$2:$K$105,9,FALSE))</f>
        <v/>
      </c>
      <c r="H1477" s="8">
        <f>IF($B1477="","",VLOOKUP($B1477,Jogos!$A$2:$K$105,11,FALSE))</f>
        <v/>
      </c>
      <c r="I1477" s="5">
        <f>IF(OR($A1477="", $B1477="", $E1477="", $F1477="", $G1477="", $H1477=""), "",IF(AND($E1477=$G1477, $F1477=$H1477), 3, IF(SIGN($E1477-$F1477)=SIGN($G1477-$H1477), 1, 0))))</f>
        <v/>
      </c>
    </row>
    <row r="1478">
      <c r="A1478" s="5" t="inlineStr"/>
      <c r="B1478" s="5" t="inlineStr"/>
      <c r="C1478" s="5">
        <f>IF($B1478="","",VLOOKUP($B1478,Jogos!$A$2:$K$105,8,FALSE))</f>
        <v/>
      </c>
      <c r="D1478" s="5">
        <f>IF($B1478="","",VLOOKUP($B1478,Jogos!$A$2:$K$105,10,FALSE))</f>
        <v/>
      </c>
      <c r="E1478" s="5" t="inlineStr"/>
      <c r="F1478" s="5" t="inlineStr"/>
      <c r="G1478" s="8">
        <f>IF($B1478="","",VLOOKUP($B1478,Jogos!$A$2:$K$105,9,FALSE))</f>
        <v/>
      </c>
      <c r="H1478" s="8">
        <f>IF($B1478="","",VLOOKUP($B1478,Jogos!$A$2:$K$105,11,FALSE))</f>
        <v/>
      </c>
      <c r="I1478" s="5">
        <f>IF(OR($A1478="", $B1478="", $E1478="", $F1478="", $G1478="", $H1478=""), "",IF(AND($E1478=$G1478, $F1478=$H1478), 3, IF(SIGN($E1478-$F1478)=SIGN($G1478-$H1478), 1, 0))))</f>
        <v/>
      </c>
    </row>
    <row r="1479">
      <c r="A1479" s="5" t="inlineStr"/>
      <c r="B1479" s="5" t="inlineStr"/>
      <c r="C1479" s="5">
        <f>IF($B1479="","",VLOOKUP($B1479,Jogos!$A$2:$K$105,8,FALSE))</f>
        <v/>
      </c>
      <c r="D1479" s="5">
        <f>IF($B1479="","",VLOOKUP($B1479,Jogos!$A$2:$K$105,10,FALSE))</f>
        <v/>
      </c>
      <c r="E1479" s="5" t="inlineStr"/>
      <c r="F1479" s="5" t="inlineStr"/>
      <c r="G1479" s="8">
        <f>IF($B1479="","",VLOOKUP($B1479,Jogos!$A$2:$K$105,9,FALSE))</f>
        <v/>
      </c>
      <c r="H1479" s="8">
        <f>IF($B1479="","",VLOOKUP($B1479,Jogos!$A$2:$K$105,11,FALSE))</f>
        <v/>
      </c>
      <c r="I1479" s="5">
        <f>IF(OR($A1479="", $B1479="", $E1479="", $F1479="", $G1479="", $H1479=""), "",IF(AND($E1479=$G1479, $F1479=$H1479), 3, IF(SIGN($E1479-$F1479)=SIGN($G1479-$H1479), 1, 0))))</f>
        <v/>
      </c>
    </row>
    <row r="1480">
      <c r="A1480" s="5" t="inlineStr"/>
      <c r="B1480" s="5" t="inlineStr"/>
      <c r="C1480" s="5">
        <f>IF($B1480="","",VLOOKUP($B1480,Jogos!$A$2:$K$105,8,FALSE))</f>
        <v/>
      </c>
      <c r="D1480" s="5">
        <f>IF($B1480="","",VLOOKUP($B1480,Jogos!$A$2:$K$105,10,FALSE))</f>
        <v/>
      </c>
      <c r="E1480" s="5" t="inlineStr"/>
      <c r="F1480" s="5" t="inlineStr"/>
      <c r="G1480" s="8">
        <f>IF($B1480="","",VLOOKUP($B1480,Jogos!$A$2:$K$105,9,FALSE))</f>
        <v/>
      </c>
      <c r="H1480" s="8">
        <f>IF($B1480="","",VLOOKUP($B1480,Jogos!$A$2:$K$105,11,FALSE))</f>
        <v/>
      </c>
      <c r="I1480" s="5">
        <f>IF(OR($A1480="", $B1480="", $E1480="", $F1480="", $G1480="", $H1480=""), "",IF(AND($E1480=$G1480, $F1480=$H1480), 3, IF(SIGN($E1480-$F1480)=SIGN($G1480-$H1480), 1, 0))))</f>
        <v/>
      </c>
    </row>
    <row r="1481">
      <c r="A1481" s="5" t="inlineStr"/>
      <c r="B1481" s="5" t="inlineStr"/>
      <c r="C1481" s="5">
        <f>IF($B1481="","",VLOOKUP($B1481,Jogos!$A$2:$K$105,8,FALSE))</f>
        <v/>
      </c>
      <c r="D1481" s="5">
        <f>IF($B1481="","",VLOOKUP($B1481,Jogos!$A$2:$K$105,10,FALSE))</f>
        <v/>
      </c>
      <c r="E1481" s="5" t="inlineStr"/>
      <c r="F1481" s="5" t="inlineStr"/>
      <c r="G1481" s="8">
        <f>IF($B1481="","",VLOOKUP($B1481,Jogos!$A$2:$K$105,9,FALSE))</f>
        <v/>
      </c>
      <c r="H1481" s="8">
        <f>IF($B1481="","",VLOOKUP($B1481,Jogos!$A$2:$K$105,11,FALSE))</f>
        <v/>
      </c>
      <c r="I1481" s="5">
        <f>IF(OR($A1481="", $B1481="", $E1481="", $F1481="", $G1481="", $H1481=""), "",IF(AND($E1481=$G1481, $F1481=$H1481), 3, IF(SIGN($E1481-$F1481)=SIGN($G1481-$H1481), 1, 0))))</f>
        <v/>
      </c>
    </row>
    <row r="1482">
      <c r="A1482" s="5" t="inlineStr"/>
      <c r="B1482" s="5" t="inlineStr"/>
      <c r="C1482" s="5">
        <f>IF($B1482="","",VLOOKUP($B1482,Jogos!$A$2:$K$105,8,FALSE))</f>
        <v/>
      </c>
      <c r="D1482" s="5">
        <f>IF($B1482="","",VLOOKUP($B1482,Jogos!$A$2:$K$105,10,FALSE))</f>
        <v/>
      </c>
      <c r="E1482" s="5" t="inlineStr"/>
      <c r="F1482" s="5" t="inlineStr"/>
      <c r="G1482" s="8">
        <f>IF($B1482="","",VLOOKUP($B1482,Jogos!$A$2:$K$105,9,FALSE))</f>
        <v/>
      </c>
      <c r="H1482" s="8">
        <f>IF($B1482="","",VLOOKUP($B1482,Jogos!$A$2:$K$105,11,FALSE))</f>
        <v/>
      </c>
      <c r="I1482" s="5">
        <f>IF(OR($A1482="", $B1482="", $E1482="", $F1482="", $G1482="", $H1482=""), "",IF(AND($E1482=$G1482, $F1482=$H1482), 3, IF(SIGN($E1482-$F1482)=SIGN($G1482-$H1482), 1, 0))))</f>
        <v/>
      </c>
    </row>
    <row r="1483">
      <c r="A1483" s="5" t="inlineStr"/>
      <c r="B1483" s="5" t="inlineStr"/>
      <c r="C1483" s="5">
        <f>IF($B1483="","",VLOOKUP($B1483,Jogos!$A$2:$K$105,8,FALSE))</f>
        <v/>
      </c>
      <c r="D1483" s="5">
        <f>IF($B1483="","",VLOOKUP($B1483,Jogos!$A$2:$K$105,10,FALSE))</f>
        <v/>
      </c>
      <c r="E1483" s="5" t="inlineStr"/>
      <c r="F1483" s="5" t="inlineStr"/>
      <c r="G1483" s="8">
        <f>IF($B1483="","",VLOOKUP($B1483,Jogos!$A$2:$K$105,9,FALSE))</f>
        <v/>
      </c>
      <c r="H1483" s="8">
        <f>IF($B1483="","",VLOOKUP($B1483,Jogos!$A$2:$K$105,11,FALSE))</f>
        <v/>
      </c>
      <c r="I1483" s="5">
        <f>IF(OR($A1483="", $B1483="", $E1483="", $F1483="", $G1483="", $H1483=""), "",IF(AND($E1483=$G1483, $F1483=$H1483), 3, IF(SIGN($E1483-$F1483)=SIGN($G1483-$H1483), 1, 0))))</f>
        <v/>
      </c>
    </row>
    <row r="1484">
      <c r="A1484" s="5" t="inlineStr"/>
      <c r="B1484" s="5" t="inlineStr"/>
      <c r="C1484" s="5">
        <f>IF($B1484="","",VLOOKUP($B1484,Jogos!$A$2:$K$105,8,FALSE))</f>
        <v/>
      </c>
      <c r="D1484" s="5">
        <f>IF($B1484="","",VLOOKUP($B1484,Jogos!$A$2:$K$105,10,FALSE))</f>
        <v/>
      </c>
      <c r="E1484" s="5" t="inlineStr"/>
      <c r="F1484" s="5" t="inlineStr"/>
      <c r="G1484" s="8">
        <f>IF($B1484="","",VLOOKUP($B1484,Jogos!$A$2:$K$105,9,FALSE))</f>
        <v/>
      </c>
      <c r="H1484" s="8">
        <f>IF($B1484="","",VLOOKUP($B1484,Jogos!$A$2:$K$105,11,FALSE))</f>
        <v/>
      </c>
      <c r="I1484" s="5">
        <f>IF(OR($A1484="", $B1484="", $E1484="", $F1484="", $G1484="", $H1484=""), "",IF(AND($E1484=$G1484, $F1484=$H1484), 3, IF(SIGN($E1484-$F1484)=SIGN($G1484-$H1484), 1, 0))))</f>
        <v/>
      </c>
    </row>
    <row r="1485">
      <c r="A1485" s="5" t="inlineStr"/>
      <c r="B1485" s="5" t="inlineStr"/>
      <c r="C1485" s="5">
        <f>IF($B1485="","",VLOOKUP($B1485,Jogos!$A$2:$K$105,8,FALSE))</f>
        <v/>
      </c>
      <c r="D1485" s="5">
        <f>IF($B1485="","",VLOOKUP($B1485,Jogos!$A$2:$K$105,10,FALSE))</f>
        <v/>
      </c>
      <c r="E1485" s="5" t="inlineStr"/>
      <c r="F1485" s="5" t="inlineStr"/>
      <c r="G1485" s="8">
        <f>IF($B1485="","",VLOOKUP($B1485,Jogos!$A$2:$K$105,9,FALSE))</f>
        <v/>
      </c>
      <c r="H1485" s="8">
        <f>IF($B1485="","",VLOOKUP($B1485,Jogos!$A$2:$K$105,11,FALSE))</f>
        <v/>
      </c>
      <c r="I1485" s="5">
        <f>IF(OR($A1485="", $B1485="", $E1485="", $F1485="", $G1485="", $H1485=""), "",IF(AND($E1485=$G1485, $F1485=$H1485), 3, IF(SIGN($E1485-$F1485)=SIGN($G1485-$H1485), 1, 0))))</f>
        <v/>
      </c>
    </row>
    <row r="1486">
      <c r="A1486" s="5" t="inlineStr"/>
      <c r="B1486" s="5" t="inlineStr"/>
      <c r="C1486" s="5">
        <f>IF($B1486="","",VLOOKUP($B1486,Jogos!$A$2:$K$105,8,FALSE))</f>
        <v/>
      </c>
      <c r="D1486" s="5">
        <f>IF($B1486="","",VLOOKUP($B1486,Jogos!$A$2:$K$105,10,FALSE))</f>
        <v/>
      </c>
      <c r="E1486" s="5" t="inlineStr"/>
      <c r="F1486" s="5" t="inlineStr"/>
      <c r="G1486" s="8">
        <f>IF($B1486="","",VLOOKUP($B1486,Jogos!$A$2:$K$105,9,FALSE))</f>
        <v/>
      </c>
      <c r="H1486" s="8">
        <f>IF($B1486="","",VLOOKUP($B1486,Jogos!$A$2:$K$105,11,FALSE))</f>
        <v/>
      </c>
      <c r="I1486" s="5">
        <f>IF(OR($A1486="", $B1486="", $E1486="", $F1486="", $G1486="", $H1486=""), "",IF(AND($E1486=$G1486, $F1486=$H1486), 3, IF(SIGN($E1486-$F1486)=SIGN($G1486-$H1486), 1, 0))))</f>
        <v/>
      </c>
    </row>
    <row r="1487">
      <c r="A1487" s="5" t="inlineStr"/>
      <c r="B1487" s="5" t="inlineStr"/>
      <c r="C1487" s="5">
        <f>IF($B1487="","",VLOOKUP($B1487,Jogos!$A$2:$K$105,8,FALSE))</f>
        <v/>
      </c>
      <c r="D1487" s="5">
        <f>IF($B1487="","",VLOOKUP($B1487,Jogos!$A$2:$K$105,10,FALSE))</f>
        <v/>
      </c>
      <c r="E1487" s="5" t="inlineStr"/>
      <c r="F1487" s="5" t="inlineStr"/>
      <c r="G1487" s="8">
        <f>IF($B1487="","",VLOOKUP($B1487,Jogos!$A$2:$K$105,9,FALSE))</f>
        <v/>
      </c>
      <c r="H1487" s="8">
        <f>IF($B1487="","",VLOOKUP($B1487,Jogos!$A$2:$K$105,11,FALSE))</f>
        <v/>
      </c>
      <c r="I1487" s="5">
        <f>IF(OR($A1487="", $B1487="", $E1487="", $F1487="", $G1487="", $H1487=""), "",IF(AND($E1487=$G1487, $F1487=$H1487), 3, IF(SIGN($E1487-$F1487)=SIGN($G1487-$H1487), 1, 0))))</f>
        <v/>
      </c>
    </row>
    <row r="1488">
      <c r="A1488" s="5" t="inlineStr"/>
      <c r="B1488" s="5" t="inlineStr"/>
      <c r="C1488" s="5">
        <f>IF($B1488="","",VLOOKUP($B1488,Jogos!$A$2:$K$105,8,FALSE))</f>
        <v/>
      </c>
      <c r="D1488" s="5">
        <f>IF($B1488="","",VLOOKUP($B1488,Jogos!$A$2:$K$105,10,FALSE))</f>
        <v/>
      </c>
      <c r="E1488" s="5" t="inlineStr"/>
      <c r="F1488" s="5" t="inlineStr"/>
      <c r="G1488" s="8">
        <f>IF($B1488="","",VLOOKUP($B1488,Jogos!$A$2:$K$105,9,FALSE))</f>
        <v/>
      </c>
      <c r="H1488" s="8">
        <f>IF($B1488="","",VLOOKUP($B1488,Jogos!$A$2:$K$105,11,FALSE))</f>
        <v/>
      </c>
      <c r="I1488" s="5">
        <f>IF(OR($A1488="", $B1488="", $E1488="", $F1488="", $G1488="", $H1488=""), "",IF(AND($E1488=$G1488, $F1488=$H1488), 3, IF(SIGN($E1488-$F1488)=SIGN($G1488-$H1488), 1, 0))))</f>
        <v/>
      </c>
    </row>
    <row r="1489">
      <c r="A1489" s="5" t="inlineStr"/>
      <c r="B1489" s="5" t="inlineStr"/>
      <c r="C1489" s="5">
        <f>IF($B1489="","",VLOOKUP($B1489,Jogos!$A$2:$K$105,8,FALSE))</f>
        <v/>
      </c>
      <c r="D1489" s="5">
        <f>IF($B1489="","",VLOOKUP($B1489,Jogos!$A$2:$K$105,10,FALSE))</f>
        <v/>
      </c>
      <c r="E1489" s="5" t="inlineStr"/>
      <c r="F1489" s="5" t="inlineStr"/>
      <c r="G1489" s="8">
        <f>IF($B1489="","",VLOOKUP($B1489,Jogos!$A$2:$K$105,9,FALSE))</f>
        <v/>
      </c>
      <c r="H1489" s="8">
        <f>IF($B1489="","",VLOOKUP($B1489,Jogos!$A$2:$K$105,11,FALSE))</f>
        <v/>
      </c>
      <c r="I1489" s="5">
        <f>IF(OR($A1489="", $B1489="", $E1489="", $F1489="", $G1489="", $H1489=""), "",IF(AND($E1489=$G1489, $F1489=$H1489), 3, IF(SIGN($E1489-$F1489)=SIGN($G1489-$H1489), 1, 0))))</f>
        <v/>
      </c>
    </row>
    <row r="1490">
      <c r="A1490" s="5" t="inlineStr"/>
      <c r="B1490" s="5" t="inlineStr"/>
      <c r="C1490" s="5">
        <f>IF($B1490="","",VLOOKUP($B1490,Jogos!$A$2:$K$105,8,FALSE))</f>
        <v/>
      </c>
      <c r="D1490" s="5">
        <f>IF($B1490="","",VLOOKUP($B1490,Jogos!$A$2:$K$105,10,FALSE))</f>
        <v/>
      </c>
      <c r="E1490" s="5" t="inlineStr"/>
      <c r="F1490" s="5" t="inlineStr"/>
      <c r="G1490" s="8">
        <f>IF($B1490="","",VLOOKUP($B1490,Jogos!$A$2:$K$105,9,FALSE))</f>
        <v/>
      </c>
      <c r="H1490" s="8">
        <f>IF($B1490="","",VLOOKUP($B1490,Jogos!$A$2:$K$105,11,FALSE))</f>
        <v/>
      </c>
      <c r="I1490" s="5">
        <f>IF(OR($A1490="", $B1490="", $E1490="", $F1490="", $G1490="", $H1490=""), "",IF(AND($E1490=$G1490, $F1490=$H1490), 3, IF(SIGN($E1490-$F1490)=SIGN($G1490-$H1490), 1, 0))))</f>
        <v/>
      </c>
    </row>
    <row r="1491">
      <c r="A1491" s="5" t="inlineStr"/>
      <c r="B1491" s="5" t="inlineStr"/>
      <c r="C1491" s="5">
        <f>IF($B1491="","",VLOOKUP($B1491,Jogos!$A$2:$K$105,8,FALSE))</f>
        <v/>
      </c>
      <c r="D1491" s="5">
        <f>IF($B1491="","",VLOOKUP($B1491,Jogos!$A$2:$K$105,10,FALSE))</f>
        <v/>
      </c>
      <c r="E1491" s="5" t="inlineStr"/>
      <c r="F1491" s="5" t="inlineStr"/>
      <c r="G1491" s="8">
        <f>IF($B1491="","",VLOOKUP($B1491,Jogos!$A$2:$K$105,9,FALSE))</f>
        <v/>
      </c>
      <c r="H1491" s="8">
        <f>IF($B1491="","",VLOOKUP($B1491,Jogos!$A$2:$K$105,11,FALSE))</f>
        <v/>
      </c>
      <c r="I1491" s="5">
        <f>IF(OR($A1491="", $B1491="", $E1491="", $F1491="", $G1491="", $H1491=""), "",IF(AND($E1491=$G1491, $F1491=$H1491), 3, IF(SIGN($E1491-$F1491)=SIGN($G1491-$H1491), 1, 0))))</f>
        <v/>
      </c>
    </row>
    <row r="1492">
      <c r="A1492" s="5" t="inlineStr"/>
      <c r="B1492" s="5" t="inlineStr"/>
      <c r="C1492" s="5">
        <f>IF($B1492="","",VLOOKUP($B1492,Jogos!$A$2:$K$105,8,FALSE))</f>
        <v/>
      </c>
      <c r="D1492" s="5">
        <f>IF($B1492="","",VLOOKUP($B1492,Jogos!$A$2:$K$105,10,FALSE))</f>
        <v/>
      </c>
      <c r="E1492" s="5" t="inlineStr"/>
      <c r="F1492" s="5" t="inlineStr"/>
      <c r="G1492" s="8">
        <f>IF($B1492="","",VLOOKUP($B1492,Jogos!$A$2:$K$105,9,FALSE))</f>
        <v/>
      </c>
      <c r="H1492" s="8">
        <f>IF($B1492="","",VLOOKUP($B1492,Jogos!$A$2:$K$105,11,FALSE))</f>
        <v/>
      </c>
      <c r="I1492" s="5">
        <f>IF(OR($A1492="", $B1492="", $E1492="", $F1492="", $G1492="", $H1492=""), "",IF(AND($E1492=$G1492, $F1492=$H1492), 3, IF(SIGN($E1492-$F1492)=SIGN($G1492-$H1492), 1, 0))))</f>
        <v/>
      </c>
    </row>
    <row r="1493">
      <c r="A1493" s="5" t="inlineStr"/>
      <c r="B1493" s="5" t="inlineStr"/>
      <c r="C1493" s="5">
        <f>IF($B1493="","",VLOOKUP($B1493,Jogos!$A$2:$K$105,8,FALSE))</f>
        <v/>
      </c>
      <c r="D1493" s="5">
        <f>IF($B1493="","",VLOOKUP($B1493,Jogos!$A$2:$K$105,10,FALSE))</f>
        <v/>
      </c>
      <c r="E1493" s="5" t="inlineStr"/>
      <c r="F1493" s="5" t="inlineStr"/>
      <c r="G1493" s="8">
        <f>IF($B1493="","",VLOOKUP($B1493,Jogos!$A$2:$K$105,9,FALSE))</f>
        <v/>
      </c>
      <c r="H1493" s="8">
        <f>IF($B1493="","",VLOOKUP($B1493,Jogos!$A$2:$K$105,11,FALSE))</f>
        <v/>
      </c>
      <c r="I1493" s="5">
        <f>IF(OR($A1493="", $B1493="", $E1493="", $F1493="", $G1493="", $H1493=""), "",IF(AND($E1493=$G1493, $F1493=$H1493), 3, IF(SIGN($E1493-$F1493)=SIGN($G1493-$H1493), 1, 0))))</f>
        <v/>
      </c>
    </row>
    <row r="1494">
      <c r="A1494" s="5" t="inlineStr"/>
      <c r="B1494" s="5" t="inlineStr"/>
      <c r="C1494" s="5">
        <f>IF($B1494="","",VLOOKUP($B1494,Jogos!$A$2:$K$105,8,FALSE))</f>
        <v/>
      </c>
      <c r="D1494" s="5">
        <f>IF($B1494="","",VLOOKUP($B1494,Jogos!$A$2:$K$105,10,FALSE))</f>
        <v/>
      </c>
      <c r="E1494" s="5" t="inlineStr"/>
      <c r="F1494" s="5" t="inlineStr"/>
      <c r="G1494" s="8">
        <f>IF($B1494="","",VLOOKUP($B1494,Jogos!$A$2:$K$105,9,FALSE))</f>
        <v/>
      </c>
      <c r="H1494" s="8">
        <f>IF($B1494="","",VLOOKUP($B1494,Jogos!$A$2:$K$105,11,FALSE))</f>
        <v/>
      </c>
      <c r="I1494" s="5">
        <f>IF(OR($A1494="", $B1494="", $E1494="", $F1494="", $G1494="", $H1494=""), "",IF(AND($E1494=$G1494, $F1494=$H1494), 3, IF(SIGN($E1494-$F1494)=SIGN($G1494-$H1494), 1, 0))))</f>
        <v/>
      </c>
    </row>
    <row r="1495">
      <c r="A1495" s="5" t="inlineStr"/>
      <c r="B1495" s="5" t="inlineStr"/>
      <c r="C1495" s="5">
        <f>IF($B1495="","",VLOOKUP($B1495,Jogos!$A$2:$K$105,8,FALSE))</f>
        <v/>
      </c>
      <c r="D1495" s="5">
        <f>IF($B1495="","",VLOOKUP($B1495,Jogos!$A$2:$K$105,10,FALSE))</f>
        <v/>
      </c>
      <c r="E1495" s="5" t="inlineStr"/>
      <c r="F1495" s="5" t="inlineStr"/>
      <c r="G1495" s="8">
        <f>IF($B1495="","",VLOOKUP($B1495,Jogos!$A$2:$K$105,9,FALSE))</f>
        <v/>
      </c>
      <c r="H1495" s="8">
        <f>IF($B1495="","",VLOOKUP($B1495,Jogos!$A$2:$K$105,11,FALSE))</f>
        <v/>
      </c>
      <c r="I1495" s="5">
        <f>IF(OR($A1495="", $B1495="", $E1495="", $F1495="", $G1495="", $H1495=""), "",IF(AND($E1495=$G1495, $F1495=$H1495), 3, IF(SIGN($E1495-$F1495)=SIGN($G1495-$H1495), 1, 0))))</f>
        <v/>
      </c>
    </row>
    <row r="1496">
      <c r="A1496" s="5" t="inlineStr"/>
      <c r="B1496" s="5" t="inlineStr"/>
      <c r="C1496" s="5">
        <f>IF($B1496="","",VLOOKUP($B1496,Jogos!$A$2:$K$105,8,FALSE))</f>
        <v/>
      </c>
      <c r="D1496" s="5">
        <f>IF($B1496="","",VLOOKUP($B1496,Jogos!$A$2:$K$105,10,FALSE))</f>
        <v/>
      </c>
      <c r="E1496" s="5" t="inlineStr"/>
      <c r="F1496" s="5" t="inlineStr"/>
      <c r="G1496" s="8">
        <f>IF($B1496="","",VLOOKUP($B1496,Jogos!$A$2:$K$105,9,FALSE))</f>
        <v/>
      </c>
      <c r="H1496" s="8">
        <f>IF($B1496="","",VLOOKUP($B1496,Jogos!$A$2:$K$105,11,FALSE))</f>
        <v/>
      </c>
      <c r="I1496" s="5">
        <f>IF(OR($A1496="", $B1496="", $E1496="", $F1496="", $G1496="", $H1496=""), "",IF(AND($E1496=$G1496, $F1496=$H1496), 3, IF(SIGN($E1496-$F1496)=SIGN($G1496-$H1496), 1, 0))))</f>
        <v/>
      </c>
    </row>
    <row r="1497">
      <c r="A1497" s="5" t="inlineStr"/>
      <c r="B1497" s="5" t="inlineStr"/>
      <c r="C1497" s="5">
        <f>IF($B1497="","",VLOOKUP($B1497,Jogos!$A$2:$K$105,8,FALSE))</f>
        <v/>
      </c>
      <c r="D1497" s="5">
        <f>IF($B1497="","",VLOOKUP($B1497,Jogos!$A$2:$K$105,10,FALSE))</f>
        <v/>
      </c>
      <c r="E1497" s="5" t="inlineStr"/>
      <c r="F1497" s="5" t="inlineStr"/>
      <c r="G1497" s="8">
        <f>IF($B1497="","",VLOOKUP($B1497,Jogos!$A$2:$K$105,9,FALSE))</f>
        <v/>
      </c>
      <c r="H1497" s="8">
        <f>IF($B1497="","",VLOOKUP($B1497,Jogos!$A$2:$K$105,11,FALSE))</f>
        <v/>
      </c>
      <c r="I1497" s="5">
        <f>IF(OR($A1497="", $B1497="", $E1497="", $F1497="", $G1497="", $H1497=""), "",IF(AND($E1497=$G1497, $F1497=$H1497), 3, IF(SIGN($E1497-$F1497)=SIGN($G1497-$H1497), 1, 0))))</f>
        <v/>
      </c>
    </row>
    <row r="1498">
      <c r="A1498" s="5" t="inlineStr"/>
      <c r="B1498" s="5" t="inlineStr"/>
      <c r="C1498" s="5">
        <f>IF($B1498="","",VLOOKUP($B1498,Jogos!$A$2:$K$105,8,FALSE))</f>
        <v/>
      </c>
      <c r="D1498" s="5">
        <f>IF($B1498="","",VLOOKUP($B1498,Jogos!$A$2:$K$105,10,FALSE))</f>
        <v/>
      </c>
      <c r="E1498" s="5" t="inlineStr"/>
      <c r="F1498" s="5" t="inlineStr"/>
      <c r="G1498" s="8">
        <f>IF($B1498="","",VLOOKUP($B1498,Jogos!$A$2:$K$105,9,FALSE))</f>
        <v/>
      </c>
      <c r="H1498" s="8">
        <f>IF($B1498="","",VLOOKUP($B1498,Jogos!$A$2:$K$105,11,FALSE))</f>
        <v/>
      </c>
      <c r="I1498" s="5">
        <f>IF(OR($A1498="", $B1498="", $E1498="", $F1498="", $G1498="", $H1498=""), "",IF(AND($E1498=$G1498, $F1498=$H1498), 3, IF(SIGN($E1498-$F1498)=SIGN($G1498-$H1498), 1, 0))))</f>
        <v/>
      </c>
    </row>
    <row r="1499">
      <c r="A1499" s="5" t="inlineStr"/>
      <c r="B1499" s="5" t="inlineStr"/>
      <c r="C1499" s="5">
        <f>IF($B1499="","",VLOOKUP($B1499,Jogos!$A$2:$K$105,8,FALSE))</f>
        <v/>
      </c>
      <c r="D1499" s="5">
        <f>IF($B1499="","",VLOOKUP($B1499,Jogos!$A$2:$K$105,10,FALSE))</f>
        <v/>
      </c>
      <c r="E1499" s="5" t="inlineStr"/>
      <c r="F1499" s="5" t="inlineStr"/>
      <c r="G1499" s="8">
        <f>IF($B1499="","",VLOOKUP($B1499,Jogos!$A$2:$K$105,9,FALSE))</f>
        <v/>
      </c>
      <c r="H1499" s="8">
        <f>IF($B1499="","",VLOOKUP($B1499,Jogos!$A$2:$K$105,11,FALSE))</f>
        <v/>
      </c>
      <c r="I1499" s="5">
        <f>IF(OR($A1499="", $B1499="", $E1499="", $F1499="", $G1499="", $H1499=""), "",IF(AND($E1499=$G1499, $F1499=$H1499), 3, IF(SIGN($E1499-$F1499)=SIGN($G1499-$H1499), 1, 0))))</f>
        <v/>
      </c>
    </row>
    <row r="1500">
      <c r="A1500" s="5" t="inlineStr"/>
      <c r="B1500" s="5" t="inlineStr"/>
      <c r="C1500" s="5">
        <f>IF($B1500="","",VLOOKUP($B1500,Jogos!$A$2:$K$105,8,FALSE))</f>
        <v/>
      </c>
      <c r="D1500" s="5">
        <f>IF($B1500="","",VLOOKUP($B1500,Jogos!$A$2:$K$105,10,FALSE))</f>
        <v/>
      </c>
      <c r="E1500" s="5" t="inlineStr"/>
      <c r="F1500" s="5" t="inlineStr"/>
      <c r="G1500" s="8">
        <f>IF($B1500="","",VLOOKUP($B1500,Jogos!$A$2:$K$105,9,FALSE))</f>
        <v/>
      </c>
      <c r="H1500" s="8">
        <f>IF($B1500="","",VLOOKUP($B1500,Jogos!$A$2:$K$105,11,FALSE))</f>
        <v/>
      </c>
      <c r="I1500" s="5">
        <f>IF(OR($A1500="", $B1500="", $E1500="", $F1500="", $G1500="", $H1500=""), "",IF(AND($E1500=$G1500, $F1500=$H1500), 3, IF(SIGN($E1500-$F1500)=SIGN($G1500-$H1500), 1, 0))))</f>
        <v/>
      </c>
    </row>
    <row r="1501">
      <c r="A1501" s="5" t="inlineStr"/>
      <c r="B1501" s="5" t="inlineStr"/>
      <c r="C1501" s="5">
        <f>IF($B1501="","",VLOOKUP($B1501,Jogos!$A$2:$K$105,8,FALSE))</f>
        <v/>
      </c>
      <c r="D1501" s="5">
        <f>IF($B1501="","",VLOOKUP($B1501,Jogos!$A$2:$K$105,10,FALSE))</f>
        <v/>
      </c>
      <c r="E1501" s="5" t="inlineStr"/>
      <c r="F1501" s="5" t="inlineStr"/>
      <c r="G1501" s="8">
        <f>IF($B1501="","",VLOOKUP($B1501,Jogos!$A$2:$K$105,9,FALSE))</f>
        <v/>
      </c>
      <c r="H1501" s="8">
        <f>IF($B1501="","",VLOOKUP($B1501,Jogos!$A$2:$K$105,11,FALSE))</f>
        <v/>
      </c>
      <c r="I1501" s="5">
        <f>IF(OR($A1501="", $B1501="", $E1501="", $F1501="", $G1501="", $H1501=""), "",IF(AND($E1501=$G1501, $F1501=$H1501), 3, IF(SIGN($E1501-$F1501)=SIGN($G1501-$H1501), 1, 0))))</f>
        <v/>
      </c>
    </row>
    <row r="1502">
      <c r="A1502" s="5" t="inlineStr"/>
      <c r="B1502" s="5" t="inlineStr"/>
      <c r="C1502" s="5">
        <f>IF($B1502="","",VLOOKUP($B1502,Jogos!$A$2:$K$105,8,FALSE))</f>
        <v/>
      </c>
      <c r="D1502" s="5">
        <f>IF($B1502="","",VLOOKUP($B1502,Jogos!$A$2:$K$105,10,FALSE))</f>
        <v/>
      </c>
      <c r="E1502" s="5" t="inlineStr"/>
      <c r="F1502" s="5" t="inlineStr"/>
      <c r="G1502" s="8">
        <f>IF($B1502="","",VLOOKUP($B1502,Jogos!$A$2:$K$105,9,FALSE))</f>
        <v/>
      </c>
      <c r="H1502" s="8">
        <f>IF($B1502="","",VLOOKUP($B1502,Jogos!$A$2:$K$105,11,FALSE))</f>
        <v/>
      </c>
      <c r="I1502" s="5">
        <f>IF(OR($A1502="", $B1502="", $E1502="", $F1502="", $G1502="", $H1502=""), "",IF(AND($E1502=$G1502, $F1502=$H1502), 3, IF(SIGN($E1502-$F1502)=SIGN($G1502-$H1502), 1, 0))))</f>
        <v/>
      </c>
    </row>
    <row r="1503">
      <c r="A1503" s="5" t="inlineStr"/>
      <c r="B1503" s="5" t="inlineStr"/>
      <c r="C1503" s="5">
        <f>IF($B1503="","",VLOOKUP($B1503,Jogos!$A$2:$K$105,8,FALSE))</f>
        <v/>
      </c>
      <c r="D1503" s="5">
        <f>IF($B1503="","",VLOOKUP($B1503,Jogos!$A$2:$K$105,10,FALSE))</f>
        <v/>
      </c>
      <c r="E1503" s="5" t="inlineStr"/>
      <c r="F1503" s="5" t="inlineStr"/>
      <c r="G1503" s="8">
        <f>IF($B1503="","",VLOOKUP($B1503,Jogos!$A$2:$K$105,9,FALSE))</f>
        <v/>
      </c>
      <c r="H1503" s="8">
        <f>IF($B1503="","",VLOOKUP($B1503,Jogos!$A$2:$K$105,11,FALSE))</f>
        <v/>
      </c>
      <c r="I1503" s="5">
        <f>IF(OR($A1503="", $B1503="", $E1503="", $F1503="", $G1503="", $H1503=""), "",IF(AND($E1503=$G1503, $F1503=$H1503), 3, IF(SIGN($E1503-$F1503)=SIGN($G1503-$H1503), 1, 0))))</f>
        <v/>
      </c>
    </row>
    <row r="1504">
      <c r="A1504" s="5" t="inlineStr"/>
      <c r="B1504" s="5" t="inlineStr"/>
      <c r="C1504" s="5">
        <f>IF($B1504="","",VLOOKUP($B1504,Jogos!$A$2:$K$105,8,FALSE))</f>
        <v/>
      </c>
      <c r="D1504" s="5">
        <f>IF($B1504="","",VLOOKUP($B1504,Jogos!$A$2:$K$105,10,FALSE))</f>
        <v/>
      </c>
      <c r="E1504" s="5" t="inlineStr"/>
      <c r="F1504" s="5" t="inlineStr"/>
      <c r="G1504" s="8">
        <f>IF($B1504="","",VLOOKUP($B1504,Jogos!$A$2:$K$105,9,FALSE))</f>
        <v/>
      </c>
      <c r="H1504" s="8">
        <f>IF($B1504="","",VLOOKUP($B1504,Jogos!$A$2:$K$105,11,FALSE))</f>
        <v/>
      </c>
      <c r="I1504" s="5">
        <f>IF(OR($A1504="", $B1504="", $E1504="", $F1504="", $G1504="", $H1504=""), "",IF(AND($E1504=$G1504, $F1504=$H1504), 3, IF(SIGN($E1504-$F1504)=SIGN($G1504-$H1504), 1, 0))))</f>
        <v/>
      </c>
    </row>
    <row r="1505">
      <c r="A1505" s="5" t="inlineStr"/>
      <c r="B1505" s="5" t="inlineStr"/>
      <c r="C1505" s="5">
        <f>IF($B1505="","",VLOOKUP($B1505,Jogos!$A$2:$K$105,8,FALSE))</f>
        <v/>
      </c>
      <c r="D1505" s="5">
        <f>IF($B1505="","",VLOOKUP($B1505,Jogos!$A$2:$K$105,10,FALSE))</f>
        <v/>
      </c>
      <c r="E1505" s="5" t="inlineStr"/>
      <c r="F1505" s="5" t="inlineStr"/>
      <c r="G1505" s="8">
        <f>IF($B1505="","",VLOOKUP($B1505,Jogos!$A$2:$K$105,9,FALSE))</f>
        <v/>
      </c>
      <c r="H1505" s="8">
        <f>IF($B1505="","",VLOOKUP($B1505,Jogos!$A$2:$K$105,11,FALSE))</f>
        <v/>
      </c>
      <c r="I1505" s="5">
        <f>IF(OR($A1505="", $B1505="", $E1505="", $F1505="", $G1505="", $H1505=""), "",IF(AND($E1505=$G1505, $F1505=$H1505), 3, IF(SIGN($E1505-$F1505)=SIGN($G1505-$H1505), 1, 0))))</f>
        <v/>
      </c>
    </row>
    <row r="1506">
      <c r="A1506" s="5" t="inlineStr"/>
      <c r="B1506" s="5" t="inlineStr"/>
      <c r="C1506" s="5">
        <f>IF($B1506="","",VLOOKUP($B1506,Jogos!$A$2:$K$105,8,FALSE))</f>
        <v/>
      </c>
      <c r="D1506" s="5">
        <f>IF($B1506="","",VLOOKUP($B1506,Jogos!$A$2:$K$105,10,FALSE))</f>
        <v/>
      </c>
      <c r="E1506" s="5" t="inlineStr"/>
      <c r="F1506" s="5" t="inlineStr"/>
      <c r="G1506" s="8">
        <f>IF($B1506="","",VLOOKUP($B1506,Jogos!$A$2:$K$105,9,FALSE))</f>
        <v/>
      </c>
      <c r="H1506" s="8">
        <f>IF($B1506="","",VLOOKUP($B1506,Jogos!$A$2:$K$105,11,FALSE))</f>
        <v/>
      </c>
      <c r="I1506" s="5">
        <f>IF(OR($A1506="", $B1506="", $E1506="", $F1506="", $G1506="", $H1506=""), "",IF(AND($E1506=$G1506, $F1506=$H1506), 3, IF(SIGN($E1506-$F1506)=SIGN($G1506-$H1506), 1, 0))))</f>
        <v/>
      </c>
    </row>
    <row r="1507">
      <c r="A1507" s="5" t="inlineStr"/>
      <c r="B1507" s="5" t="inlineStr"/>
      <c r="C1507" s="5">
        <f>IF($B1507="","",VLOOKUP($B1507,Jogos!$A$2:$K$105,8,FALSE))</f>
        <v/>
      </c>
      <c r="D1507" s="5">
        <f>IF($B1507="","",VLOOKUP($B1507,Jogos!$A$2:$K$105,10,FALSE))</f>
        <v/>
      </c>
      <c r="E1507" s="5" t="inlineStr"/>
      <c r="F1507" s="5" t="inlineStr"/>
      <c r="G1507" s="8">
        <f>IF($B1507="","",VLOOKUP($B1507,Jogos!$A$2:$K$105,9,FALSE))</f>
        <v/>
      </c>
      <c r="H1507" s="8">
        <f>IF($B1507="","",VLOOKUP($B1507,Jogos!$A$2:$K$105,11,FALSE))</f>
        <v/>
      </c>
      <c r="I1507" s="5">
        <f>IF(OR($A1507="", $B1507="", $E1507="", $F1507="", $G1507="", $H1507=""), "",IF(AND($E1507=$G1507, $F1507=$H1507), 3, IF(SIGN($E1507-$F1507)=SIGN($G1507-$H1507), 1, 0))))</f>
        <v/>
      </c>
    </row>
    <row r="1508">
      <c r="A1508" s="5" t="inlineStr"/>
      <c r="B1508" s="5" t="inlineStr"/>
      <c r="C1508" s="5">
        <f>IF($B1508="","",VLOOKUP($B1508,Jogos!$A$2:$K$105,8,FALSE))</f>
        <v/>
      </c>
      <c r="D1508" s="5">
        <f>IF($B1508="","",VLOOKUP($B1508,Jogos!$A$2:$K$105,10,FALSE))</f>
        <v/>
      </c>
      <c r="E1508" s="5" t="inlineStr"/>
      <c r="F1508" s="5" t="inlineStr"/>
      <c r="G1508" s="8">
        <f>IF($B1508="","",VLOOKUP($B1508,Jogos!$A$2:$K$105,9,FALSE))</f>
        <v/>
      </c>
      <c r="H1508" s="8">
        <f>IF($B1508="","",VLOOKUP($B1508,Jogos!$A$2:$K$105,11,FALSE))</f>
        <v/>
      </c>
      <c r="I1508" s="5">
        <f>IF(OR($A1508="", $B1508="", $E1508="", $F1508="", $G1508="", $H1508=""), "",IF(AND($E1508=$G1508, $F1508=$H1508), 3, IF(SIGN($E1508-$F1508)=SIGN($G1508-$H1508), 1, 0))))</f>
        <v/>
      </c>
    </row>
    <row r="1509">
      <c r="A1509" s="5" t="inlineStr"/>
      <c r="B1509" s="5" t="inlineStr"/>
      <c r="C1509" s="5">
        <f>IF($B1509="","",VLOOKUP($B1509,Jogos!$A$2:$K$105,8,FALSE))</f>
        <v/>
      </c>
      <c r="D1509" s="5">
        <f>IF($B1509="","",VLOOKUP($B1509,Jogos!$A$2:$K$105,10,FALSE))</f>
        <v/>
      </c>
      <c r="E1509" s="5" t="inlineStr"/>
      <c r="F1509" s="5" t="inlineStr"/>
      <c r="G1509" s="8">
        <f>IF($B1509="","",VLOOKUP($B1509,Jogos!$A$2:$K$105,9,FALSE))</f>
        <v/>
      </c>
      <c r="H1509" s="8">
        <f>IF($B1509="","",VLOOKUP($B1509,Jogos!$A$2:$K$105,11,FALSE))</f>
        <v/>
      </c>
      <c r="I1509" s="5">
        <f>IF(OR($A1509="", $B1509="", $E1509="", $F1509="", $G1509="", $H1509=""), "",IF(AND($E1509=$G1509, $F1509=$H1509), 3, IF(SIGN($E1509-$F1509)=SIGN($G1509-$H1509), 1, 0))))</f>
        <v/>
      </c>
    </row>
    <row r="1510">
      <c r="A1510" s="5" t="inlineStr"/>
      <c r="B1510" s="5" t="inlineStr"/>
      <c r="C1510" s="5">
        <f>IF($B1510="","",VLOOKUP($B1510,Jogos!$A$2:$K$105,8,FALSE))</f>
        <v/>
      </c>
      <c r="D1510" s="5">
        <f>IF($B1510="","",VLOOKUP($B1510,Jogos!$A$2:$K$105,10,FALSE))</f>
        <v/>
      </c>
      <c r="E1510" s="5" t="inlineStr"/>
      <c r="F1510" s="5" t="inlineStr"/>
      <c r="G1510" s="8">
        <f>IF($B1510="","",VLOOKUP($B1510,Jogos!$A$2:$K$105,9,FALSE))</f>
        <v/>
      </c>
      <c r="H1510" s="8">
        <f>IF($B1510="","",VLOOKUP($B1510,Jogos!$A$2:$K$105,11,FALSE))</f>
        <v/>
      </c>
      <c r="I1510" s="5">
        <f>IF(OR($A1510="", $B1510="", $E1510="", $F1510="", $G1510="", $H1510=""), "",IF(AND($E1510=$G1510, $F1510=$H1510), 3, IF(SIGN($E1510-$F1510)=SIGN($G1510-$H1510), 1, 0))))</f>
        <v/>
      </c>
    </row>
    <row r="1511">
      <c r="A1511" s="5" t="inlineStr"/>
      <c r="B1511" s="5" t="inlineStr"/>
      <c r="C1511" s="5">
        <f>IF($B1511="","",VLOOKUP($B1511,Jogos!$A$2:$K$105,8,FALSE))</f>
        <v/>
      </c>
      <c r="D1511" s="5">
        <f>IF($B1511="","",VLOOKUP($B1511,Jogos!$A$2:$K$105,10,FALSE))</f>
        <v/>
      </c>
      <c r="E1511" s="5" t="inlineStr"/>
      <c r="F1511" s="5" t="inlineStr"/>
      <c r="G1511" s="8">
        <f>IF($B1511="","",VLOOKUP($B1511,Jogos!$A$2:$K$105,9,FALSE))</f>
        <v/>
      </c>
      <c r="H1511" s="8">
        <f>IF($B1511="","",VLOOKUP($B1511,Jogos!$A$2:$K$105,11,FALSE))</f>
        <v/>
      </c>
      <c r="I1511" s="5">
        <f>IF(OR($A1511="", $B1511="", $E1511="", $F1511="", $G1511="", $H1511=""), "",IF(AND($E1511=$G1511, $F1511=$H1511), 3, IF(SIGN($E1511-$F1511)=SIGN($G1511-$H1511), 1, 0))))</f>
        <v/>
      </c>
    </row>
    <row r="1512">
      <c r="A1512" s="5" t="inlineStr"/>
      <c r="B1512" s="5" t="inlineStr"/>
      <c r="C1512" s="5">
        <f>IF($B1512="","",VLOOKUP($B1512,Jogos!$A$2:$K$105,8,FALSE))</f>
        <v/>
      </c>
      <c r="D1512" s="5">
        <f>IF($B1512="","",VLOOKUP($B1512,Jogos!$A$2:$K$105,10,FALSE))</f>
        <v/>
      </c>
      <c r="E1512" s="5" t="inlineStr"/>
      <c r="F1512" s="5" t="inlineStr"/>
      <c r="G1512" s="8">
        <f>IF($B1512="","",VLOOKUP($B1512,Jogos!$A$2:$K$105,9,FALSE))</f>
        <v/>
      </c>
      <c r="H1512" s="8">
        <f>IF($B1512="","",VLOOKUP($B1512,Jogos!$A$2:$K$105,11,FALSE))</f>
        <v/>
      </c>
      <c r="I1512" s="5">
        <f>IF(OR($A1512="", $B1512="", $E1512="", $F1512="", $G1512="", $H1512=""), "",IF(AND($E1512=$G1512, $F1512=$H1512), 3, IF(SIGN($E1512-$F1512)=SIGN($G1512-$H1512), 1, 0))))</f>
        <v/>
      </c>
    </row>
    <row r="1513">
      <c r="A1513" s="5" t="inlineStr"/>
      <c r="B1513" s="5" t="inlineStr"/>
      <c r="C1513" s="5">
        <f>IF($B1513="","",VLOOKUP($B1513,Jogos!$A$2:$K$105,8,FALSE))</f>
        <v/>
      </c>
      <c r="D1513" s="5">
        <f>IF($B1513="","",VLOOKUP($B1513,Jogos!$A$2:$K$105,10,FALSE))</f>
        <v/>
      </c>
      <c r="E1513" s="5" t="inlineStr"/>
      <c r="F1513" s="5" t="inlineStr"/>
      <c r="G1513" s="8">
        <f>IF($B1513="","",VLOOKUP($B1513,Jogos!$A$2:$K$105,9,FALSE))</f>
        <v/>
      </c>
      <c r="H1513" s="8">
        <f>IF($B1513="","",VLOOKUP($B1513,Jogos!$A$2:$K$105,11,FALSE))</f>
        <v/>
      </c>
      <c r="I1513" s="5">
        <f>IF(OR($A1513="", $B1513="", $E1513="", $F1513="", $G1513="", $H1513=""), "",IF(AND($E1513=$G1513, $F1513=$H1513), 3, IF(SIGN($E1513-$F1513)=SIGN($G1513-$H1513), 1, 0))))</f>
        <v/>
      </c>
    </row>
    <row r="1514">
      <c r="A1514" s="5" t="inlineStr"/>
      <c r="B1514" s="5" t="inlineStr"/>
      <c r="C1514" s="5">
        <f>IF($B1514="","",VLOOKUP($B1514,Jogos!$A$2:$K$105,8,FALSE))</f>
        <v/>
      </c>
      <c r="D1514" s="5">
        <f>IF($B1514="","",VLOOKUP($B1514,Jogos!$A$2:$K$105,10,FALSE))</f>
        <v/>
      </c>
      <c r="E1514" s="5" t="inlineStr"/>
      <c r="F1514" s="5" t="inlineStr"/>
      <c r="G1514" s="8">
        <f>IF($B1514="","",VLOOKUP($B1514,Jogos!$A$2:$K$105,9,FALSE))</f>
        <v/>
      </c>
      <c r="H1514" s="8">
        <f>IF($B1514="","",VLOOKUP($B1514,Jogos!$A$2:$K$105,11,FALSE))</f>
        <v/>
      </c>
      <c r="I1514" s="5">
        <f>IF(OR($A1514="", $B1514="", $E1514="", $F1514="", $G1514="", $H1514=""), "",IF(AND($E1514=$G1514, $F1514=$H1514), 3, IF(SIGN($E1514-$F1514)=SIGN($G1514-$H1514), 1, 0))))</f>
        <v/>
      </c>
    </row>
    <row r="1515">
      <c r="A1515" s="5" t="inlineStr"/>
      <c r="B1515" s="5" t="inlineStr"/>
      <c r="C1515" s="5">
        <f>IF($B1515="","",VLOOKUP($B1515,Jogos!$A$2:$K$105,8,FALSE))</f>
        <v/>
      </c>
      <c r="D1515" s="5">
        <f>IF($B1515="","",VLOOKUP($B1515,Jogos!$A$2:$K$105,10,FALSE))</f>
        <v/>
      </c>
      <c r="E1515" s="5" t="inlineStr"/>
      <c r="F1515" s="5" t="inlineStr"/>
      <c r="G1515" s="8">
        <f>IF($B1515="","",VLOOKUP($B1515,Jogos!$A$2:$K$105,9,FALSE))</f>
        <v/>
      </c>
      <c r="H1515" s="8">
        <f>IF($B1515="","",VLOOKUP($B1515,Jogos!$A$2:$K$105,11,FALSE))</f>
        <v/>
      </c>
      <c r="I1515" s="5">
        <f>IF(OR($A1515="", $B1515="", $E1515="", $F1515="", $G1515="", $H1515=""), "",IF(AND($E1515=$G1515, $F1515=$H1515), 3, IF(SIGN($E1515-$F1515)=SIGN($G1515-$H1515), 1, 0))))</f>
        <v/>
      </c>
    </row>
    <row r="1516">
      <c r="A1516" s="5" t="inlineStr"/>
      <c r="B1516" s="5" t="inlineStr"/>
      <c r="C1516" s="5">
        <f>IF($B1516="","",VLOOKUP($B1516,Jogos!$A$2:$K$105,8,FALSE))</f>
        <v/>
      </c>
      <c r="D1516" s="5">
        <f>IF($B1516="","",VLOOKUP($B1516,Jogos!$A$2:$K$105,10,FALSE))</f>
        <v/>
      </c>
      <c r="E1516" s="5" t="inlineStr"/>
      <c r="F1516" s="5" t="inlineStr"/>
      <c r="G1516" s="8">
        <f>IF($B1516="","",VLOOKUP($B1516,Jogos!$A$2:$K$105,9,FALSE))</f>
        <v/>
      </c>
      <c r="H1516" s="8">
        <f>IF($B1516="","",VLOOKUP($B1516,Jogos!$A$2:$K$105,11,FALSE))</f>
        <v/>
      </c>
      <c r="I1516" s="5">
        <f>IF(OR($A1516="", $B1516="", $E1516="", $F1516="", $G1516="", $H1516=""), "",IF(AND($E1516=$G1516, $F1516=$H1516), 3, IF(SIGN($E1516-$F1516)=SIGN($G1516-$H1516), 1, 0))))</f>
        <v/>
      </c>
    </row>
    <row r="1517">
      <c r="A1517" s="5" t="inlineStr"/>
      <c r="B1517" s="5" t="inlineStr"/>
      <c r="C1517" s="5">
        <f>IF($B1517="","",VLOOKUP($B1517,Jogos!$A$2:$K$105,8,FALSE))</f>
        <v/>
      </c>
      <c r="D1517" s="5">
        <f>IF($B1517="","",VLOOKUP($B1517,Jogos!$A$2:$K$105,10,FALSE))</f>
        <v/>
      </c>
      <c r="E1517" s="5" t="inlineStr"/>
      <c r="F1517" s="5" t="inlineStr"/>
      <c r="G1517" s="8">
        <f>IF($B1517="","",VLOOKUP($B1517,Jogos!$A$2:$K$105,9,FALSE))</f>
        <v/>
      </c>
      <c r="H1517" s="8">
        <f>IF($B1517="","",VLOOKUP($B1517,Jogos!$A$2:$K$105,11,FALSE))</f>
        <v/>
      </c>
      <c r="I1517" s="5">
        <f>IF(OR($A1517="", $B1517="", $E1517="", $F1517="", $G1517="", $H1517=""), "",IF(AND($E1517=$G1517, $F1517=$H1517), 3, IF(SIGN($E1517-$F1517)=SIGN($G1517-$H1517), 1, 0))))</f>
        <v/>
      </c>
    </row>
    <row r="1518">
      <c r="A1518" s="5" t="inlineStr"/>
      <c r="B1518" s="5" t="inlineStr"/>
      <c r="C1518" s="5">
        <f>IF($B1518="","",VLOOKUP($B1518,Jogos!$A$2:$K$105,8,FALSE))</f>
        <v/>
      </c>
      <c r="D1518" s="5">
        <f>IF($B1518="","",VLOOKUP($B1518,Jogos!$A$2:$K$105,10,FALSE))</f>
        <v/>
      </c>
      <c r="E1518" s="5" t="inlineStr"/>
      <c r="F1518" s="5" t="inlineStr"/>
      <c r="G1518" s="8">
        <f>IF($B1518="","",VLOOKUP($B1518,Jogos!$A$2:$K$105,9,FALSE))</f>
        <v/>
      </c>
      <c r="H1518" s="8">
        <f>IF($B1518="","",VLOOKUP($B1518,Jogos!$A$2:$K$105,11,FALSE))</f>
        <v/>
      </c>
      <c r="I1518" s="5">
        <f>IF(OR($A1518="", $B1518="", $E1518="", $F1518="", $G1518="", $H1518=""), "",IF(AND($E1518=$G1518, $F1518=$H1518), 3, IF(SIGN($E1518-$F1518)=SIGN($G1518-$H1518), 1, 0))))</f>
        <v/>
      </c>
    </row>
    <row r="1519">
      <c r="A1519" s="5" t="inlineStr"/>
      <c r="B1519" s="5" t="inlineStr"/>
      <c r="C1519" s="5">
        <f>IF($B1519="","",VLOOKUP($B1519,Jogos!$A$2:$K$105,8,FALSE))</f>
        <v/>
      </c>
      <c r="D1519" s="5">
        <f>IF($B1519="","",VLOOKUP($B1519,Jogos!$A$2:$K$105,10,FALSE))</f>
        <v/>
      </c>
      <c r="E1519" s="5" t="inlineStr"/>
      <c r="F1519" s="5" t="inlineStr"/>
      <c r="G1519" s="8">
        <f>IF($B1519="","",VLOOKUP($B1519,Jogos!$A$2:$K$105,9,FALSE))</f>
        <v/>
      </c>
      <c r="H1519" s="8">
        <f>IF($B1519="","",VLOOKUP($B1519,Jogos!$A$2:$K$105,11,FALSE))</f>
        <v/>
      </c>
      <c r="I1519" s="5">
        <f>IF(OR($A1519="", $B1519="", $E1519="", $F1519="", $G1519="", $H1519=""), "",IF(AND($E1519=$G1519, $F1519=$H1519), 3, IF(SIGN($E1519-$F1519)=SIGN($G1519-$H1519), 1, 0))))</f>
        <v/>
      </c>
    </row>
    <row r="1520">
      <c r="A1520" s="5" t="inlineStr"/>
      <c r="B1520" s="5" t="inlineStr"/>
      <c r="C1520" s="5">
        <f>IF($B1520="","",VLOOKUP($B1520,Jogos!$A$2:$K$105,8,FALSE))</f>
        <v/>
      </c>
      <c r="D1520" s="5">
        <f>IF($B1520="","",VLOOKUP($B1520,Jogos!$A$2:$K$105,10,FALSE))</f>
        <v/>
      </c>
      <c r="E1520" s="5" t="inlineStr"/>
      <c r="F1520" s="5" t="inlineStr"/>
      <c r="G1520" s="8">
        <f>IF($B1520="","",VLOOKUP($B1520,Jogos!$A$2:$K$105,9,FALSE))</f>
        <v/>
      </c>
      <c r="H1520" s="8">
        <f>IF($B1520="","",VLOOKUP($B1520,Jogos!$A$2:$K$105,11,FALSE))</f>
        <v/>
      </c>
      <c r="I1520" s="5">
        <f>IF(OR($A1520="", $B1520="", $E1520="", $F1520="", $G1520="", $H1520=""), "",IF(AND($E1520=$G1520, $F1520=$H1520), 3, IF(SIGN($E1520-$F1520)=SIGN($G1520-$H1520), 1, 0))))</f>
        <v/>
      </c>
    </row>
    <row r="1521">
      <c r="A1521" s="5" t="inlineStr"/>
      <c r="B1521" s="5" t="inlineStr"/>
      <c r="C1521" s="5">
        <f>IF($B1521="","",VLOOKUP($B1521,Jogos!$A$2:$K$105,8,FALSE))</f>
        <v/>
      </c>
      <c r="D1521" s="5">
        <f>IF($B1521="","",VLOOKUP($B1521,Jogos!$A$2:$K$105,10,FALSE))</f>
        <v/>
      </c>
      <c r="E1521" s="5" t="inlineStr"/>
      <c r="F1521" s="5" t="inlineStr"/>
      <c r="G1521" s="8">
        <f>IF($B1521="","",VLOOKUP($B1521,Jogos!$A$2:$K$105,9,FALSE))</f>
        <v/>
      </c>
      <c r="H1521" s="8">
        <f>IF($B1521="","",VLOOKUP($B1521,Jogos!$A$2:$K$105,11,FALSE))</f>
        <v/>
      </c>
      <c r="I1521" s="5">
        <f>IF(OR($A1521="", $B1521="", $E1521="", $F1521="", $G1521="", $H1521=""), "",IF(AND($E1521=$G1521, $F1521=$H1521), 3, IF(SIGN($E1521-$F1521)=SIGN($G1521-$H1521), 1, 0))))</f>
        <v/>
      </c>
    </row>
    <row r="1522">
      <c r="A1522" s="5" t="inlineStr"/>
      <c r="B1522" s="5" t="inlineStr"/>
      <c r="C1522" s="5">
        <f>IF($B1522="","",VLOOKUP($B1522,Jogos!$A$2:$K$105,8,FALSE))</f>
        <v/>
      </c>
      <c r="D1522" s="5">
        <f>IF($B1522="","",VLOOKUP($B1522,Jogos!$A$2:$K$105,10,FALSE))</f>
        <v/>
      </c>
      <c r="E1522" s="5" t="inlineStr"/>
      <c r="F1522" s="5" t="inlineStr"/>
      <c r="G1522" s="8">
        <f>IF($B1522="","",VLOOKUP($B1522,Jogos!$A$2:$K$105,9,FALSE))</f>
        <v/>
      </c>
      <c r="H1522" s="8">
        <f>IF($B1522="","",VLOOKUP($B1522,Jogos!$A$2:$K$105,11,FALSE))</f>
        <v/>
      </c>
      <c r="I1522" s="5">
        <f>IF(OR($A1522="", $B1522="", $E1522="", $F1522="", $G1522="", $H1522=""), "",IF(AND($E1522=$G1522, $F1522=$H1522), 3, IF(SIGN($E1522-$F1522)=SIGN($G1522-$H1522), 1, 0))))</f>
        <v/>
      </c>
    </row>
    <row r="1523">
      <c r="A1523" s="5" t="inlineStr"/>
      <c r="B1523" s="5" t="inlineStr"/>
      <c r="C1523" s="5">
        <f>IF($B1523="","",VLOOKUP($B1523,Jogos!$A$2:$K$105,8,FALSE))</f>
        <v/>
      </c>
      <c r="D1523" s="5">
        <f>IF($B1523="","",VLOOKUP($B1523,Jogos!$A$2:$K$105,10,FALSE))</f>
        <v/>
      </c>
      <c r="E1523" s="5" t="inlineStr"/>
      <c r="F1523" s="5" t="inlineStr"/>
      <c r="G1523" s="8">
        <f>IF($B1523="","",VLOOKUP($B1523,Jogos!$A$2:$K$105,9,FALSE))</f>
        <v/>
      </c>
      <c r="H1523" s="8">
        <f>IF($B1523="","",VLOOKUP($B1523,Jogos!$A$2:$K$105,11,FALSE))</f>
        <v/>
      </c>
      <c r="I1523" s="5">
        <f>IF(OR($A1523="", $B1523="", $E1523="", $F1523="", $G1523="", $H1523=""), "",IF(AND($E1523=$G1523, $F1523=$H1523), 3, IF(SIGN($E1523-$F1523)=SIGN($G1523-$H1523), 1, 0))))</f>
        <v/>
      </c>
    </row>
    <row r="1524">
      <c r="A1524" s="5" t="inlineStr"/>
      <c r="B1524" s="5" t="inlineStr"/>
      <c r="C1524" s="5">
        <f>IF($B1524="","",VLOOKUP($B1524,Jogos!$A$2:$K$105,8,FALSE))</f>
        <v/>
      </c>
      <c r="D1524" s="5">
        <f>IF($B1524="","",VLOOKUP($B1524,Jogos!$A$2:$K$105,10,FALSE))</f>
        <v/>
      </c>
      <c r="E1524" s="5" t="inlineStr"/>
      <c r="F1524" s="5" t="inlineStr"/>
      <c r="G1524" s="8">
        <f>IF($B1524="","",VLOOKUP($B1524,Jogos!$A$2:$K$105,9,FALSE))</f>
        <v/>
      </c>
      <c r="H1524" s="8">
        <f>IF($B1524="","",VLOOKUP($B1524,Jogos!$A$2:$K$105,11,FALSE))</f>
        <v/>
      </c>
      <c r="I1524" s="5">
        <f>IF(OR($A1524="", $B1524="", $E1524="", $F1524="", $G1524="", $H1524=""), "",IF(AND($E1524=$G1524, $F1524=$H1524), 3, IF(SIGN($E1524-$F1524)=SIGN($G1524-$H1524), 1, 0))))</f>
        <v/>
      </c>
    </row>
    <row r="1525">
      <c r="A1525" s="5" t="inlineStr"/>
      <c r="B1525" s="5" t="inlineStr"/>
      <c r="C1525" s="5">
        <f>IF($B1525="","",VLOOKUP($B1525,Jogos!$A$2:$K$105,8,FALSE))</f>
        <v/>
      </c>
      <c r="D1525" s="5">
        <f>IF($B1525="","",VLOOKUP($B1525,Jogos!$A$2:$K$105,10,FALSE))</f>
        <v/>
      </c>
      <c r="E1525" s="5" t="inlineStr"/>
      <c r="F1525" s="5" t="inlineStr"/>
      <c r="G1525" s="8">
        <f>IF($B1525="","",VLOOKUP($B1525,Jogos!$A$2:$K$105,9,FALSE))</f>
        <v/>
      </c>
      <c r="H1525" s="8">
        <f>IF($B1525="","",VLOOKUP($B1525,Jogos!$A$2:$K$105,11,FALSE))</f>
        <v/>
      </c>
      <c r="I1525" s="5">
        <f>IF(OR($A1525="", $B1525="", $E1525="", $F1525="", $G1525="", $H1525=""), "",IF(AND($E1525=$G1525, $F1525=$H1525), 3, IF(SIGN($E1525-$F1525)=SIGN($G1525-$H1525), 1, 0))))</f>
        <v/>
      </c>
    </row>
    <row r="1526">
      <c r="A1526" s="5" t="inlineStr"/>
      <c r="B1526" s="5" t="inlineStr"/>
      <c r="C1526" s="5">
        <f>IF($B1526="","",VLOOKUP($B1526,Jogos!$A$2:$K$105,8,FALSE))</f>
        <v/>
      </c>
      <c r="D1526" s="5">
        <f>IF($B1526="","",VLOOKUP($B1526,Jogos!$A$2:$K$105,10,FALSE))</f>
        <v/>
      </c>
      <c r="E1526" s="5" t="inlineStr"/>
      <c r="F1526" s="5" t="inlineStr"/>
      <c r="G1526" s="8">
        <f>IF($B1526="","",VLOOKUP($B1526,Jogos!$A$2:$K$105,9,FALSE))</f>
        <v/>
      </c>
      <c r="H1526" s="8">
        <f>IF($B1526="","",VLOOKUP($B1526,Jogos!$A$2:$K$105,11,FALSE))</f>
        <v/>
      </c>
      <c r="I1526" s="5">
        <f>IF(OR($A1526="", $B1526="", $E1526="", $F1526="", $G1526="", $H1526=""), "",IF(AND($E1526=$G1526, $F1526=$H1526), 3, IF(SIGN($E1526-$F1526)=SIGN($G1526-$H1526), 1, 0))))</f>
        <v/>
      </c>
    </row>
    <row r="1527">
      <c r="A1527" s="5" t="inlineStr"/>
      <c r="B1527" s="5" t="inlineStr"/>
      <c r="C1527" s="5">
        <f>IF($B1527="","",VLOOKUP($B1527,Jogos!$A$2:$K$105,8,FALSE))</f>
        <v/>
      </c>
      <c r="D1527" s="5">
        <f>IF($B1527="","",VLOOKUP($B1527,Jogos!$A$2:$K$105,10,FALSE))</f>
        <v/>
      </c>
      <c r="E1527" s="5" t="inlineStr"/>
      <c r="F1527" s="5" t="inlineStr"/>
      <c r="G1527" s="8">
        <f>IF($B1527="","",VLOOKUP($B1527,Jogos!$A$2:$K$105,9,FALSE))</f>
        <v/>
      </c>
      <c r="H1527" s="8">
        <f>IF($B1527="","",VLOOKUP($B1527,Jogos!$A$2:$K$105,11,FALSE))</f>
        <v/>
      </c>
      <c r="I1527" s="5">
        <f>IF(OR($A1527="", $B1527="", $E1527="", $F1527="", $G1527="", $H1527=""), "",IF(AND($E1527=$G1527, $F1527=$H1527), 3, IF(SIGN($E1527-$F1527)=SIGN($G1527-$H1527), 1, 0))))</f>
        <v/>
      </c>
    </row>
    <row r="1528">
      <c r="A1528" s="5" t="inlineStr"/>
      <c r="B1528" s="5" t="inlineStr"/>
      <c r="C1528" s="5">
        <f>IF($B1528="","",VLOOKUP($B1528,Jogos!$A$2:$K$105,8,FALSE))</f>
        <v/>
      </c>
      <c r="D1528" s="5">
        <f>IF($B1528="","",VLOOKUP($B1528,Jogos!$A$2:$K$105,10,FALSE))</f>
        <v/>
      </c>
      <c r="E1528" s="5" t="inlineStr"/>
      <c r="F1528" s="5" t="inlineStr"/>
      <c r="G1528" s="8">
        <f>IF($B1528="","",VLOOKUP($B1528,Jogos!$A$2:$K$105,9,FALSE))</f>
        <v/>
      </c>
      <c r="H1528" s="8">
        <f>IF($B1528="","",VLOOKUP($B1528,Jogos!$A$2:$K$105,11,FALSE))</f>
        <v/>
      </c>
      <c r="I1528" s="5">
        <f>IF(OR($A1528="", $B1528="", $E1528="", $F1528="", $G1528="", $H1528=""), "",IF(AND($E1528=$G1528, $F1528=$H1528), 3, IF(SIGN($E1528-$F1528)=SIGN($G1528-$H1528), 1, 0))))</f>
        <v/>
      </c>
    </row>
    <row r="1529">
      <c r="A1529" s="5" t="inlineStr"/>
      <c r="B1529" s="5" t="inlineStr"/>
      <c r="C1529" s="5">
        <f>IF($B1529="","",VLOOKUP($B1529,Jogos!$A$2:$K$105,8,FALSE))</f>
        <v/>
      </c>
      <c r="D1529" s="5">
        <f>IF($B1529="","",VLOOKUP($B1529,Jogos!$A$2:$K$105,10,FALSE))</f>
        <v/>
      </c>
      <c r="E1529" s="5" t="inlineStr"/>
      <c r="F1529" s="5" t="inlineStr"/>
      <c r="G1529" s="8">
        <f>IF($B1529="","",VLOOKUP($B1529,Jogos!$A$2:$K$105,9,FALSE))</f>
        <v/>
      </c>
      <c r="H1529" s="8">
        <f>IF($B1529="","",VLOOKUP($B1529,Jogos!$A$2:$K$105,11,FALSE))</f>
        <v/>
      </c>
      <c r="I1529" s="5">
        <f>IF(OR($A1529="", $B1529="", $E1529="", $F1529="", $G1529="", $H1529=""), "",IF(AND($E1529=$G1529, $F1529=$H1529), 3, IF(SIGN($E1529-$F1529)=SIGN($G1529-$H1529), 1, 0))))</f>
        <v/>
      </c>
    </row>
    <row r="1530">
      <c r="A1530" s="5" t="inlineStr"/>
      <c r="B1530" s="5" t="inlineStr"/>
      <c r="C1530" s="5">
        <f>IF($B1530="","",VLOOKUP($B1530,Jogos!$A$2:$K$105,8,FALSE))</f>
        <v/>
      </c>
      <c r="D1530" s="5">
        <f>IF($B1530="","",VLOOKUP($B1530,Jogos!$A$2:$K$105,10,FALSE))</f>
        <v/>
      </c>
      <c r="E1530" s="5" t="inlineStr"/>
      <c r="F1530" s="5" t="inlineStr"/>
      <c r="G1530" s="8">
        <f>IF($B1530="","",VLOOKUP($B1530,Jogos!$A$2:$K$105,9,FALSE))</f>
        <v/>
      </c>
      <c r="H1530" s="8">
        <f>IF($B1530="","",VLOOKUP($B1530,Jogos!$A$2:$K$105,11,FALSE))</f>
        <v/>
      </c>
      <c r="I1530" s="5">
        <f>IF(OR($A1530="", $B1530="", $E1530="", $F1530="", $G1530="", $H1530=""), "",IF(AND($E1530=$G1530, $F1530=$H1530), 3, IF(SIGN($E1530-$F1530)=SIGN($G1530-$H1530), 1, 0))))</f>
        <v/>
      </c>
    </row>
    <row r="1531">
      <c r="A1531" s="5" t="inlineStr"/>
      <c r="B1531" s="5" t="inlineStr"/>
      <c r="C1531" s="5">
        <f>IF($B1531="","",VLOOKUP($B1531,Jogos!$A$2:$K$105,8,FALSE))</f>
        <v/>
      </c>
      <c r="D1531" s="5">
        <f>IF($B1531="","",VLOOKUP($B1531,Jogos!$A$2:$K$105,10,FALSE))</f>
        <v/>
      </c>
      <c r="E1531" s="5" t="inlineStr"/>
      <c r="F1531" s="5" t="inlineStr"/>
      <c r="G1531" s="8">
        <f>IF($B1531="","",VLOOKUP($B1531,Jogos!$A$2:$K$105,9,FALSE))</f>
        <v/>
      </c>
      <c r="H1531" s="8">
        <f>IF($B1531="","",VLOOKUP($B1531,Jogos!$A$2:$K$105,11,FALSE))</f>
        <v/>
      </c>
      <c r="I1531" s="5">
        <f>IF(OR($A1531="", $B1531="", $E1531="", $F1531="", $G1531="", $H1531=""), "",IF(AND($E1531=$G1531, $F1531=$H1531), 3, IF(SIGN($E1531-$F1531)=SIGN($G1531-$H1531), 1, 0))))</f>
        <v/>
      </c>
    </row>
    <row r="1532">
      <c r="A1532" s="5" t="inlineStr"/>
      <c r="B1532" s="5" t="inlineStr"/>
      <c r="C1532" s="5">
        <f>IF($B1532="","",VLOOKUP($B1532,Jogos!$A$2:$K$105,8,FALSE))</f>
        <v/>
      </c>
      <c r="D1532" s="5">
        <f>IF($B1532="","",VLOOKUP($B1532,Jogos!$A$2:$K$105,10,FALSE))</f>
        <v/>
      </c>
      <c r="E1532" s="5" t="inlineStr"/>
      <c r="F1532" s="5" t="inlineStr"/>
      <c r="G1532" s="8">
        <f>IF($B1532="","",VLOOKUP($B1532,Jogos!$A$2:$K$105,9,FALSE))</f>
        <v/>
      </c>
      <c r="H1532" s="8">
        <f>IF($B1532="","",VLOOKUP($B1532,Jogos!$A$2:$K$105,11,FALSE))</f>
        <v/>
      </c>
      <c r="I1532" s="5">
        <f>IF(OR($A1532="", $B1532="", $E1532="", $F1532="", $G1532="", $H1532=""), "",IF(AND($E1532=$G1532, $F1532=$H1532), 3, IF(SIGN($E1532-$F1532)=SIGN($G1532-$H1532), 1, 0))))</f>
        <v/>
      </c>
    </row>
    <row r="1533">
      <c r="A1533" s="5" t="inlineStr"/>
      <c r="B1533" s="5" t="inlineStr"/>
      <c r="C1533" s="5">
        <f>IF($B1533="","",VLOOKUP($B1533,Jogos!$A$2:$K$105,8,FALSE))</f>
        <v/>
      </c>
      <c r="D1533" s="5">
        <f>IF($B1533="","",VLOOKUP($B1533,Jogos!$A$2:$K$105,10,FALSE))</f>
        <v/>
      </c>
      <c r="E1533" s="5" t="inlineStr"/>
      <c r="F1533" s="5" t="inlineStr"/>
      <c r="G1533" s="8">
        <f>IF($B1533="","",VLOOKUP($B1533,Jogos!$A$2:$K$105,9,FALSE))</f>
        <v/>
      </c>
      <c r="H1533" s="8">
        <f>IF($B1533="","",VLOOKUP($B1533,Jogos!$A$2:$K$105,11,FALSE))</f>
        <v/>
      </c>
      <c r="I1533" s="5">
        <f>IF(OR($A1533="", $B1533="", $E1533="", $F1533="", $G1533="", $H1533=""), "",IF(AND($E1533=$G1533, $F1533=$H1533), 3, IF(SIGN($E1533-$F1533)=SIGN($G1533-$H1533), 1, 0))))</f>
        <v/>
      </c>
    </row>
    <row r="1534">
      <c r="A1534" s="5" t="inlineStr"/>
      <c r="B1534" s="5" t="inlineStr"/>
      <c r="C1534" s="5">
        <f>IF($B1534="","",VLOOKUP($B1534,Jogos!$A$2:$K$105,8,FALSE))</f>
        <v/>
      </c>
      <c r="D1534" s="5">
        <f>IF($B1534="","",VLOOKUP($B1534,Jogos!$A$2:$K$105,10,FALSE))</f>
        <v/>
      </c>
      <c r="E1534" s="5" t="inlineStr"/>
      <c r="F1534" s="5" t="inlineStr"/>
      <c r="G1534" s="8">
        <f>IF($B1534="","",VLOOKUP($B1534,Jogos!$A$2:$K$105,9,FALSE))</f>
        <v/>
      </c>
      <c r="H1534" s="8">
        <f>IF($B1534="","",VLOOKUP($B1534,Jogos!$A$2:$K$105,11,FALSE))</f>
        <v/>
      </c>
      <c r="I1534" s="5">
        <f>IF(OR($A1534="", $B1534="", $E1534="", $F1534="", $G1534="", $H1534=""), "",IF(AND($E1534=$G1534, $F1534=$H1534), 3, IF(SIGN($E1534-$F1534)=SIGN($G1534-$H1534), 1, 0))))</f>
        <v/>
      </c>
    </row>
    <row r="1535">
      <c r="A1535" s="5" t="inlineStr"/>
      <c r="B1535" s="5" t="inlineStr"/>
      <c r="C1535" s="5">
        <f>IF($B1535="","",VLOOKUP($B1535,Jogos!$A$2:$K$105,8,FALSE))</f>
        <v/>
      </c>
      <c r="D1535" s="5">
        <f>IF($B1535="","",VLOOKUP($B1535,Jogos!$A$2:$K$105,10,FALSE))</f>
        <v/>
      </c>
      <c r="E1535" s="5" t="inlineStr"/>
      <c r="F1535" s="5" t="inlineStr"/>
      <c r="G1535" s="8">
        <f>IF($B1535="","",VLOOKUP($B1535,Jogos!$A$2:$K$105,9,FALSE))</f>
        <v/>
      </c>
      <c r="H1535" s="8">
        <f>IF($B1535="","",VLOOKUP($B1535,Jogos!$A$2:$K$105,11,FALSE))</f>
        <v/>
      </c>
      <c r="I1535" s="5">
        <f>IF(OR($A1535="", $B1535="", $E1535="", $F1535="", $G1535="", $H1535=""), "",IF(AND($E1535=$G1535, $F1535=$H1535), 3, IF(SIGN($E1535-$F1535)=SIGN($G1535-$H1535), 1, 0))))</f>
        <v/>
      </c>
    </row>
    <row r="1536">
      <c r="A1536" s="5" t="inlineStr"/>
      <c r="B1536" s="5" t="inlineStr"/>
      <c r="C1536" s="5">
        <f>IF($B1536="","",VLOOKUP($B1536,Jogos!$A$2:$K$105,8,FALSE))</f>
        <v/>
      </c>
      <c r="D1536" s="5">
        <f>IF($B1536="","",VLOOKUP($B1536,Jogos!$A$2:$K$105,10,FALSE))</f>
        <v/>
      </c>
      <c r="E1536" s="5" t="inlineStr"/>
      <c r="F1536" s="5" t="inlineStr"/>
      <c r="G1536" s="8">
        <f>IF($B1536="","",VLOOKUP($B1536,Jogos!$A$2:$K$105,9,FALSE))</f>
        <v/>
      </c>
      <c r="H1536" s="8">
        <f>IF($B1536="","",VLOOKUP($B1536,Jogos!$A$2:$K$105,11,FALSE))</f>
        <v/>
      </c>
      <c r="I1536" s="5">
        <f>IF(OR($A1536="", $B1536="", $E1536="", $F1536="", $G1536="", $H1536=""), "",IF(AND($E1536=$G1536, $F1536=$H1536), 3, IF(SIGN($E1536-$F1536)=SIGN($G1536-$H1536), 1, 0))))</f>
        <v/>
      </c>
    </row>
    <row r="1537">
      <c r="A1537" s="5" t="inlineStr"/>
      <c r="B1537" s="5" t="inlineStr"/>
      <c r="C1537" s="5">
        <f>IF($B1537="","",VLOOKUP($B1537,Jogos!$A$2:$K$105,8,FALSE))</f>
        <v/>
      </c>
      <c r="D1537" s="5">
        <f>IF($B1537="","",VLOOKUP($B1537,Jogos!$A$2:$K$105,10,FALSE))</f>
        <v/>
      </c>
      <c r="E1537" s="5" t="inlineStr"/>
      <c r="F1537" s="5" t="inlineStr"/>
      <c r="G1537" s="8">
        <f>IF($B1537="","",VLOOKUP($B1537,Jogos!$A$2:$K$105,9,FALSE))</f>
        <v/>
      </c>
      <c r="H1537" s="8">
        <f>IF($B1537="","",VLOOKUP($B1537,Jogos!$A$2:$K$105,11,FALSE))</f>
        <v/>
      </c>
      <c r="I1537" s="5">
        <f>IF(OR($A1537="", $B1537="", $E1537="", $F1537="", $G1537="", $H1537=""), "",IF(AND($E1537=$G1537, $F1537=$H1537), 3, IF(SIGN($E1537-$F1537)=SIGN($G1537-$H1537), 1, 0))))</f>
        <v/>
      </c>
    </row>
    <row r="1538">
      <c r="A1538" s="5" t="inlineStr"/>
      <c r="B1538" s="5" t="inlineStr"/>
      <c r="C1538" s="5">
        <f>IF($B1538="","",VLOOKUP($B1538,Jogos!$A$2:$K$105,8,FALSE))</f>
        <v/>
      </c>
      <c r="D1538" s="5">
        <f>IF($B1538="","",VLOOKUP($B1538,Jogos!$A$2:$K$105,10,FALSE))</f>
        <v/>
      </c>
      <c r="E1538" s="5" t="inlineStr"/>
      <c r="F1538" s="5" t="inlineStr"/>
      <c r="G1538" s="8">
        <f>IF($B1538="","",VLOOKUP($B1538,Jogos!$A$2:$K$105,9,FALSE))</f>
        <v/>
      </c>
      <c r="H1538" s="8">
        <f>IF($B1538="","",VLOOKUP($B1538,Jogos!$A$2:$K$105,11,FALSE))</f>
        <v/>
      </c>
      <c r="I1538" s="5">
        <f>IF(OR($A1538="", $B1538="", $E1538="", $F1538="", $G1538="", $H1538=""), "",IF(AND($E1538=$G1538, $F1538=$H1538), 3, IF(SIGN($E1538-$F1538)=SIGN($G1538-$H1538), 1, 0))))</f>
        <v/>
      </c>
    </row>
    <row r="1539">
      <c r="A1539" s="5" t="inlineStr"/>
      <c r="B1539" s="5" t="inlineStr"/>
      <c r="C1539" s="5">
        <f>IF($B1539="","",VLOOKUP($B1539,Jogos!$A$2:$K$105,8,FALSE))</f>
        <v/>
      </c>
      <c r="D1539" s="5">
        <f>IF($B1539="","",VLOOKUP($B1539,Jogos!$A$2:$K$105,10,FALSE))</f>
        <v/>
      </c>
      <c r="E1539" s="5" t="inlineStr"/>
      <c r="F1539" s="5" t="inlineStr"/>
      <c r="G1539" s="8">
        <f>IF($B1539="","",VLOOKUP($B1539,Jogos!$A$2:$K$105,9,FALSE))</f>
        <v/>
      </c>
      <c r="H1539" s="8">
        <f>IF($B1539="","",VLOOKUP($B1539,Jogos!$A$2:$K$105,11,FALSE))</f>
        <v/>
      </c>
      <c r="I1539" s="5">
        <f>IF(OR($A1539="", $B1539="", $E1539="", $F1539="", $G1539="", $H1539=""), "",IF(AND($E1539=$G1539, $F1539=$H1539), 3, IF(SIGN($E1539-$F1539)=SIGN($G1539-$H1539), 1, 0))))</f>
        <v/>
      </c>
    </row>
    <row r="1540">
      <c r="A1540" s="5" t="inlineStr"/>
      <c r="B1540" s="5" t="inlineStr"/>
      <c r="C1540" s="5">
        <f>IF($B1540="","",VLOOKUP($B1540,Jogos!$A$2:$K$105,8,FALSE))</f>
        <v/>
      </c>
      <c r="D1540" s="5">
        <f>IF($B1540="","",VLOOKUP($B1540,Jogos!$A$2:$K$105,10,FALSE))</f>
        <v/>
      </c>
      <c r="E1540" s="5" t="inlineStr"/>
      <c r="F1540" s="5" t="inlineStr"/>
      <c r="G1540" s="8">
        <f>IF($B1540="","",VLOOKUP($B1540,Jogos!$A$2:$K$105,9,FALSE))</f>
        <v/>
      </c>
      <c r="H1540" s="8">
        <f>IF($B1540="","",VLOOKUP($B1540,Jogos!$A$2:$K$105,11,FALSE))</f>
        <v/>
      </c>
      <c r="I1540" s="5">
        <f>IF(OR($A1540="", $B1540="", $E1540="", $F1540="", $G1540="", $H1540=""), "",IF(AND($E1540=$G1540, $F1540=$H1540), 3, IF(SIGN($E1540-$F1540)=SIGN($G1540-$H1540), 1, 0))))</f>
        <v/>
      </c>
    </row>
    <row r="1541">
      <c r="A1541" s="5" t="inlineStr"/>
      <c r="B1541" s="5" t="inlineStr"/>
      <c r="C1541" s="5">
        <f>IF($B1541="","",VLOOKUP($B1541,Jogos!$A$2:$K$105,8,FALSE))</f>
        <v/>
      </c>
      <c r="D1541" s="5">
        <f>IF($B1541="","",VLOOKUP($B1541,Jogos!$A$2:$K$105,10,FALSE))</f>
        <v/>
      </c>
      <c r="E1541" s="5" t="inlineStr"/>
      <c r="F1541" s="5" t="inlineStr"/>
      <c r="G1541" s="8">
        <f>IF($B1541="","",VLOOKUP($B1541,Jogos!$A$2:$K$105,9,FALSE))</f>
        <v/>
      </c>
      <c r="H1541" s="8">
        <f>IF($B1541="","",VLOOKUP($B1541,Jogos!$A$2:$K$105,11,FALSE))</f>
        <v/>
      </c>
      <c r="I1541" s="5">
        <f>IF(OR($A1541="", $B1541="", $E1541="", $F1541="", $G1541="", $H1541=""), "",IF(AND($E1541=$G1541, $F1541=$H1541), 3, IF(SIGN($E1541-$F1541)=SIGN($G1541-$H1541), 1, 0))))</f>
        <v/>
      </c>
    </row>
    <row r="1542">
      <c r="A1542" s="5" t="inlineStr"/>
      <c r="B1542" s="5" t="inlineStr"/>
      <c r="C1542" s="5">
        <f>IF($B1542="","",VLOOKUP($B1542,Jogos!$A$2:$K$105,8,FALSE))</f>
        <v/>
      </c>
      <c r="D1542" s="5">
        <f>IF($B1542="","",VLOOKUP($B1542,Jogos!$A$2:$K$105,10,FALSE))</f>
        <v/>
      </c>
      <c r="E1542" s="5" t="inlineStr"/>
      <c r="F1542" s="5" t="inlineStr"/>
      <c r="G1542" s="8">
        <f>IF($B1542="","",VLOOKUP($B1542,Jogos!$A$2:$K$105,9,FALSE))</f>
        <v/>
      </c>
      <c r="H1542" s="8">
        <f>IF($B1542="","",VLOOKUP($B1542,Jogos!$A$2:$K$105,11,FALSE))</f>
        <v/>
      </c>
      <c r="I1542" s="5">
        <f>IF(OR($A1542="", $B1542="", $E1542="", $F1542="", $G1542="", $H1542=""), "",IF(AND($E1542=$G1542, $F1542=$H1542), 3, IF(SIGN($E1542-$F1542)=SIGN($G1542-$H1542), 1, 0))))</f>
        <v/>
      </c>
    </row>
    <row r="1543">
      <c r="A1543" s="5" t="inlineStr"/>
      <c r="B1543" s="5" t="inlineStr"/>
      <c r="C1543" s="5">
        <f>IF($B1543="","",VLOOKUP($B1543,Jogos!$A$2:$K$105,8,FALSE))</f>
        <v/>
      </c>
      <c r="D1543" s="5">
        <f>IF($B1543="","",VLOOKUP($B1543,Jogos!$A$2:$K$105,10,FALSE))</f>
        <v/>
      </c>
      <c r="E1543" s="5" t="inlineStr"/>
      <c r="F1543" s="5" t="inlineStr"/>
      <c r="G1543" s="8">
        <f>IF($B1543="","",VLOOKUP($B1543,Jogos!$A$2:$K$105,9,FALSE))</f>
        <v/>
      </c>
      <c r="H1543" s="8">
        <f>IF($B1543="","",VLOOKUP($B1543,Jogos!$A$2:$K$105,11,FALSE))</f>
        <v/>
      </c>
      <c r="I1543" s="5">
        <f>IF(OR($A1543="", $B1543="", $E1543="", $F1543="", $G1543="", $H1543=""), "",IF(AND($E1543=$G1543, $F1543=$H1543), 3, IF(SIGN($E1543-$F1543)=SIGN($G1543-$H1543), 1, 0))))</f>
        <v/>
      </c>
    </row>
    <row r="1544">
      <c r="A1544" s="5" t="inlineStr"/>
      <c r="B1544" s="5" t="inlineStr"/>
      <c r="C1544" s="5">
        <f>IF($B1544="","",VLOOKUP($B1544,Jogos!$A$2:$K$105,8,FALSE))</f>
        <v/>
      </c>
      <c r="D1544" s="5">
        <f>IF($B1544="","",VLOOKUP($B1544,Jogos!$A$2:$K$105,10,FALSE))</f>
        <v/>
      </c>
      <c r="E1544" s="5" t="inlineStr"/>
      <c r="F1544" s="5" t="inlineStr"/>
      <c r="G1544" s="8">
        <f>IF($B1544="","",VLOOKUP($B1544,Jogos!$A$2:$K$105,9,FALSE))</f>
        <v/>
      </c>
      <c r="H1544" s="8">
        <f>IF($B1544="","",VLOOKUP($B1544,Jogos!$A$2:$K$105,11,FALSE))</f>
        <v/>
      </c>
      <c r="I1544" s="5">
        <f>IF(OR($A1544="", $B1544="", $E1544="", $F1544="", $G1544="", $H1544=""), "",IF(AND($E1544=$G1544, $F1544=$H1544), 3, IF(SIGN($E1544-$F1544)=SIGN($G1544-$H1544), 1, 0))))</f>
        <v/>
      </c>
    </row>
    <row r="1545">
      <c r="A1545" s="5" t="inlineStr"/>
      <c r="B1545" s="5" t="inlineStr"/>
      <c r="C1545" s="5">
        <f>IF($B1545="","",VLOOKUP($B1545,Jogos!$A$2:$K$105,8,FALSE))</f>
        <v/>
      </c>
      <c r="D1545" s="5">
        <f>IF($B1545="","",VLOOKUP($B1545,Jogos!$A$2:$K$105,10,FALSE))</f>
        <v/>
      </c>
      <c r="E1545" s="5" t="inlineStr"/>
      <c r="F1545" s="5" t="inlineStr"/>
      <c r="G1545" s="8">
        <f>IF($B1545="","",VLOOKUP($B1545,Jogos!$A$2:$K$105,9,FALSE))</f>
        <v/>
      </c>
      <c r="H1545" s="8">
        <f>IF($B1545="","",VLOOKUP($B1545,Jogos!$A$2:$K$105,11,FALSE))</f>
        <v/>
      </c>
      <c r="I1545" s="5">
        <f>IF(OR($A1545="", $B1545="", $E1545="", $F1545="", $G1545="", $H1545=""), "",IF(AND($E1545=$G1545, $F1545=$H1545), 3, IF(SIGN($E1545-$F1545)=SIGN($G1545-$H1545), 1, 0))))</f>
        <v/>
      </c>
    </row>
    <row r="1546">
      <c r="A1546" s="5" t="inlineStr"/>
      <c r="B1546" s="5" t="inlineStr"/>
      <c r="C1546" s="5">
        <f>IF($B1546="","",VLOOKUP($B1546,Jogos!$A$2:$K$105,8,FALSE))</f>
        <v/>
      </c>
      <c r="D1546" s="5">
        <f>IF($B1546="","",VLOOKUP($B1546,Jogos!$A$2:$K$105,10,FALSE))</f>
        <v/>
      </c>
      <c r="E1546" s="5" t="inlineStr"/>
      <c r="F1546" s="5" t="inlineStr"/>
      <c r="G1546" s="8">
        <f>IF($B1546="","",VLOOKUP($B1546,Jogos!$A$2:$K$105,9,FALSE))</f>
        <v/>
      </c>
      <c r="H1546" s="8">
        <f>IF($B1546="","",VLOOKUP($B1546,Jogos!$A$2:$K$105,11,FALSE))</f>
        <v/>
      </c>
      <c r="I1546" s="5">
        <f>IF(OR($A1546="", $B1546="", $E1546="", $F1546="", $G1546="", $H1546=""), "",IF(AND($E1546=$G1546, $F1546=$H1546), 3, IF(SIGN($E1546-$F1546)=SIGN($G1546-$H1546), 1, 0))))</f>
        <v/>
      </c>
    </row>
    <row r="1547">
      <c r="A1547" s="5" t="inlineStr"/>
      <c r="B1547" s="5" t="inlineStr"/>
      <c r="C1547" s="5">
        <f>IF($B1547="","",VLOOKUP($B1547,Jogos!$A$2:$K$105,8,FALSE))</f>
        <v/>
      </c>
      <c r="D1547" s="5">
        <f>IF($B1547="","",VLOOKUP($B1547,Jogos!$A$2:$K$105,10,FALSE))</f>
        <v/>
      </c>
      <c r="E1547" s="5" t="inlineStr"/>
      <c r="F1547" s="5" t="inlineStr"/>
      <c r="G1547" s="8">
        <f>IF($B1547="","",VLOOKUP($B1547,Jogos!$A$2:$K$105,9,FALSE))</f>
        <v/>
      </c>
      <c r="H1547" s="8">
        <f>IF($B1547="","",VLOOKUP($B1547,Jogos!$A$2:$K$105,11,FALSE))</f>
        <v/>
      </c>
      <c r="I1547" s="5">
        <f>IF(OR($A1547="", $B1547="", $E1547="", $F1547="", $G1547="", $H1547=""), "",IF(AND($E1547=$G1547, $F1547=$H1547), 3, IF(SIGN($E1547-$F1547)=SIGN($G1547-$H1547), 1, 0))))</f>
        <v/>
      </c>
    </row>
    <row r="1548">
      <c r="A1548" s="5" t="inlineStr"/>
      <c r="B1548" s="5" t="inlineStr"/>
      <c r="C1548" s="5">
        <f>IF($B1548="","",VLOOKUP($B1548,Jogos!$A$2:$K$105,8,FALSE))</f>
        <v/>
      </c>
      <c r="D1548" s="5">
        <f>IF($B1548="","",VLOOKUP($B1548,Jogos!$A$2:$K$105,10,FALSE))</f>
        <v/>
      </c>
      <c r="E1548" s="5" t="inlineStr"/>
      <c r="F1548" s="5" t="inlineStr"/>
      <c r="G1548" s="8">
        <f>IF($B1548="","",VLOOKUP($B1548,Jogos!$A$2:$K$105,9,FALSE))</f>
        <v/>
      </c>
      <c r="H1548" s="8">
        <f>IF($B1548="","",VLOOKUP($B1548,Jogos!$A$2:$K$105,11,FALSE))</f>
        <v/>
      </c>
      <c r="I1548" s="5">
        <f>IF(OR($A1548="", $B1548="", $E1548="", $F1548="", $G1548="", $H1548=""), "",IF(AND($E1548=$G1548, $F1548=$H1548), 3, IF(SIGN($E1548-$F1548)=SIGN($G1548-$H1548), 1, 0))))</f>
        <v/>
      </c>
    </row>
    <row r="1549">
      <c r="A1549" s="5" t="inlineStr"/>
      <c r="B1549" s="5" t="inlineStr"/>
      <c r="C1549" s="5">
        <f>IF($B1549="","",VLOOKUP($B1549,Jogos!$A$2:$K$105,8,FALSE))</f>
        <v/>
      </c>
      <c r="D1549" s="5">
        <f>IF($B1549="","",VLOOKUP($B1549,Jogos!$A$2:$K$105,10,FALSE))</f>
        <v/>
      </c>
      <c r="E1549" s="5" t="inlineStr"/>
      <c r="F1549" s="5" t="inlineStr"/>
      <c r="G1549" s="8">
        <f>IF($B1549="","",VLOOKUP($B1549,Jogos!$A$2:$K$105,9,FALSE))</f>
        <v/>
      </c>
      <c r="H1549" s="8">
        <f>IF($B1549="","",VLOOKUP($B1549,Jogos!$A$2:$K$105,11,FALSE))</f>
        <v/>
      </c>
      <c r="I1549" s="5">
        <f>IF(OR($A1549="", $B1549="", $E1549="", $F1549="", $G1549="", $H1549=""), "",IF(AND($E1549=$G1549, $F1549=$H1549), 3, IF(SIGN($E1549-$F1549)=SIGN($G1549-$H1549), 1, 0))))</f>
        <v/>
      </c>
    </row>
    <row r="1550">
      <c r="A1550" s="5" t="inlineStr"/>
      <c r="B1550" s="5" t="inlineStr"/>
      <c r="C1550" s="5">
        <f>IF($B1550="","",VLOOKUP($B1550,Jogos!$A$2:$K$105,8,FALSE))</f>
        <v/>
      </c>
      <c r="D1550" s="5">
        <f>IF($B1550="","",VLOOKUP($B1550,Jogos!$A$2:$K$105,10,FALSE))</f>
        <v/>
      </c>
      <c r="E1550" s="5" t="inlineStr"/>
      <c r="F1550" s="5" t="inlineStr"/>
      <c r="G1550" s="8">
        <f>IF($B1550="","",VLOOKUP($B1550,Jogos!$A$2:$K$105,9,FALSE))</f>
        <v/>
      </c>
      <c r="H1550" s="8">
        <f>IF($B1550="","",VLOOKUP($B1550,Jogos!$A$2:$K$105,11,FALSE))</f>
        <v/>
      </c>
      <c r="I1550" s="5">
        <f>IF(OR($A1550="", $B1550="", $E1550="", $F1550="", $G1550="", $H1550=""), "",IF(AND($E1550=$G1550, $F1550=$H1550), 3, IF(SIGN($E1550-$F1550)=SIGN($G1550-$H1550), 1, 0))))</f>
        <v/>
      </c>
    </row>
    <row r="1551">
      <c r="A1551" s="5" t="inlineStr"/>
      <c r="B1551" s="5" t="inlineStr"/>
      <c r="C1551" s="5">
        <f>IF($B1551="","",VLOOKUP($B1551,Jogos!$A$2:$K$105,8,FALSE))</f>
        <v/>
      </c>
      <c r="D1551" s="5">
        <f>IF($B1551="","",VLOOKUP($B1551,Jogos!$A$2:$K$105,10,FALSE))</f>
        <v/>
      </c>
      <c r="E1551" s="5" t="inlineStr"/>
      <c r="F1551" s="5" t="inlineStr"/>
      <c r="G1551" s="8">
        <f>IF($B1551="","",VLOOKUP($B1551,Jogos!$A$2:$K$105,9,FALSE))</f>
        <v/>
      </c>
      <c r="H1551" s="8">
        <f>IF($B1551="","",VLOOKUP($B1551,Jogos!$A$2:$K$105,11,FALSE))</f>
        <v/>
      </c>
      <c r="I1551" s="5">
        <f>IF(OR($A1551="", $B1551="", $E1551="", $F1551="", $G1551="", $H1551=""), "",IF(AND($E1551=$G1551, $F1551=$H1551), 3, IF(SIGN($E1551-$F1551)=SIGN($G1551-$H1551), 1, 0))))</f>
        <v/>
      </c>
    </row>
    <row r="1552">
      <c r="A1552" s="5" t="inlineStr"/>
      <c r="B1552" s="5" t="inlineStr"/>
      <c r="C1552" s="5">
        <f>IF($B1552="","",VLOOKUP($B1552,Jogos!$A$2:$K$105,8,FALSE))</f>
        <v/>
      </c>
      <c r="D1552" s="5">
        <f>IF($B1552="","",VLOOKUP($B1552,Jogos!$A$2:$K$105,10,FALSE))</f>
        <v/>
      </c>
      <c r="E1552" s="5" t="inlineStr"/>
      <c r="F1552" s="5" t="inlineStr"/>
      <c r="G1552" s="8">
        <f>IF($B1552="","",VLOOKUP($B1552,Jogos!$A$2:$K$105,9,FALSE))</f>
        <v/>
      </c>
      <c r="H1552" s="8">
        <f>IF($B1552="","",VLOOKUP($B1552,Jogos!$A$2:$K$105,11,FALSE))</f>
        <v/>
      </c>
      <c r="I1552" s="5">
        <f>IF(OR($A1552="", $B1552="", $E1552="", $F1552="", $G1552="", $H1552=""), "",IF(AND($E1552=$G1552, $F1552=$H1552), 3, IF(SIGN($E1552-$F1552)=SIGN($G1552-$H1552), 1, 0))))</f>
        <v/>
      </c>
    </row>
    <row r="1553">
      <c r="A1553" s="5" t="inlineStr"/>
      <c r="B1553" s="5" t="inlineStr"/>
      <c r="C1553" s="5">
        <f>IF($B1553="","",VLOOKUP($B1553,Jogos!$A$2:$K$105,8,FALSE))</f>
        <v/>
      </c>
      <c r="D1553" s="5">
        <f>IF($B1553="","",VLOOKUP($B1553,Jogos!$A$2:$K$105,10,FALSE))</f>
        <v/>
      </c>
      <c r="E1553" s="5" t="inlineStr"/>
      <c r="F1553" s="5" t="inlineStr"/>
      <c r="G1553" s="8">
        <f>IF($B1553="","",VLOOKUP($B1553,Jogos!$A$2:$K$105,9,FALSE))</f>
        <v/>
      </c>
      <c r="H1553" s="8">
        <f>IF($B1553="","",VLOOKUP($B1553,Jogos!$A$2:$K$105,11,FALSE))</f>
        <v/>
      </c>
      <c r="I1553" s="5">
        <f>IF(OR($A1553="", $B1553="", $E1553="", $F1553="", $G1553="", $H1553=""), "",IF(AND($E1553=$G1553, $F1553=$H1553), 3, IF(SIGN($E1553-$F1553)=SIGN($G1553-$H1553), 1, 0))))</f>
        <v/>
      </c>
    </row>
    <row r="1554">
      <c r="A1554" s="5" t="inlineStr"/>
      <c r="B1554" s="5" t="inlineStr"/>
      <c r="C1554" s="5">
        <f>IF($B1554="","",VLOOKUP($B1554,Jogos!$A$2:$K$105,8,FALSE))</f>
        <v/>
      </c>
      <c r="D1554" s="5">
        <f>IF($B1554="","",VLOOKUP($B1554,Jogos!$A$2:$K$105,10,FALSE))</f>
        <v/>
      </c>
      <c r="E1554" s="5" t="inlineStr"/>
      <c r="F1554" s="5" t="inlineStr"/>
      <c r="G1554" s="8">
        <f>IF($B1554="","",VLOOKUP($B1554,Jogos!$A$2:$K$105,9,FALSE))</f>
        <v/>
      </c>
      <c r="H1554" s="8">
        <f>IF($B1554="","",VLOOKUP($B1554,Jogos!$A$2:$K$105,11,FALSE))</f>
        <v/>
      </c>
      <c r="I1554" s="5">
        <f>IF(OR($A1554="", $B1554="", $E1554="", $F1554="", $G1554="", $H1554=""), "",IF(AND($E1554=$G1554, $F1554=$H1554), 3, IF(SIGN($E1554-$F1554)=SIGN($G1554-$H1554), 1, 0))))</f>
        <v/>
      </c>
    </row>
    <row r="1555">
      <c r="A1555" s="5" t="inlineStr"/>
      <c r="B1555" s="5" t="inlineStr"/>
      <c r="C1555" s="5">
        <f>IF($B1555="","",VLOOKUP($B1555,Jogos!$A$2:$K$105,8,FALSE))</f>
        <v/>
      </c>
      <c r="D1555" s="5">
        <f>IF($B1555="","",VLOOKUP($B1555,Jogos!$A$2:$K$105,10,FALSE))</f>
        <v/>
      </c>
      <c r="E1555" s="5" t="inlineStr"/>
      <c r="F1555" s="5" t="inlineStr"/>
      <c r="G1555" s="8">
        <f>IF($B1555="","",VLOOKUP($B1555,Jogos!$A$2:$K$105,9,FALSE))</f>
        <v/>
      </c>
      <c r="H1555" s="8">
        <f>IF($B1555="","",VLOOKUP($B1555,Jogos!$A$2:$K$105,11,FALSE))</f>
        <v/>
      </c>
      <c r="I1555" s="5">
        <f>IF(OR($A1555="", $B1555="", $E1555="", $F1555="", $G1555="", $H1555=""), "",IF(AND($E1555=$G1555, $F1555=$H1555), 3, IF(SIGN($E1555-$F1555)=SIGN($G1555-$H1555), 1, 0))))</f>
        <v/>
      </c>
    </row>
    <row r="1556">
      <c r="A1556" s="5" t="inlineStr"/>
      <c r="B1556" s="5" t="inlineStr"/>
      <c r="C1556" s="5">
        <f>IF($B1556="","",VLOOKUP($B1556,Jogos!$A$2:$K$105,8,FALSE))</f>
        <v/>
      </c>
      <c r="D1556" s="5">
        <f>IF($B1556="","",VLOOKUP($B1556,Jogos!$A$2:$K$105,10,FALSE))</f>
        <v/>
      </c>
      <c r="E1556" s="5" t="inlineStr"/>
      <c r="F1556" s="5" t="inlineStr"/>
      <c r="G1556" s="8">
        <f>IF($B1556="","",VLOOKUP($B1556,Jogos!$A$2:$K$105,9,FALSE))</f>
        <v/>
      </c>
      <c r="H1556" s="8">
        <f>IF($B1556="","",VLOOKUP($B1556,Jogos!$A$2:$K$105,11,FALSE))</f>
        <v/>
      </c>
      <c r="I1556" s="5">
        <f>IF(OR($A1556="", $B1556="", $E1556="", $F1556="", $G1556="", $H1556=""), "",IF(AND($E1556=$G1556, $F1556=$H1556), 3, IF(SIGN($E1556-$F1556)=SIGN($G1556-$H1556), 1, 0))))</f>
        <v/>
      </c>
    </row>
    <row r="1557">
      <c r="A1557" s="5" t="inlineStr"/>
      <c r="B1557" s="5" t="inlineStr"/>
      <c r="C1557" s="5">
        <f>IF($B1557="","",VLOOKUP($B1557,Jogos!$A$2:$K$105,8,FALSE))</f>
        <v/>
      </c>
      <c r="D1557" s="5">
        <f>IF($B1557="","",VLOOKUP($B1557,Jogos!$A$2:$K$105,10,FALSE))</f>
        <v/>
      </c>
      <c r="E1557" s="5" t="inlineStr"/>
      <c r="F1557" s="5" t="inlineStr"/>
      <c r="G1557" s="8">
        <f>IF($B1557="","",VLOOKUP($B1557,Jogos!$A$2:$K$105,9,FALSE))</f>
        <v/>
      </c>
      <c r="H1557" s="8">
        <f>IF($B1557="","",VLOOKUP($B1557,Jogos!$A$2:$K$105,11,FALSE))</f>
        <v/>
      </c>
      <c r="I1557" s="5">
        <f>IF(OR($A1557="", $B1557="", $E1557="", $F1557="", $G1557="", $H1557=""), "",IF(AND($E1557=$G1557, $F1557=$H1557), 3, IF(SIGN($E1557-$F1557)=SIGN($G1557-$H1557), 1, 0))))</f>
        <v/>
      </c>
    </row>
    <row r="1558">
      <c r="A1558" s="5" t="inlineStr"/>
      <c r="B1558" s="5" t="inlineStr"/>
      <c r="C1558" s="5">
        <f>IF($B1558="","",VLOOKUP($B1558,Jogos!$A$2:$K$105,8,FALSE))</f>
        <v/>
      </c>
      <c r="D1558" s="5">
        <f>IF($B1558="","",VLOOKUP($B1558,Jogos!$A$2:$K$105,10,FALSE))</f>
        <v/>
      </c>
      <c r="E1558" s="5" t="inlineStr"/>
      <c r="F1558" s="5" t="inlineStr"/>
      <c r="G1558" s="8">
        <f>IF($B1558="","",VLOOKUP($B1558,Jogos!$A$2:$K$105,9,FALSE))</f>
        <v/>
      </c>
      <c r="H1558" s="8">
        <f>IF($B1558="","",VLOOKUP($B1558,Jogos!$A$2:$K$105,11,FALSE))</f>
        <v/>
      </c>
      <c r="I1558" s="5">
        <f>IF(OR($A1558="", $B1558="", $E1558="", $F1558="", $G1558="", $H1558=""), "",IF(AND($E1558=$G1558, $F1558=$H1558), 3, IF(SIGN($E1558-$F1558)=SIGN($G1558-$H1558), 1, 0))))</f>
        <v/>
      </c>
    </row>
    <row r="1559">
      <c r="A1559" s="5" t="inlineStr"/>
      <c r="B1559" s="5" t="inlineStr"/>
      <c r="C1559" s="5">
        <f>IF($B1559="","",VLOOKUP($B1559,Jogos!$A$2:$K$105,8,FALSE))</f>
        <v/>
      </c>
      <c r="D1559" s="5">
        <f>IF($B1559="","",VLOOKUP($B1559,Jogos!$A$2:$K$105,10,FALSE))</f>
        <v/>
      </c>
      <c r="E1559" s="5" t="inlineStr"/>
      <c r="F1559" s="5" t="inlineStr"/>
      <c r="G1559" s="8">
        <f>IF($B1559="","",VLOOKUP($B1559,Jogos!$A$2:$K$105,9,FALSE))</f>
        <v/>
      </c>
      <c r="H1559" s="8">
        <f>IF($B1559="","",VLOOKUP($B1559,Jogos!$A$2:$K$105,11,FALSE))</f>
        <v/>
      </c>
      <c r="I1559" s="5">
        <f>IF(OR($A1559="", $B1559="", $E1559="", $F1559="", $G1559="", $H1559=""), "",IF(AND($E1559=$G1559, $F1559=$H1559), 3, IF(SIGN($E1559-$F1559)=SIGN($G1559-$H1559), 1, 0))))</f>
        <v/>
      </c>
    </row>
    <row r="1560">
      <c r="A1560" s="5" t="inlineStr"/>
      <c r="B1560" s="5" t="inlineStr"/>
      <c r="C1560" s="5">
        <f>IF($B1560="","",VLOOKUP($B1560,Jogos!$A$2:$K$105,8,FALSE))</f>
        <v/>
      </c>
      <c r="D1560" s="5">
        <f>IF($B1560="","",VLOOKUP($B1560,Jogos!$A$2:$K$105,10,FALSE))</f>
        <v/>
      </c>
      <c r="E1560" s="5" t="inlineStr"/>
      <c r="F1560" s="5" t="inlineStr"/>
      <c r="G1560" s="8">
        <f>IF($B1560="","",VLOOKUP($B1560,Jogos!$A$2:$K$105,9,FALSE))</f>
        <v/>
      </c>
      <c r="H1560" s="8">
        <f>IF($B1560="","",VLOOKUP($B1560,Jogos!$A$2:$K$105,11,FALSE))</f>
        <v/>
      </c>
      <c r="I1560" s="5">
        <f>IF(OR($A1560="", $B1560="", $E1560="", $F1560="", $G1560="", $H1560=""), "",IF(AND($E1560=$G1560, $F1560=$H1560), 3, IF(SIGN($E1560-$F1560)=SIGN($G1560-$H1560), 1, 0))))</f>
        <v/>
      </c>
    </row>
    <row r="1561">
      <c r="A1561" s="5" t="inlineStr"/>
      <c r="B1561" s="5" t="inlineStr"/>
      <c r="C1561" s="5">
        <f>IF($B1561="","",VLOOKUP($B1561,Jogos!$A$2:$K$105,8,FALSE))</f>
        <v/>
      </c>
      <c r="D1561" s="5">
        <f>IF($B1561="","",VLOOKUP($B1561,Jogos!$A$2:$K$105,10,FALSE))</f>
        <v/>
      </c>
      <c r="E1561" s="5" t="inlineStr"/>
      <c r="F1561" s="5" t="inlineStr"/>
      <c r="G1561" s="8">
        <f>IF($B1561="","",VLOOKUP($B1561,Jogos!$A$2:$K$105,9,FALSE))</f>
        <v/>
      </c>
      <c r="H1561" s="8">
        <f>IF($B1561="","",VLOOKUP($B1561,Jogos!$A$2:$K$105,11,FALSE))</f>
        <v/>
      </c>
      <c r="I1561" s="5">
        <f>IF(OR($A1561="", $B1561="", $E1561="", $F1561="", $G1561="", $H1561=""), "",IF(AND($E1561=$G1561, $F1561=$H1561), 3, IF(SIGN($E1561-$F1561)=SIGN($G1561-$H1561), 1, 0))))</f>
        <v/>
      </c>
    </row>
    <row r="1562">
      <c r="A1562" s="5" t="inlineStr"/>
      <c r="B1562" s="5" t="inlineStr"/>
      <c r="C1562" s="5">
        <f>IF($B1562="","",VLOOKUP($B1562,Jogos!$A$2:$K$105,8,FALSE))</f>
        <v/>
      </c>
      <c r="D1562" s="5">
        <f>IF($B1562="","",VLOOKUP($B1562,Jogos!$A$2:$K$105,10,FALSE))</f>
        <v/>
      </c>
      <c r="E1562" s="5" t="inlineStr"/>
      <c r="F1562" s="5" t="inlineStr"/>
      <c r="G1562" s="8">
        <f>IF($B1562="","",VLOOKUP($B1562,Jogos!$A$2:$K$105,9,FALSE))</f>
        <v/>
      </c>
      <c r="H1562" s="8">
        <f>IF($B1562="","",VLOOKUP($B1562,Jogos!$A$2:$K$105,11,FALSE))</f>
        <v/>
      </c>
      <c r="I1562" s="5">
        <f>IF(OR($A1562="", $B1562="", $E1562="", $F1562="", $G1562="", $H1562=""), "",IF(AND($E1562=$G1562, $F1562=$H1562), 3, IF(SIGN($E1562-$F1562)=SIGN($G1562-$H1562), 1, 0))))</f>
        <v/>
      </c>
    </row>
    <row r="1563">
      <c r="A1563" s="5" t="inlineStr"/>
      <c r="B1563" s="5" t="inlineStr"/>
      <c r="C1563" s="5">
        <f>IF($B1563="","",VLOOKUP($B1563,Jogos!$A$2:$K$105,8,FALSE))</f>
        <v/>
      </c>
      <c r="D1563" s="5">
        <f>IF($B1563="","",VLOOKUP($B1563,Jogos!$A$2:$K$105,10,FALSE))</f>
        <v/>
      </c>
      <c r="E1563" s="5" t="inlineStr"/>
      <c r="F1563" s="5" t="inlineStr"/>
      <c r="G1563" s="8">
        <f>IF($B1563="","",VLOOKUP($B1563,Jogos!$A$2:$K$105,9,FALSE))</f>
        <v/>
      </c>
      <c r="H1563" s="8">
        <f>IF($B1563="","",VLOOKUP($B1563,Jogos!$A$2:$K$105,11,FALSE))</f>
        <v/>
      </c>
      <c r="I1563" s="5">
        <f>IF(OR($A1563="", $B1563="", $E1563="", $F1563="", $G1563="", $H1563=""), "",IF(AND($E1563=$G1563, $F1563=$H1563), 3, IF(SIGN($E1563-$F1563)=SIGN($G1563-$H1563), 1, 0))))</f>
        <v/>
      </c>
    </row>
    <row r="1564">
      <c r="A1564" s="5" t="inlineStr"/>
      <c r="B1564" s="5" t="inlineStr"/>
      <c r="C1564" s="5">
        <f>IF($B1564="","",VLOOKUP($B1564,Jogos!$A$2:$K$105,8,FALSE))</f>
        <v/>
      </c>
      <c r="D1564" s="5">
        <f>IF($B1564="","",VLOOKUP($B1564,Jogos!$A$2:$K$105,10,FALSE))</f>
        <v/>
      </c>
      <c r="E1564" s="5" t="inlineStr"/>
      <c r="F1564" s="5" t="inlineStr"/>
      <c r="G1564" s="8">
        <f>IF($B1564="","",VLOOKUP($B1564,Jogos!$A$2:$K$105,9,FALSE))</f>
        <v/>
      </c>
      <c r="H1564" s="8">
        <f>IF($B1564="","",VLOOKUP($B1564,Jogos!$A$2:$K$105,11,FALSE))</f>
        <v/>
      </c>
      <c r="I1564" s="5">
        <f>IF(OR($A1564="", $B1564="", $E1564="", $F1564="", $G1564="", $H1564=""), "",IF(AND($E1564=$G1564, $F1564=$H1564), 3, IF(SIGN($E1564-$F1564)=SIGN($G1564-$H1564), 1, 0))))</f>
        <v/>
      </c>
    </row>
    <row r="1565">
      <c r="A1565" s="5" t="inlineStr"/>
      <c r="B1565" s="5" t="inlineStr"/>
      <c r="C1565" s="5">
        <f>IF($B1565="","",VLOOKUP($B1565,Jogos!$A$2:$K$105,8,FALSE))</f>
        <v/>
      </c>
      <c r="D1565" s="5">
        <f>IF($B1565="","",VLOOKUP($B1565,Jogos!$A$2:$K$105,10,FALSE))</f>
        <v/>
      </c>
      <c r="E1565" s="5" t="inlineStr"/>
      <c r="F1565" s="5" t="inlineStr"/>
      <c r="G1565" s="8">
        <f>IF($B1565="","",VLOOKUP($B1565,Jogos!$A$2:$K$105,9,FALSE))</f>
        <v/>
      </c>
      <c r="H1565" s="8">
        <f>IF($B1565="","",VLOOKUP($B1565,Jogos!$A$2:$K$105,11,FALSE))</f>
        <v/>
      </c>
      <c r="I1565" s="5">
        <f>IF(OR($A1565="", $B1565="", $E1565="", $F1565="", $G1565="", $H1565=""), "",IF(AND($E1565=$G1565, $F1565=$H1565), 3, IF(SIGN($E1565-$F1565)=SIGN($G1565-$H1565), 1, 0))))</f>
        <v/>
      </c>
    </row>
    <row r="1566">
      <c r="A1566" s="5" t="inlineStr"/>
      <c r="B1566" s="5" t="inlineStr"/>
      <c r="C1566" s="5">
        <f>IF($B1566="","",VLOOKUP($B1566,Jogos!$A$2:$K$105,8,FALSE))</f>
        <v/>
      </c>
      <c r="D1566" s="5">
        <f>IF($B1566="","",VLOOKUP($B1566,Jogos!$A$2:$K$105,10,FALSE))</f>
        <v/>
      </c>
      <c r="E1566" s="5" t="inlineStr"/>
      <c r="F1566" s="5" t="inlineStr"/>
      <c r="G1566" s="8">
        <f>IF($B1566="","",VLOOKUP($B1566,Jogos!$A$2:$K$105,9,FALSE))</f>
        <v/>
      </c>
      <c r="H1566" s="8">
        <f>IF($B1566="","",VLOOKUP($B1566,Jogos!$A$2:$K$105,11,FALSE))</f>
        <v/>
      </c>
      <c r="I1566" s="5">
        <f>IF(OR($A1566="", $B1566="", $E1566="", $F1566="", $G1566="", $H1566=""), "",IF(AND($E1566=$G1566, $F1566=$H1566), 3, IF(SIGN($E1566-$F1566)=SIGN($G1566-$H1566), 1, 0))))</f>
        <v/>
      </c>
    </row>
    <row r="1567">
      <c r="A1567" s="5" t="inlineStr"/>
      <c r="B1567" s="5" t="inlineStr"/>
      <c r="C1567" s="5">
        <f>IF($B1567="","",VLOOKUP($B1567,Jogos!$A$2:$K$105,8,FALSE))</f>
        <v/>
      </c>
      <c r="D1567" s="5">
        <f>IF($B1567="","",VLOOKUP($B1567,Jogos!$A$2:$K$105,10,FALSE))</f>
        <v/>
      </c>
      <c r="E1567" s="5" t="inlineStr"/>
      <c r="F1567" s="5" t="inlineStr"/>
      <c r="G1567" s="8">
        <f>IF($B1567="","",VLOOKUP($B1567,Jogos!$A$2:$K$105,9,FALSE))</f>
        <v/>
      </c>
      <c r="H1567" s="8">
        <f>IF($B1567="","",VLOOKUP($B1567,Jogos!$A$2:$K$105,11,FALSE))</f>
        <v/>
      </c>
      <c r="I1567" s="5">
        <f>IF(OR($A1567="", $B1567="", $E1567="", $F1567="", $G1567="", $H1567=""), "",IF(AND($E1567=$G1567, $F1567=$H1567), 3, IF(SIGN($E1567-$F1567)=SIGN($G1567-$H1567), 1, 0))))</f>
        <v/>
      </c>
    </row>
    <row r="1568">
      <c r="A1568" s="5" t="inlineStr"/>
      <c r="B1568" s="5" t="inlineStr"/>
      <c r="C1568" s="5">
        <f>IF($B1568="","",VLOOKUP($B1568,Jogos!$A$2:$K$105,8,FALSE))</f>
        <v/>
      </c>
      <c r="D1568" s="5">
        <f>IF($B1568="","",VLOOKUP($B1568,Jogos!$A$2:$K$105,10,FALSE))</f>
        <v/>
      </c>
      <c r="E1568" s="5" t="inlineStr"/>
      <c r="F1568" s="5" t="inlineStr"/>
      <c r="G1568" s="8">
        <f>IF($B1568="","",VLOOKUP($B1568,Jogos!$A$2:$K$105,9,FALSE))</f>
        <v/>
      </c>
      <c r="H1568" s="8">
        <f>IF($B1568="","",VLOOKUP($B1568,Jogos!$A$2:$K$105,11,FALSE))</f>
        <v/>
      </c>
      <c r="I1568" s="5">
        <f>IF(OR($A1568="", $B1568="", $E1568="", $F1568="", $G1568="", $H1568=""), "",IF(AND($E1568=$G1568, $F1568=$H1568), 3, IF(SIGN($E1568-$F1568)=SIGN($G1568-$H1568), 1, 0))))</f>
        <v/>
      </c>
    </row>
    <row r="1569">
      <c r="A1569" s="5" t="inlineStr"/>
      <c r="B1569" s="5" t="inlineStr"/>
      <c r="C1569" s="5">
        <f>IF($B1569="","",VLOOKUP($B1569,Jogos!$A$2:$K$105,8,FALSE))</f>
        <v/>
      </c>
      <c r="D1569" s="5">
        <f>IF($B1569="","",VLOOKUP($B1569,Jogos!$A$2:$K$105,10,FALSE))</f>
        <v/>
      </c>
      <c r="E1569" s="5" t="inlineStr"/>
      <c r="F1569" s="5" t="inlineStr"/>
      <c r="G1569" s="8">
        <f>IF($B1569="","",VLOOKUP($B1569,Jogos!$A$2:$K$105,9,FALSE))</f>
        <v/>
      </c>
      <c r="H1569" s="8">
        <f>IF($B1569="","",VLOOKUP($B1569,Jogos!$A$2:$K$105,11,FALSE))</f>
        <v/>
      </c>
      <c r="I1569" s="5">
        <f>IF(OR($A1569="", $B1569="", $E1569="", $F1569="", $G1569="", $H1569=""), "",IF(AND($E1569=$G1569, $F1569=$H1569), 3, IF(SIGN($E1569-$F1569)=SIGN($G1569-$H1569), 1, 0))))</f>
        <v/>
      </c>
    </row>
    <row r="1570">
      <c r="A1570" s="5" t="inlineStr"/>
      <c r="B1570" s="5" t="inlineStr"/>
      <c r="C1570" s="5">
        <f>IF($B1570="","",VLOOKUP($B1570,Jogos!$A$2:$K$105,8,FALSE))</f>
        <v/>
      </c>
      <c r="D1570" s="5">
        <f>IF($B1570="","",VLOOKUP($B1570,Jogos!$A$2:$K$105,10,FALSE))</f>
        <v/>
      </c>
      <c r="E1570" s="5" t="inlineStr"/>
      <c r="F1570" s="5" t="inlineStr"/>
      <c r="G1570" s="8">
        <f>IF($B1570="","",VLOOKUP($B1570,Jogos!$A$2:$K$105,9,FALSE))</f>
        <v/>
      </c>
      <c r="H1570" s="8">
        <f>IF($B1570="","",VLOOKUP($B1570,Jogos!$A$2:$K$105,11,FALSE))</f>
        <v/>
      </c>
      <c r="I1570" s="5">
        <f>IF(OR($A1570="", $B1570="", $E1570="", $F1570="", $G1570="", $H1570=""), "",IF(AND($E1570=$G1570, $F1570=$H1570), 3, IF(SIGN($E1570-$F1570)=SIGN($G1570-$H1570), 1, 0))))</f>
        <v/>
      </c>
    </row>
    <row r="1571">
      <c r="A1571" s="5" t="inlineStr"/>
      <c r="B1571" s="5" t="inlineStr"/>
      <c r="C1571" s="5">
        <f>IF($B1571="","",VLOOKUP($B1571,Jogos!$A$2:$K$105,8,FALSE))</f>
        <v/>
      </c>
      <c r="D1571" s="5">
        <f>IF($B1571="","",VLOOKUP($B1571,Jogos!$A$2:$K$105,10,FALSE))</f>
        <v/>
      </c>
      <c r="E1571" s="5" t="inlineStr"/>
      <c r="F1571" s="5" t="inlineStr"/>
      <c r="G1571" s="8">
        <f>IF($B1571="","",VLOOKUP($B1571,Jogos!$A$2:$K$105,9,FALSE))</f>
        <v/>
      </c>
      <c r="H1571" s="8">
        <f>IF($B1571="","",VLOOKUP($B1571,Jogos!$A$2:$K$105,11,FALSE))</f>
        <v/>
      </c>
      <c r="I1571" s="5">
        <f>IF(OR($A1571="", $B1571="", $E1571="", $F1571="", $G1571="", $H1571=""), "",IF(AND($E1571=$G1571, $F1571=$H1571), 3, IF(SIGN($E1571-$F1571)=SIGN($G1571-$H1571), 1, 0))))</f>
        <v/>
      </c>
    </row>
    <row r="1572">
      <c r="A1572" s="5" t="inlineStr"/>
      <c r="B1572" s="5" t="inlineStr"/>
      <c r="C1572" s="5">
        <f>IF($B1572="","",VLOOKUP($B1572,Jogos!$A$2:$K$105,8,FALSE))</f>
        <v/>
      </c>
      <c r="D1572" s="5">
        <f>IF($B1572="","",VLOOKUP($B1572,Jogos!$A$2:$K$105,10,FALSE))</f>
        <v/>
      </c>
      <c r="E1572" s="5" t="inlineStr"/>
      <c r="F1572" s="5" t="inlineStr"/>
      <c r="G1572" s="8">
        <f>IF($B1572="","",VLOOKUP($B1572,Jogos!$A$2:$K$105,9,FALSE))</f>
        <v/>
      </c>
      <c r="H1572" s="8">
        <f>IF($B1572="","",VLOOKUP($B1572,Jogos!$A$2:$K$105,11,FALSE))</f>
        <v/>
      </c>
      <c r="I1572" s="5">
        <f>IF(OR($A1572="", $B1572="", $E1572="", $F1572="", $G1572="", $H1572=""), "",IF(AND($E1572=$G1572, $F1572=$H1572), 3, IF(SIGN($E1572-$F1572)=SIGN($G1572-$H1572), 1, 0))))</f>
        <v/>
      </c>
    </row>
    <row r="1573">
      <c r="A1573" s="5" t="inlineStr"/>
      <c r="B1573" s="5" t="inlineStr"/>
      <c r="C1573" s="5">
        <f>IF($B1573="","",VLOOKUP($B1573,Jogos!$A$2:$K$105,8,FALSE))</f>
        <v/>
      </c>
      <c r="D1573" s="5">
        <f>IF($B1573="","",VLOOKUP($B1573,Jogos!$A$2:$K$105,10,FALSE))</f>
        <v/>
      </c>
      <c r="E1573" s="5" t="inlineStr"/>
      <c r="F1573" s="5" t="inlineStr"/>
      <c r="G1573" s="8">
        <f>IF($B1573="","",VLOOKUP($B1573,Jogos!$A$2:$K$105,9,FALSE))</f>
        <v/>
      </c>
      <c r="H1573" s="8">
        <f>IF($B1573="","",VLOOKUP($B1573,Jogos!$A$2:$K$105,11,FALSE))</f>
        <v/>
      </c>
      <c r="I1573" s="5">
        <f>IF(OR($A1573="", $B1573="", $E1573="", $F1573="", $G1573="", $H1573=""), "",IF(AND($E1573=$G1573, $F1573=$H1573), 3, IF(SIGN($E1573-$F1573)=SIGN($G1573-$H1573), 1, 0))))</f>
        <v/>
      </c>
    </row>
    <row r="1574">
      <c r="A1574" s="5" t="inlineStr"/>
      <c r="B1574" s="5" t="inlineStr"/>
      <c r="C1574" s="5">
        <f>IF($B1574="","",VLOOKUP($B1574,Jogos!$A$2:$K$105,8,FALSE))</f>
        <v/>
      </c>
      <c r="D1574" s="5">
        <f>IF($B1574="","",VLOOKUP($B1574,Jogos!$A$2:$K$105,10,FALSE))</f>
        <v/>
      </c>
      <c r="E1574" s="5" t="inlineStr"/>
      <c r="F1574" s="5" t="inlineStr"/>
      <c r="G1574" s="8">
        <f>IF($B1574="","",VLOOKUP($B1574,Jogos!$A$2:$K$105,9,FALSE))</f>
        <v/>
      </c>
      <c r="H1574" s="8">
        <f>IF($B1574="","",VLOOKUP($B1574,Jogos!$A$2:$K$105,11,FALSE))</f>
        <v/>
      </c>
      <c r="I1574" s="5">
        <f>IF(OR($A1574="", $B1574="", $E1574="", $F1574="", $G1574="", $H1574=""), "",IF(AND($E1574=$G1574, $F1574=$H1574), 3, IF(SIGN($E1574-$F1574)=SIGN($G1574-$H1574), 1, 0))))</f>
        <v/>
      </c>
    </row>
    <row r="1575">
      <c r="A1575" s="5" t="inlineStr"/>
      <c r="B1575" s="5" t="inlineStr"/>
      <c r="C1575" s="5">
        <f>IF($B1575="","",VLOOKUP($B1575,Jogos!$A$2:$K$105,8,FALSE))</f>
        <v/>
      </c>
      <c r="D1575" s="5">
        <f>IF($B1575="","",VLOOKUP($B1575,Jogos!$A$2:$K$105,10,FALSE))</f>
        <v/>
      </c>
      <c r="E1575" s="5" t="inlineStr"/>
      <c r="F1575" s="5" t="inlineStr"/>
      <c r="G1575" s="8">
        <f>IF($B1575="","",VLOOKUP($B1575,Jogos!$A$2:$K$105,9,FALSE))</f>
        <v/>
      </c>
      <c r="H1575" s="8">
        <f>IF($B1575="","",VLOOKUP($B1575,Jogos!$A$2:$K$105,11,FALSE))</f>
        <v/>
      </c>
      <c r="I1575" s="5">
        <f>IF(OR($A1575="", $B1575="", $E1575="", $F1575="", $G1575="", $H1575=""), "",IF(AND($E1575=$G1575, $F1575=$H1575), 3, IF(SIGN($E1575-$F1575)=SIGN($G1575-$H1575), 1, 0))))</f>
        <v/>
      </c>
    </row>
    <row r="1576">
      <c r="A1576" s="5" t="inlineStr"/>
      <c r="B1576" s="5" t="inlineStr"/>
      <c r="C1576" s="5">
        <f>IF($B1576="","",VLOOKUP($B1576,Jogos!$A$2:$K$105,8,FALSE))</f>
        <v/>
      </c>
      <c r="D1576" s="5">
        <f>IF($B1576="","",VLOOKUP($B1576,Jogos!$A$2:$K$105,10,FALSE))</f>
        <v/>
      </c>
      <c r="E1576" s="5" t="inlineStr"/>
      <c r="F1576" s="5" t="inlineStr"/>
      <c r="G1576" s="8">
        <f>IF($B1576="","",VLOOKUP($B1576,Jogos!$A$2:$K$105,9,FALSE))</f>
        <v/>
      </c>
      <c r="H1576" s="8">
        <f>IF($B1576="","",VLOOKUP($B1576,Jogos!$A$2:$K$105,11,FALSE))</f>
        <v/>
      </c>
      <c r="I1576" s="5">
        <f>IF(OR($A1576="", $B1576="", $E1576="", $F1576="", $G1576="", $H1576=""), "",IF(AND($E1576=$G1576, $F1576=$H1576), 3, IF(SIGN($E1576-$F1576)=SIGN($G1576-$H1576), 1, 0))))</f>
        <v/>
      </c>
    </row>
    <row r="1577">
      <c r="A1577" s="5" t="inlineStr"/>
      <c r="B1577" s="5" t="inlineStr"/>
      <c r="C1577" s="5">
        <f>IF($B1577="","",VLOOKUP($B1577,Jogos!$A$2:$K$105,8,FALSE))</f>
        <v/>
      </c>
      <c r="D1577" s="5">
        <f>IF($B1577="","",VLOOKUP($B1577,Jogos!$A$2:$K$105,10,FALSE))</f>
        <v/>
      </c>
      <c r="E1577" s="5" t="inlineStr"/>
      <c r="F1577" s="5" t="inlineStr"/>
      <c r="G1577" s="8">
        <f>IF($B1577="","",VLOOKUP($B1577,Jogos!$A$2:$K$105,9,FALSE))</f>
        <v/>
      </c>
      <c r="H1577" s="8">
        <f>IF($B1577="","",VLOOKUP($B1577,Jogos!$A$2:$K$105,11,FALSE))</f>
        <v/>
      </c>
      <c r="I1577" s="5">
        <f>IF(OR($A1577="", $B1577="", $E1577="", $F1577="", $G1577="", $H1577=""), "",IF(AND($E1577=$G1577, $F1577=$H1577), 3, IF(SIGN($E1577-$F1577)=SIGN($G1577-$H1577), 1, 0))))</f>
        <v/>
      </c>
    </row>
    <row r="1578">
      <c r="A1578" s="5" t="inlineStr"/>
      <c r="B1578" s="5" t="inlineStr"/>
      <c r="C1578" s="5">
        <f>IF($B1578="","",VLOOKUP($B1578,Jogos!$A$2:$K$105,8,FALSE))</f>
        <v/>
      </c>
      <c r="D1578" s="5">
        <f>IF($B1578="","",VLOOKUP($B1578,Jogos!$A$2:$K$105,10,FALSE))</f>
        <v/>
      </c>
      <c r="E1578" s="5" t="inlineStr"/>
      <c r="F1578" s="5" t="inlineStr"/>
      <c r="G1578" s="8">
        <f>IF($B1578="","",VLOOKUP($B1578,Jogos!$A$2:$K$105,9,FALSE))</f>
        <v/>
      </c>
      <c r="H1578" s="8">
        <f>IF($B1578="","",VLOOKUP($B1578,Jogos!$A$2:$K$105,11,FALSE))</f>
        <v/>
      </c>
      <c r="I1578" s="5">
        <f>IF(OR($A1578="", $B1578="", $E1578="", $F1578="", $G1578="", $H1578=""), "",IF(AND($E1578=$G1578, $F1578=$H1578), 3, IF(SIGN($E1578-$F1578)=SIGN($G1578-$H1578), 1, 0))))</f>
        <v/>
      </c>
    </row>
    <row r="1579">
      <c r="A1579" s="5" t="inlineStr"/>
      <c r="B1579" s="5" t="inlineStr"/>
      <c r="C1579" s="5">
        <f>IF($B1579="","",VLOOKUP($B1579,Jogos!$A$2:$K$105,8,FALSE))</f>
        <v/>
      </c>
      <c r="D1579" s="5">
        <f>IF($B1579="","",VLOOKUP($B1579,Jogos!$A$2:$K$105,10,FALSE))</f>
        <v/>
      </c>
      <c r="E1579" s="5" t="inlineStr"/>
      <c r="F1579" s="5" t="inlineStr"/>
      <c r="G1579" s="8">
        <f>IF($B1579="","",VLOOKUP($B1579,Jogos!$A$2:$K$105,9,FALSE))</f>
        <v/>
      </c>
      <c r="H1579" s="8">
        <f>IF($B1579="","",VLOOKUP($B1579,Jogos!$A$2:$K$105,11,FALSE))</f>
        <v/>
      </c>
      <c r="I1579" s="5">
        <f>IF(OR($A1579="", $B1579="", $E1579="", $F1579="", $G1579="", $H1579=""), "",IF(AND($E1579=$G1579, $F1579=$H1579), 3, IF(SIGN($E1579-$F1579)=SIGN($G1579-$H1579), 1, 0))))</f>
        <v/>
      </c>
    </row>
    <row r="1580">
      <c r="A1580" s="5" t="inlineStr"/>
      <c r="B1580" s="5" t="inlineStr"/>
      <c r="C1580" s="5">
        <f>IF($B1580="","",VLOOKUP($B1580,Jogos!$A$2:$K$105,8,FALSE))</f>
        <v/>
      </c>
      <c r="D1580" s="5">
        <f>IF($B1580="","",VLOOKUP($B1580,Jogos!$A$2:$K$105,10,FALSE))</f>
        <v/>
      </c>
      <c r="E1580" s="5" t="inlineStr"/>
      <c r="F1580" s="5" t="inlineStr"/>
      <c r="G1580" s="8">
        <f>IF($B1580="","",VLOOKUP($B1580,Jogos!$A$2:$K$105,9,FALSE))</f>
        <v/>
      </c>
      <c r="H1580" s="8">
        <f>IF($B1580="","",VLOOKUP($B1580,Jogos!$A$2:$K$105,11,FALSE))</f>
        <v/>
      </c>
      <c r="I1580" s="5">
        <f>IF(OR($A1580="", $B1580="", $E1580="", $F1580="", $G1580="", $H1580=""), "",IF(AND($E1580=$G1580, $F1580=$H1580), 3, IF(SIGN($E1580-$F1580)=SIGN($G1580-$H1580), 1, 0))))</f>
        <v/>
      </c>
    </row>
    <row r="1581">
      <c r="A1581" s="5" t="inlineStr"/>
      <c r="B1581" s="5" t="inlineStr"/>
      <c r="C1581" s="5">
        <f>IF($B1581="","",VLOOKUP($B1581,Jogos!$A$2:$K$105,8,FALSE))</f>
        <v/>
      </c>
      <c r="D1581" s="5">
        <f>IF($B1581="","",VLOOKUP($B1581,Jogos!$A$2:$K$105,10,FALSE))</f>
        <v/>
      </c>
      <c r="E1581" s="5" t="inlineStr"/>
      <c r="F1581" s="5" t="inlineStr"/>
      <c r="G1581" s="8">
        <f>IF($B1581="","",VLOOKUP($B1581,Jogos!$A$2:$K$105,9,FALSE))</f>
        <v/>
      </c>
      <c r="H1581" s="8">
        <f>IF($B1581="","",VLOOKUP($B1581,Jogos!$A$2:$K$105,11,FALSE))</f>
        <v/>
      </c>
      <c r="I1581" s="5">
        <f>IF(OR($A1581="", $B1581="", $E1581="", $F1581="", $G1581="", $H1581=""), "",IF(AND($E1581=$G1581, $F1581=$H1581), 3, IF(SIGN($E1581-$F1581)=SIGN($G1581-$H1581), 1, 0))))</f>
        <v/>
      </c>
    </row>
    <row r="1582">
      <c r="A1582" s="5" t="inlineStr"/>
      <c r="B1582" s="5" t="inlineStr"/>
      <c r="C1582" s="5">
        <f>IF($B1582="","",VLOOKUP($B1582,Jogos!$A$2:$K$105,8,FALSE))</f>
        <v/>
      </c>
      <c r="D1582" s="5">
        <f>IF($B1582="","",VLOOKUP($B1582,Jogos!$A$2:$K$105,10,FALSE))</f>
        <v/>
      </c>
      <c r="E1582" s="5" t="inlineStr"/>
      <c r="F1582" s="5" t="inlineStr"/>
      <c r="G1582" s="8">
        <f>IF($B1582="","",VLOOKUP($B1582,Jogos!$A$2:$K$105,9,FALSE))</f>
        <v/>
      </c>
      <c r="H1582" s="8">
        <f>IF($B1582="","",VLOOKUP($B1582,Jogos!$A$2:$K$105,11,FALSE))</f>
        <v/>
      </c>
      <c r="I1582" s="5">
        <f>IF(OR($A1582="", $B1582="", $E1582="", $F1582="", $G1582="", $H1582=""), "",IF(AND($E1582=$G1582, $F1582=$H1582), 3, IF(SIGN($E1582-$F1582)=SIGN($G1582-$H1582), 1, 0))))</f>
        <v/>
      </c>
    </row>
    <row r="1583">
      <c r="A1583" s="5" t="inlineStr"/>
      <c r="B1583" s="5" t="inlineStr"/>
      <c r="C1583" s="5">
        <f>IF($B1583="","",VLOOKUP($B1583,Jogos!$A$2:$K$105,8,FALSE))</f>
        <v/>
      </c>
      <c r="D1583" s="5">
        <f>IF($B1583="","",VLOOKUP($B1583,Jogos!$A$2:$K$105,10,FALSE))</f>
        <v/>
      </c>
      <c r="E1583" s="5" t="inlineStr"/>
      <c r="F1583" s="5" t="inlineStr"/>
      <c r="G1583" s="8">
        <f>IF($B1583="","",VLOOKUP($B1583,Jogos!$A$2:$K$105,9,FALSE))</f>
        <v/>
      </c>
      <c r="H1583" s="8">
        <f>IF($B1583="","",VLOOKUP($B1583,Jogos!$A$2:$K$105,11,FALSE))</f>
        <v/>
      </c>
      <c r="I1583" s="5">
        <f>IF(OR($A1583="", $B1583="", $E1583="", $F1583="", $G1583="", $H1583=""), "",IF(AND($E1583=$G1583, $F1583=$H1583), 3, IF(SIGN($E1583-$F1583)=SIGN($G1583-$H1583), 1, 0))))</f>
        <v/>
      </c>
    </row>
    <row r="1584">
      <c r="A1584" s="5" t="inlineStr"/>
      <c r="B1584" s="5" t="inlineStr"/>
      <c r="C1584" s="5">
        <f>IF($B1584="","",VLOOKUP($B1584,Jogos!$A$2:$K$105,8,FALSE))</f>
        <v/>
      </c>
      <c r="D1584" s="5">
        <f>IF($B1584="","",VLOOKUP($B1584,Jogos!$A$2:$K$105,10,FALSE))</f>
        <v/>
      </c>
      <c r="E1584" s="5" t="inlineStr"/>
      <c r="F1584" s="5" t="inlineStr"/>
      <c r="G1584" s="8">
        <f>IF($B1584="","",VLOOKUP($B1584,Jogos!$A$2:$K$105,9,FALSE))</f>
        <v/>
      </c>
      <c r="H1584" s="8">
        <f>IF($B1584="","",VLOOKUP($B1584,Jogos!$A$2:$K$105,11,FALSE))</f>
        <v/>
      </c>
      <c r="I1584" s="5">
        <f>IF(OR($A1584="", $B1584="", $E1584="", $F1584="", $G1584="", $H1584=""), "",IF(AND($E1584=$G1584, $F1584=$H1584), 3, IF(SIGN($E1584-$F1584)=SIGN($G1584-$H1584), 1, 0))))</f>
        <v/>
      </c>
    </row>
    <row r="1585">
      <c r="A1585" s="5" t="inlineStr"/>
      <c r="B1585" s="5" t="inlineStr"/>
      <c r="C1585" s="5">
        <f>IF($B1585="","",VLOOKUP($B1585,Jogos!$A$2:$K$105,8,FALSE))</f>
        <v/>
      </c>
      <c r="D1585" s="5">
        <f>IF($B1585="","",VLOOKUP($B1585,Jogos!$A$2:$K$105,10,FALSE))</f>
        <v/>
      </c>
      <c r="E1585" s="5" t="inlineStr"/>
      <c r="F1585" s="5" t="inlineStr"/>
      <c r="G1585" s="8">
        <f>IF($B1585="","",VLOOKUP($B1585,Jogos!$A$2:$K$105,9,FALSE))</f>
        <v/>
      </c>
      <c r="H1585" s="8">
        <f>IF($B1585="","",VLOOKUP($B1585,Jogos!$A$2:$K$105,11,FALSE))</f>
        <v/>
      </c>
      <c r="I1585" s="5">
        <f>IF(OR($A1585="", $B1585="", $E1585="", $F1585="", $G1585="", $H1585=""), "",IF(AND($E1585=$G1585, $F1585=$H1585), 3, IF(SIGN($E1585-$F1585)=SIGN($G1585-$H1585), 1, 0))))</f>
        <v/>
      </c>
    </row>
    <row r="1586">
      <c r="A1586" s="5" t="inlineStr"/>
      <c r="B1586" s="5" t="inlineStr"/>
      <c r="C1586" s="5">
        <f>IF($B1586="","",VLOOKUP($B1586,Jogos!$A$2:$K$105,8,FALSE))</f>
        <v/>
      </c>
      <c r="D1586" s="5">
        <f>IF($B1586="","",VLOOKUP($B1586,Jogos!$A$2:$K$105,10,FALSE))</f>
        <v/>
      </c>
      <c r="E1586" s="5" t="inlineStr"/>
      <c r="F1586" s="5" t="inlineStr"/>
      <c r="G1586" s="8">
        <f>IF($B1586="","",VLOOKUP($B1586,Jogos!$A$2:$K$105,9,FALSE))</f>
        <v/>
      </c>
      <c r="H1586" s="8">
        <f>IF($B1586="","",VLOOKUP($B1586,Jogos!$A$2:$K$105,11,FALSE))</f>
        <v/>
      </c>
      <c r="I1586" s="5">
        <f>IF(OR($A1586="", $B1586="", $E1586="", $F1586="", $G1586="", $H1586=""), "",IF(AND($E1586=$G1586, $F1586=$H1586), 3, IF(SIGN($E1586-$F1586)=SIGN($G1586-$H1586), 1, 0))))</f>
        <v/>
      </c>
    </row>
    <row r="1587">
      <c r="A1587" s="5" t="inlineStr"/>
      <c r="B1587" s="5" t="inlineStr"/>
      <c r="C1587" s="5">
        <f>IF($B1587="","",VLOOKUP($B1587,Jogos!$A$2:$K$105,8,FALSE))</f>
        <v/>
      </c>
      <c r="D1587" s="5">
        <f>IF($B1587="","",VLOOKUP($B1587,Jogos!$A$2:$K$105,10,FALSE))</f>
        <v/>
      </c>
      <c r="E1587" s="5" t="inlineStr"/>
      <c r="F1587" s="5" t="inlineStr"/>
      <c r="G1587" s="8">
        <f>IF($B1587="","",VLOOKUP($B1587,Jogos!$A$2:$K$105,9,FALSE))</f>
        <v/>
      </c>
      <c r="H1587" s="8">
        <f>IF($B1587="","",VLOOKUP($B1587,Jogos!$A$2:$K$105,11,FALSE))</f>
        <v/>
      </c>
      <c r="I1587" s="5">
        <f>IF(OR($A1587="", $B1587="", $E1587="", $F1587="", $G1587="", $H1587=""), "",IF(AND($E1587=$G1587, $F1587=$H1587), 3, IF(SIGN($E1587-$F1587)=SIGN($G1587-$H1587), 1, 0))))</f>
        <v/>
      </c>
    </row>
    <row r="1588">
      <c r="A1588" s="5" t="inlineStr"/>
      <c r="B1588" s="5" t="inlineStr"/>
      <c r="C1588" s="5">
        <f>IF($B1588="","",VLOOKUP($B1588,Jogos!$A$2:$K$105,8,FALSE))</f>
        <v/>
      </c>
      <c r="D1588" s="5">
        <f>IF($B1588="","",VLOOKUP($B1588,Jogos!$A$2:$K$105,10,FALSE))</f>
        <v/>
      </c>
      <c r="E1588" s="5" t="inlineStr"/>
      <c r="F1588" s="5" t="inlineStr"/>
      <c r="G1588" s="8">
        <f>IF($B1588="","",VLOOKUP($B1588,Jogos!$A$2:$K$105,9,FALSE))</f>
        <v/>
      </c>
      <c r="H1588" s="8">
        <f>IF($B1588="","",VLOOKUP($B1588,Jogos!$A$2:$K$105,11,FALSE))</f>
        <v/>
      </c>
      <c r="I1588" s="5">
        <f>IF(OR($A1588="", $B1588="", $E1588="", $F1588="", $G1588="", $H1588=""), "",IF(AND($E1588=$G1588, $F1588=$H1588), 3, IF(SIGN($E1588-$F1588)=SIGN($G1588-$H1588), 1, 0))))</f>
        <v/>
      </c>
    </row>
    <row r="1589">
      <c r="A1589" s="5" t="inlineStr"/>
      <c r="B1589" s="5" t="inlineStr"/>
      <c r="C1589" s="5">
        <f>IF($B1589="","",VLOOKUP($B1589,Jogos!$A$2:$K$105,8,FALSE))</f>
        <v/>
      </c>
      <c r="D1589" s="5">
        <f>IF($B1589="","",VLOOKUP($B1589,Jogos!$A$2:$K$105,10,FALSE))</f>
        <v/>
      </c>
      <c r="E1589" s="5" t="inlineStr"/>
      <c r="F1589" s="5" t="inlineStr"/>
      <c r="G1589" s="8">
        <f>IF($B1589="","",VLOOKUP($B1589,Jogos!$A$2:$K$105,9,FALSE))</f>
        <v/>
      </c>
      <c r="H1589" s="8">
        <f>IF($B1589="","",VLOOKUP($B1589,Jogos!$A$2:$K$105,11,FALSE))</f>
        <v/>
      </c>
      <c r="I1589" s="5">
        <f>IF(OR($A1589="", $B1589="", $E1589="", $F1589="", $G1589="", $H1589=""), "",IF(AND($E1589=$G1589, $F1589=$H1589), 3, IF(SIGN($E1589-$F1589)=SIGN($G1589-$H1589), 1, 0))))</f>
        <v/>
      </c>
    </row>
    <row r="1590">
      <c r="A1590" s="5" t="inlineStr"/>
      <c r="B1590" s="5" t="inlineStr"/>
      <c r="C1590" s="5">
        <f>IF($B1590="","",VLOOKUP($B1590,Jogos!$A$2:$K$105,8,FALSE))</f>
        <v/>
      </c>
      <c r="D1590" s="5">
        <f>IF($B1590="","",VLOOKUP($B1590,Jogos!$A$2:$K$105,10,FALSE))</f>
        <v/>
      </c>
      <c r="E1590" s="5" t="inlineStr"/>
      <c r="F1590" s="5" t="inlineStr"/>
      <c r="G1590" s="8">
        <f>IF($B1590="","",VLOOKUP($B1590,Jogos!$A$2:$K$105,9,FALSE))</f>
        <v/>
      </c>
      <c r="H1590" s="8">
        <f>IF($B1590="","",VLOOKUP($B1590,Jogos!$A$2:$K$105,11,FALSE))</f>
        <v/>
      </c>
      <c r="I1590" s="5">
        <f>IF(OR($A1590="", $B1590="", $E1590="", $F1590="", $G1590="", $H1590=""), "",IF(AND($E1590=$G1590, $F1590=$H1590), 3, IF(SIGN($E1590-$F1590)=SIGN($G1590-$H1590), 1, 0))))</f>
        <v/>
      </c>
    </row>
    <row r="1591">
      <c r="A1591" s="5" t="inlineStr"/>
      <c r="B1591" s="5" t="inlineStr"/>
      <c r="C1591" s="5">
        <f>IF($B1591="","",VLOOKUP($B1591,Jogos!$A$2:$K$105,8,FALSE))</f>
        <v/>
      </c>
      <c r="D1591" s="5">
        <f>IF($B1591="","",VLOOKUP($B1591,Jogos!$A$2:$K$105,10,FALSE))</f>
        <v/>
      </c>
      <c r="E1591" s="5" t="inlineStr"/>
      <c r="F1591" s="5" t="inlineStr"/>
      <c r="G1591" s="8">
        <f>IF($B1591="","",VLOOKUP($B1591,Jogos!$A$2:$K$105,9,FALSE))</f>
        <v/>
      </c>
      <c r="H1591" s="8">
        <f>IF($B1591="","",VLOOKUP($B1591,Jogos!$A$2:$K$105,11,FALSE))</f>
        <v/>
      </c>
      <c r="I1591" s="5">
        <f>IF(OR($A1591="", $B1591="", $E1591="", $F1591="", $G1591="", $H1591=""), "",IF(AND($E1591=$G1591, $F1591=$H1591), 3, IF(SIGN($E1591-$F1591)=SIGN($G1591-$H1591), 1, 0))))</f>
        <v/>
      </c>
    </row>
    <row r="1592">
      <c r="A1592" s="5" t="inlineStr"/>
      <c r="B1592" s="5" t="inlineStr"/>
      <c r="C1592" s="5">
        <f>IF($B1592="","",VLOOKUP($B1592,Jogos!$A$2:$K$105,8,FALSE))</f>
        <v/>
      </c>
      <c r="D1592" s="5">
        <f>IF($B1592="","",VLOOKUP($B1592,Jogos!$A$2:$K$105,10,FALSE))</f>
        <v/>
      </c>
      <c r="E1592" s="5" t="inlineStr"/>
      <c r="F1592" s="5" t="inlineStr"/>
      <c r="G1592" s="8">
        <f>IF($B1592="","",VLOOKUP($B1592,Jogos!$A$2:$K$105,9,FALSE))</f>
        <v/>
      </c>
      <c r="H1592" s="8">
        <f>IF($B1592="","",VLOOKUP($B1592,Jogos!$A$2:$K$105,11,FALSE))</f>
        <v/>
      </c>
      <c r="I1592" s="5">
        <f>IF(OR($A1592="", $B1592="", $E1592="", $F1592="", $G1592="", $H1592=""), "",IF(AND($E1592=$G1592, $F1592=$H1592), 3, IF(SIGN($E1592-$F1592)=SIGN($G1592-$H1592), 1, 0))))</f>
        <v/>
      </c>
    </row>
    <row r="1593">
      <c r="A1593" s="5" t="inlineStr"/>
      <c r="B1593" s="5" t="inlineStr"/>
      <c r="C1593" s="5">
        <f>IF($B1593="","",VLOOKUP($B1593,Jogos!$A$2:$K$105,8,FALSE))</f>
        <v/>
      </c>
      <c r="D1593" s="5">
        <f>IF($B1593="","",VLOOKUP($B1593,Jogos!$A$2:$K$105,10,FALSE))</f>
        <v/>
      </c>
      <c r="E1593" s="5" t="inlineStr"/>
      <c r="F1593" s="5" t="inlineStr"/>
      <c r="G1593" s="8">
        <f>IF($B1593="","",VLOOKUP($B1593,Jogos!$A$2:$K$105,9,FALSE))</f>
        <v/>
      </c>
      <c r="H1593" s="8">
        <f>IF($B1593="","",VLOOKUP($B1593,Jogos!$A$2:$K$105,11,FALSE))</f>
        <v/>
      </c>
      <c r="I1593" s="5">
        <f>IF(OR($A1593="", $B1593="", $E1593="", $F1593="", $G1593="", $H1593=""), "",IF(AND($E1593=$G1593, $F1593=$H1593), 3, IF(SIGN($E1593-$F1593)=SIGN($G1593-$H1593), 1, 0))))</f>
        <v/>
      </c>
    </row>
    <row r="1594">
      <c r="A1594" s="5" t="inlineStr"/>
      <c r="B1594" s="5" t="inlineStr"/>
      <c r="C1594" s="5">
        <f>IF($B1594="","",VLOOKUP($B1594,Jogos!$A$2:$K$105,8,FALSE))</f>
        <v/>
      </c>
      <c r="D1594" s="5">
        <f>IF($B1594="","",VLOOKUP($B1594,Jogos!$A$2:$K$105,10,FALSE))</f>
        <v/>
      </c>
      <c r="E1594" s="5" t="inlineStr"/>
      <c r="F1594" s="5" t="inlineStr"/>
      <c r="G1594" s="8">
        <f>IF($B1594="","",VLOOKUP($B1594,Jogos!$A$2:$K$105,9,FALSE))</f>
        <v/>
      </c>
      <c r="H1594" s="8">
        <f>IF($B1594="","",VLOOKUP($B1594,Jogos!$A$2:$K$105,11,FALSE))</f>
        <v/>
      </c>
      <c r="I1594" s="5">
        <f>IF(OR($A1594="", $B1594="", $E1594="", $F1594="", $G1594="", $H1594=""), "",IF(AND($E1594=$G1594, $F1594=$H1594), 3, IF(SIGN($E1594-$F1594)=SIGN($G1594-$H1594), 1, 0))))</f>
        <v/>
      </c>
    </row>
    <row r="1595">
      <c r="A1595" s="5" t="inlineStr"/>
      <c r="B1595" s="5" t="inlineStr"/>
      <c r="C1595" s="5">
        <f>IF($B1595="","",VLOOKUP($B1595,Jogos!$A$2:$K$105,8,FALSE))</f>
        <v/>
      </c>
      <c r="D1595" s="5">
        <f>IF($B1595="","",VLOOKUP($B1595,Jogos!$A$2:$K$105,10,FALSE))</f>
        <v/>
      </c>
      <c r="E1595" s="5" t="inlineStr"/>
      <c r="F1595" s="5" t="inlineStr"/>
      <c r="G1595" s="8">
        <f>IF($B1595="","",VLOOKUP($B1595,Jogos!$A$2:$K$105,9,FALSE))</f>
        <v/>
      </c>
      <c r="H1595" s="8">
        <f>IF($B1595="","",VLOOKUP($B1595,Jogos!$A$2:$K$105,11,FALSE))</f>
        <v/>
      </c>
      <c r="I1595" s="5">
        <f>IF(OR($A1595="", $B1595="", $E1595="", $F1595="", $G1595="", $H1595=""), "",IF(AND($E1595=$G1595, $F1595=$H1595), 3, IF(SIGN($E1595-$F1595)=SIGN($G1595-$H1595), 1, 0))))</f>
        <v/>
      </c>
    </row>
    <row r="1596">
      <c r="A1596" s="5" t="inlineStr"/>
      <c r="B1596" s="5" t="inlineStr"/>
      <c r="C1596" s="5">
        <f>IF($B1596="","",VLOOKUP($B1596,Jogos!$A$2:$K$105,8,FALSE))</f>
        <v/>
      </c>
      <c r="D1596" s="5">
        <f>IF($B1596="","",VLOOKUP($B1596,Jogos!$A$2:$K$105,10,FALSE))</f>
        <v/>
      </c>
      <c r="E1596" s="5" t="inlineStr"/>
      <c r="F1596" s="5" t="inlineStr"/>
      <c r="G1596" s="8">
        <f>IF($B1596="","",VLOOKUP($B1596,Jogos!$A$2:$K$105,9,FALSE))</f>
        <v/>
      </c>
      <c r="H1596" s="8">
        <f>IF($B1596="","",VLOOKUP($B1596,Jogos!$A$2:$K$105,11,FALSE))</f>
        <v/>
      </c>
      <c r="I1596" s="5">
        <f>IF(OR($A1596="", $B1596="", $E1596="", $F1596="", $G1596="", $H1596=""), "",IF(AND($E1596=$G1596, $F1596=$H1596), 3, IF(SIGN($E1596-$F1596)=SIGN($G1596-$H1596), 1, 0))))</f>
        <v/>
      </c>
    </row>
    <row r="1597">
      <c r="A1597" s="5" t="inlineStr"/>
      <c r="B1597" s="5" t="inlineStr"/>
      <c r="C1597" s="5">
        <f>IF($B1597="","",VLOOKUP($B1597,Jogos!$A$2:$K$105,8,FALSE))</f>
        <v/>
      </c>
      <c r="D1597" s="5">
        <f>IF($B1597="","",VLOOKUP($B1597,Jogos!$A$2:$K$105,10,FALSE))</f>
        <v/>
      </c>
      <c r="E1597" s="5" t="inlineStr"/>
      <c r="F1597" s="5" t="inlineStr"/>
      <c r="G1597" s="8">
        <f>IF($B1597="","",VLOOKUP($B1597,Jogos!$A$2:$K$105,9,FALSE))</f>
        <v/>
      </c>
      <c r="H1597" s="8">
        <f>IF($B1597="","",VLOOKUP($B1597,Jogos!$A$2:$K$105,11,FALSE))</f>
        <v/>
      </c>
      <c r="I1597" s="5">
        <f>IF(OR($A1597="", $B1597="", $E1597="", $F1597="", $G1597="", $H1597=""), "",IF(AND($E1597=$G1597, $F1597=$H1597), 3, IF(SIGN($E1597-$F1597)=SIGN($G1597-$H1597), 1, 0))))</f>
        <v/>
      </c>
    </row>
    <row r="1598">
      <c r="A1598" s="5" t="inlineStr"/>
      <c r="B1598" s="5" t="inlineStr"/>
      <c r="C1598" s="5">
        <f>IF($B1598="","",VLOOKUP($B1598,Jogos!$A$2:$K$105,8,FALSE))</f>
        <v/>
      </c>
      <c r="D1598" s="5">
        <f>IF($B1598="","",VLOOKUP($B1598,Jogos!$A$2:$K$105,10,FALSE))</f>
        <v/>
      </c>
      <c r="E1598" s="5" t="inlineStr"/>
      <c r="F1598" s="5" t="inlineStr"/>
      <c r="G1598" s="8">
        <f>IF($B1598="","",VLOOKUP($B1598,Jogos!$A$2:$K$105,9,FALSE))</f>
        <v/>
      </c>
      <c r="H1598" s="8">
        <f>IF($B1598="","",VLOOKUP($B1598,Jogos!$A$2:$K$105,11,FALSE))</f>
        <v/>
      </c>
      <c r="I1598" s="5">
        <f>IF(OR($A1598="", $B1598="", $E1598="", $F1598="", $G1598="", $H1598=""), "",IF(AND($E1598=$G1598, $F1598=$H1598), 3, IF(SIGN($E1598-$F1598)=SIGN($G1598-$H1598), 1, 0))))</f>
        <v/>
      </c>
    </row>
    <row r="1599">
      <c r="A1599" s="5" t="inlineStr"/>
      <c r="B1599" s="5" t="inlineStr"/>
      <c r="C1599" s="5">
        <f>IF($B1599="","",VLOOKUP($B1599,Jogos!$A$2:$K$105,8,FALSE))</f>
        <v/>
      </c>
      <c r="D1599" s="5">
        <f>IF($B1599="","",VLOOKUP($B1599,Jogos!$A$2:$K$105,10,FALSE))</f>
        <v/>
      </c>
      <c r="E1599" s="5" t="inlineStr"/>
      <c r="F1599" s="5" t="inlineStr"/>
      <c r="G1599" s="8">
        <f>IF($B1599="","",VLOOKUP($B1599,Jogos!$A$2:$K$105,9,FALSE))</f>
        <v/>
      </c>
      <c r="H1599" s="8">
        <f>IF($B1599="","",VLOOKUP($B1599,Jogos!$A$2:$K$105,11,FALSE))</f>
        <v/>
      </c>
      <c r="I1599" s="5">
        <f>IF(OR($A1599="", $B1599="", $E1599="", $F1599="", $G1599="", $H1599=""), "",IF(AND($E1599=$G1599, $F1599=$H1599), 3, IF(SIGN($E1599-$F1599)=SIGN($G1599-$H1599), 1, 0))))</f>
        <v/>
      </c>
    </row>
    <row r="1600">
      <c r="A1600" s="5" t="inlineStr"/>
      <c r="B1600" s="5" t="inlineStr"/>
      <c r="C1600" s="5">
        <f>IF($B1600="","",VLOOKUP($B1600,Jogos!$A$2:$K$105,8,FALSE))</f>
        <v/>
      </c>
      <c r="D1600" s="5">
        <f>IF($B1600="","",VLOOKUP($B1600,Jogos!$A$2:$K$105,10,FALSE))</f>
        <v/>
      </c>
      <c r="E1600" s="5" t="inlineStr"/>
      <c r="F1600" s="5" t="inlineStr"/>
      <c r="G1600" s="8">
        <f>IF($B1600="","",VLOOKUP($B1600,Jogos!$A$2:$K$105,9,FALSE))</f>
        <v/>
      </c>
      <c r="H1600" s="8">
        <f>IF($B1600="","",VLOOKUP($B1600,Jogos!$A$2:$K$105,11,FALSE))</f>
        <v/>
      </c>
      <c r="I1600" s="5">
        <f>IF(OR($A1600="", $B1600="", $E1600="", $F1600="", $G1600="", $H1600=""), "",IF(AND($E1600=$G1600, $F1600=$H1600), 3, IF(SIGN($E1600-$F1600)=SIGN($G1600-$H1600), 1, 0))))</f>
        <v/>
      </c>
    </row>
    <row r="1601">
      <c r="A1601" s="5" t="inlineStr"/>
      <c r="B1601" s="5" t="inlineStr"/>
      <c r="C1601" s="5">
        <f>IF($B1601="","",VLOOKUP($B1601,Jogos!$A$2:$K$105,8,FALSE))</f>
        <v/>
      </c>
      <c r="D1601" s="5">
        <f>IF($B1601="","",VLOOKUP($B1601,Jogos!$A$2:$K$105,10,FALSE))</f>
        <v/>
      </c>
      <c r="E1601" s="5" t="inlineStr"/>
      <c r="F1601" s="5" t="inlineStr"/>
      <c r="G1601" s="8">
        <f>IF($B1601="","",VLOOKUP($B1601,Jogos!$A$2:$K$105,9,FALSE))</f>
        <v/>
      </c>
      <c r="H1601" s="8">
        <f>IF($B1601="","",VLOOKUP($B1601,Jogos!$A$2:$K$105,11,FALSE))</f>
        <v/>
      </c>
      <c r="I1601" s="5">
        <f>IF(OR($A1601="", $B1601="", $E1601="", $F1601="", $G1601="", $H1601=""), "",IF(AND($E1601=$G1601, $F1601=$H1601), 3, IF(SIGN($E1601-$F1601)=SIGN($G1601-$H1601), 1, 0))))</f>
        <v/>
      </c>
    </row>
    <row r="1602">
      <c r="A1602" s="5" t="inlineStr"/>
      <c r="B1602" s="5" t="inlineStr"/>
      <c r="C1602" s="5">
        <f>IF($B1602="","",VLOOKUP($B1602,Jogos!$A$2:$K$105,8,FALSE))</f>
        <v/>
      </c>
      <c r="D1602" s="5">
        <f>IF($B1602="","",VLOOKUP($B1602,Jogos!$A$2:$K$105,10,FALSE))</f>
        <v/>
      </c>
      <c r="E1602" s="5" t="inlineStr"/>
      <c r="F1602" s="5" t="inlineStr"/>
      <c r="G1602" s="8">
        <f>IF($B1602="","",VLOOKUP($B1602,Jogos!$A$2:$K$105,9,FALSE))</f>
        <v/>
      </c>
      <c r="H1602" s="8">
        <f>IF($B1602="","",VLOOKUP($B1602,Jogos!$A$2:$K$105,11,FALSE))</f>
        <v/>
      </c>
      <c r="I1602" s="5">
        <f>IF(OR($A1602="", $B1602="", $E1602="", $F1602="", $G1602="", $H1602=""), "",IF(AND($E1602=$G1602, $F1602=$H1602), 3, IF(SIGN($E1602-$F1602)=SIGN($G1602-$H1602), 1, 0))))</f>
        <v/>
      </c>
    </row>
    <row r="1603">
      <c r="A1603" s="5" t="inlineStr"/>
      <c r="B1603" s="5" t="inlineStr"/>
      <c r="C1603" s="5">
        <f>IF($B1603="","",VLOOKUP($B1603,Jogos!$A$2:$K$105,8,FALSE))</f>
        <v/>
      </c>
      <c r="D1603" s="5">
        <f>IF($B1603="","",VLOOKUP($B1603,Jogos!$A$2:$K$105,10,FALSE))</f>
        <v/>
      </c>
      <c r="E1603" s="5" t="inlineStr"/>
      <c r="F1603" s="5" t="inlineStr"/>
      <c r="G1603" s="8">
        <f>IF($B1603="","",VLOOKUP($B1603,Jogos!$A$2:$K$105,9,FALSE))</f>
        <v/>
      </c>
      <c r="H1603" s="8">
        <f>IF($B1603="","",VLOOKUP($B1603,Jogos!$A$2:$K$105,11,FALSE))</f>
        <v/>
      </c>
      <c r="I1603" s="5">
        <f>IF(OR($A1603="", $B1603="", $E1603="", $F1603="", $G1603="", $H1603=""), "",IF(AND($E1603=$G1603, $F1603=$H1603), 3, IF(SIGN($E1603-$F1603)=SIGN($G1603-$H1603), 1, 0))))</f>
        <v/>
      </c>
    </row>
    <row r="1604">
      <c r="A1604" s="5" t="inlineStr"/>
      <c r="B1604" s="5" t="inlineStr"/>
      <c r="C1604" s="5">
        <f>IF($B1604="","",VLOOKUP($B1604,Jogos!$A$2:$K$105,8,FALSE))</f>
        <v/>
      </c>
      <c r="D1604" s="5">
        <f>IF($B1604="","",VLOOKUP($B1604,Jogos!$A$2:$K$105,10,FALSE))</f>
        <v/>
      </c>
      <c r="E1604" s="5" t="inlineStr"/>
      <c r="F1604" s="5" t="inlineStr"/>
      <c r="G1604" s="8">
        <f>IF($B1604="","",VLOOKUP($B1604,Jogos!$A$2:$K$105,9,FALSE))</f>
        <v/>
      </c>
      <c r="H1604" s="8">
        <f>IF($B1604="","",VLOOKUP($B1604,Jogos!$A$2:$K$105,11,FALSE))</f>
        <v/>
      </c>
      <c r="I1604" s="5">
        <f>IF(OR($A1604="", $B1604="", $E1604="", $F1604="", $G1604="", $H1604=""), "",IF(AND($E1604=$G1604, $F1604=$H1604), 3, IF(SIGN($E1604-$F1604)=SIGN($G1604-$H1604), 1, 0))))</f>
        <v/>
      </c>
    </row>
    <row r="1605">
      <c r="A1605" s="5" t="inlineStr"/>
      <c r="B1605" s="5" t="inlineStr"/>
      <c r="C1605" s="5">
        <f>IF($B1605="","",VLOOKUP($B1605,Jogos!$A$2:$K$105,8,FALSE))</f>
        <v/>
      </c>
      <c r="D1605" s="5">
        <f>IF($B1605="","",VLOOKUP($B1605,Jogos!$A$2:$K$105,10,FALSE))</f>
        <v/>
      </c>
      <c r="E1605" s="5" t="inlineStr"/>
      <c r="F1605" s="5" t="inlineStr"/>
      <c r="G1605" s="8">
        <f>IF($B1605="","",VLOOKUP($B1605,Jogos!$A$2:$K$105,9,FALSE))</f>
        <v/>
      </c>
      <c r="H1605" s="8">
        <f>IF($B1605="","",VLOOKUP($B1605,Jogos!$A$2:$K$105,11,FALSE))</f>
        <v/>
      </c>
      <c r="I1605" s="5">
        <f>IF(OR($A1605="", $B1605="", $E1605="", $F1605="", $G1605="", $H1605=""), "",IF(AND($E1605=$G1605, $F1605=$H1605), 3, IF(SIGN($E1605-$F1605)=SIGN($G1605-$H1605), 1, 0))))</f>
        <v/>
      </c>
    </row>
    <row r="1606">
      <c r="A1606" s="5" t="inlineStr"/>
      <c r="B1606" s="5" t="inlineStr"/>
      <c r="C1606" s="5">
        <f>IF($B1606="","",VLOOKUP($B1606,Jogos!$A$2:$K$105,8,FALSE))</f>
        <v/>
      </c>
      <c r="D1606" s="5">
        <f>IF($B1606="","",VLOOKUP($B1606,Jogos!$A$2:$K$105,10,FALSE))</f>
        <v/>
      </c>
      <c r="E1606" s="5" t="inlineStr"/>
      <c r="F1606" s="5" t="inlineStr"/>
      <c r="G1606" s="8">
        <f>IF($B1606="","",VLOOKUP($B1606,Jogos!$A$2:$K$105,9,FALSE))</f>
        <v/>
      </c>
      <c r="H1606" s="8">
        <f>IF($B1606="","",VLOOKUP($B1606,Jogos!$A$2:$K$105,11,FALSE))</f>
        <v/>
      </c>
      <c r="I1606" s="5">
        <f>IF(OR($A1606="", $B1606="", $E1606="", $F1606="", $G1606="", $H1606=""), "",IF(AND($E1606=$G1606, $F1606=$H1606), 3, IF(SIGN($E1606-$F1606)=SIGN($G1606-$H1606), 1, 0))))</f>
        <v/>
      </c>
    </row>
    <row r="1607">
      <c r="A1607" s="5" t="inlineStr"/>
      <c r="B1607" s="5" t="inlineStr"/>
      <c r="C1607" s="5">
        <f>IF($B1607="","",VLOOKUP($B1607,Jogos!$A$2:$K$105,8,FALSE))</f>
        <v/>
      </c>
      <c r="D1607" s="5">
        <f>IF($B1607="","",VLOOKUP($B1607,Jogos!$A$2:$K$105,10,FALSE))</f>
        <v/>
      </c>
      <c r="E1607" s="5" t="inlineStr"/>
      <c r="F1607" s="5" t="inlineStr"/>
      <c r="G1607" s="8">
        <f>IF($B1607="","",VLOOKUP($B1607,Jogos!$A$2:$K$105,9,FALSE))</f>
        <v/>
      </c>
      <c r="H1607" s="8">
        <f>IF($B1607="","",VLOOKUP($B1607,Jogos!$A$2:$K$105,11,FALSE))</f>
        <v/>
      </c>
      <c r="I1607" s="5">
        <f>IF(OR($A1607="", $B1607="", $E1607="", $F1607="", $G1607="", $H1607=""), "",IF(AND($E1607=$G1607, $F1607=$H1607), 3, IF(SIGN($E1607-$F1607)=SIGN($G1607-$H1607), 1, 0))))</f>
        <v/>
      </c>
    </row>
    <row r="1608">
      <c r="A1608" s="5" t="inlineStr"/>
      <c r="B1608" s="5" t="inlineStr"/>
      <c r="C1608" s="5">
        <f>IF($B1608="","",VLOOKUP($B1608,Jogos!$A$2:$K$105,8,FALSE))</f>
        <v/>
      </c>
      <c r="D1608" s="5">
        <f>IF($B1608="","",VLOOKUP($B1608,Jogos!$A$2:$K$105,10,FALSE))</f>
        <v/>
      </c>
      <c r="E1608" s="5" t="inlineStr"/>
      <c r="F1608" s="5" t="inlineStr"/>
      <c r="G1608" s="8">
        <f>IF($B1608="","",VLOOKUP($B1608,Jogos!$A$2:$K$105,9,FALSE))</f>
        <v/>
      </c>
      <c r="H1608" s="8">
        <f>IF($B1608="","",VLOOKUP($B1608,Jogos!$A$2:$K$105,11,FALSE))</f>
        <v/>
      </c>
      <c r="I1608" s="5">
        <f>IF(OR($A1608="", $B1608="", $E1608="", $F1608="", $G1608="", $H1608=""), "",IF(AND($E1608=$G1608, $F1608=$H1608), 3, IF(SIGN($E1608-$F1608)=SIGN($G1608-$H1608), 1, 0))))</f>
        <v/>
      </c>
    </row>
    <row r="1609">
      <c r="A1609" s="5" t="inlineStr"/>
      <c r="B1609" s="5" t="inlineStr"/>
      <c r="C1609" s="5">
        <f>IF($B1609="","",VLOOKUP($B1609,Jogos!$A$2:$K$105,8,FALSE))</f>
        <v/>
      </c>
      <c r="D1609" s="5">
        <f>IF($B1609="","",VLOOKUP($B1609,Jogos!$A$2:$K$105,10,FALSE))</f>
        <v/>
      </c>
      <c r="E1609" s="5" t="inlineStr"/>
      <c r="F1609" s="5" t="inlineStr"/>
      <c r="G1609" s="8">
        <f>IF($B1609="","",VLOOKUP($B1609,Jogos!$A$2:$K$105,9,FALSE))</f>
        <v/>
      </c>
      <c r="H1609" s="8">
        <f>IF($B1609="","",VLOOKUP($B1609,Jogos!$A$2:$K$105,11,FALSE))</f>
        <v/>
      </c>
      <c r="I1609" s="5">
        <f>IF(OR($A1609="", $B1609="", $E1609="", $F1609="", $G1609="", $H1609=""), "",IF(AND($E1609=$G1609, $F1609=$H1609), 3, IF(SIGN($E1609-$F1609)=SIGN($G1609-$H1609), 1, 0))))</f>
        <v/>
      </c>
    </row>
    <row r="1610">
      <c r="A1610" s="5" t="inlineStr"/>
      <c r="B1610" s="5" t="inlineStr"/>
      <c r="C1610" s="5">
        <f>IF($B1610="","",VLOOKUP($B1610,Jogos!$A$2:$K$105,8,FALSE))</f>
        <v/>
      </c>
      <c r="D1610" s="5">
        <f>IF($B1610="","",VLOOKUP($B1610,Jogos!$A$2:$K$105,10,FALSE))</f>
        <v/>
      </c>
      <c r="E1610" s="5" t="inlineStr"/>
      <c r="F1610" s="5" t="inlineStr"/>
      <c r="G1610" s="8">
        <f>IF($B1610="","",VLOOKUP($B1610,Jogos!$A$2:$K$105,9,FALSE))</f>
        <v/>
      </c>
      <c r="H1610" s="8">
        <f>IF($B1610="","",VLOOKUP($B1610,Jogos!$A$2:$K$105,11,FALSE))</f>
        <v/>
      </c>
      <c r="I1610" s="5">
        <f>IF(OR($A1610="", $B1610="", $E1610="", $F1610="", $G1610="", $H1610=""), "",IF(AND($E1610=$G1610, $F1610=$H1610), 3, IF(SIGN($E1610-$F1610)=SIGN($G1610-$H1610), 1, 0))))</f>
        <v/>
      </c>
    </row>
    <row r="1611">
      <c r="A1611" s="5" t="inlineStr"/>
      <c r="B1611" s="5" t="inlineStr"/>
      <c r="C1611" s="5">
        <f>IF($B1611="","",VLOOKUP($B1611,Jogos!$A$2:$K$105,8,FALSE))</f>
        <v/>
      </c>
      <c r="D1611" s="5">
        <f>IF($B1611="","",VLOOKUP($B1611,Jogos!$A$2:$K$105,10,FALSE))</f>
        <v/>
      </c>
      <c r="E1611" s="5" t="inlineStr"/>
      <c r="F1611" s="5" t="inlineStr"/>
      <c r="G1611" s="8">
        <f>IF($B1611="","",VLOOKUP($B1611,Jogos!$A$2:$K$105,9,FALSE))</f>
        <v/>
      </c>
      <c r="H1611" s="8">
        <f>IF($B1611="","",VLOOKUP($B1611,Jogos!$A$2:$K$105,11,FALSE))</f>
        <v/>
      </c>
      <c r="I1611" s="5">
        <f>IF(OR($A1611="", $B1611="", $E1611="", $F1611="", $G1611="", $H1611=""), "",IF(AND($E1611=$G1611, $F1611=$H1611), 3, IF(SIGN($E1611-$F1611)=SIGN($G1611-$H1611), 1, 0))))</f>
        <v/>
      </c>
    </row>
    <row r="1612">
      <c r="A1612" s="5" t="inlineStr"/>
      <c r="B1612" s="5" t="inlineStr"/>
      <c r="C1612" s="5">
        <f>IF($B1612="","",VLOOKUP($B1612,Jogos!$A$2:$K$105,8,FALSE))</f>
        <v/>
      </c>
      <c r="D1612" s="5">
        <f>IF($B1612="","",VLOOKUP($B1612,Jogos!$A$2:$K$105,10,FALSE))</f>
        <v/>
      </c>
      <c r="E1612" s="5" t="inlineStr"/>
      <c r="F1612" s="5" t="inlineStr"/>
      <c r="G1612" s="8">
        <f>IF($B1612="","",VLOOKUP($B1612,Jogos!$A$2:$K$105,9,FALSE))</f>
        <v/>
      </c>
      <c r="H1612" s="8">
        <f>IF($B1612="","",VLOOKUP($B1612,Jogos!$A$2:$K$105,11,FALSE))</f>
        <v/>
      </c>
      <c r="I1612" s="5">
        <f>IF(OR($A1612="", $B1612="", $E1612="", $F1612="", $G1612="", $H1612=""), "",IF(AND($E1612=$G1612, $F1612=$H1612), 3, IF(SIGN($E1612-$F1612)=SIGN($G1612-$H1612), 1, 0))))</f>
        <v/>
      </c>
    </row>
    <row r="1613">
      <c r="A1613" s="5" t="inlineStr"/>
      <c r="B1613" s="5" t="inlineStr"/>
      <c r="C1613" s="5">
        <f>IF($B1613="","",VLOOKUP($B1613,Jogos!$A$2:$K$105,8,FALSE))</f>
        <v/>
      </c>
      <c r="D1613" s="5">
        <f>IF($B1613="","",VLOOKUP($B1613,Jogos!$A$2:$K$105,10,FALSE))</f>
        <v/>
      </c>
      <c r="E1613" s="5" t="inlineStr"/>
      <c r="F1613" s="5" t="inlineStr"/>
      <c r="G1613" s="8">
        <f>IF($B1613="","",VLOOKUP($B1613,Jogos!$A$2:$K$105,9,FALSE))</f>
        <v/>
      </c>
      <c r="H1613" s="8">
        <f>IF($B1613="","",VLOOKUP($B1613,Jogos!$A$2:$K$105,11,FALSE))</f>
        <v/>
      </c>
      <c r="I1613" s="5">
        <f>IF(OR($A1613="", $B1613="", $E1613="", $F1613="", $G1613="", $H1613=""), "",IF(AND($E1613=$G1613, $F1613=$H1613), 3, IF(SIGN($E1613-$F1613)=SIGN($G1613-$H1613), 1, 0))))</f>
        <v/>
      </c>
    </row>
    <row r="1614">
      <c r="A1614" s="5" t="inlineStr"/>
      <c r="B1614" s="5" t="inlineStr"/>
      <c r="C1614" s="5">
        <f>IF($B1614="","",VLOOKUP($B1614,Jogos!$A$2:$K$105,8,FALSE))</f>
        <v/>
      </c>
      <c r="D1614" s="5">
        <f>IF($B1614="","",VLOOKUP($B1614,Jogos!$A$2:$K$105,10,FALSE))</f>
        <v/>
      </c>
      <c r="E1614" s="5" t="inlineStr"/>
      <c r="F1614" s="5" t="inlineStr"/>
      <c r="G1614" s="8">
        <f>IF($B1614="","",VLOOKUP($B1614,Jogos!$A$2:$K$105,9,FALSE))</f>
        <v/>
      </c>
      <c r="H1614" s="8">
        <f>IF($B1614="","",VLOOKUP($B1614,Jogos!$A$2:$K$105,11,FALSE))</f>
        <v/>
      </c>
      <c r="I1614" s="5">
        <f>IF(OR($A1614="", $B1614="", $E1614="", $F1614="", $G1614="", $H1614=""), "",IF(AND($E1614=$G1614, $F1614=$H1614), 3, IF(SIGN($E1614-$F1614)=SIGN($G1614-$H1614), 1, 0))))</f>
        <v/>
      </c>
    </row>
    <row r="1615">
      <c r="A1615" s="5" t="inlineStr"/>
      <c r="B1615" s="5" t="inlineStr"/>
      <c r="C1615" s="5">
        <f>IF($B1615="","",VLOOKUP($B1615,Jogos!$A$2:$K$105,8,FALSE))</f>
        <v/>
      </c>
      <c r="D1615" s="5">
        <f>IF($B1615="","",VLOOKUP($B1615,Jogos!$A$2:$K$105,10,FALSE))</f>
        <v/>
      </c>
      <c r="E1615" s="5" t="inlineStr"/>
      <c r="F1615" s="5" t="inlineStr"/>
      <c r="G1615" s="8">
        <f>IF($B1615="","",VLOOKUP($B1615,Jogos!$A$2:$K$105,9,FALSE))</f>
        <v/>
      </c>
      <c r="H1615" s="8">
        <f>IF($B1615="","",VLOOKUP($B1615,Jogos!$A$2:$K$105,11,FALSE))</f>
        <v/>
      </c>
      <c r="I1615" s="5">
        <f>IF(OR($A1615="", $B1615="", $E1615="", $F1615="", $G1615="", $H1615=""), "",IF(AND($E1615=$G1615, $F1615=$H1615), 3, IF(SIGN($E1615-$F1615)=SIGN($G1615-$H1615), 1, 0))))</f>
        <v/>
      </c>
    </row>
    <row r="1616">
      <c r="A1616" s="5" t="inlineStr"/>
      <c r="B1616" s="5" t="inlineStr"/>
      <c r="C1616" s="5">
        <f>IF($B1616="","",VLOOKUP($B1616,Jogos!$A$2:$K$105,8,FALSE))</f>
        <v/>
      </c>
      <c r="D1616" s="5">
        <f>IF($B1616="","",VLOOKUP($B1616,Jogos!$A$2:$K$105,10,FALSE))</f>
        <v/>
      </c>
      <c r="E1616" s="5" t="inlineStr"/>
      <c r="F1616" s="5" t="inlineStr"/>
      <c r="G1616" s="8">
        <f>IF($B1616="","",VLOOKUP($B1616,Jogos!$A$2:$K$105,9,FALSE))</f>
        <v/>
      </c>
      <c r="H1616" s="8">
        <f>IF($B1616="","",VLOOKUP($B1616,Jogos!$A$2:$K$105,11,FALSE))</f>
        <v/>
      </c>
      <c r="I1616" s="5">
        <f>IF(OR($A1616="", $B1616="", $E1616="", $F1616="", $G1616="", $H1616=""), "",IF(AND($E1616=$G1616, $F1616=$H1616), 3, IF(SIGN($E1616-$F1616)=SIGN($G1616-$H1616), 1, 0))))</f>
        <v/>
      </c>
    </row>
    <row r="1617">
      <c r="A1617" s="5" t="inlineStr"/>
      <c r="B1617" s="5" t="inlineStr"/>
      <c r="C1617" s="5">
        <f>IF($B1617="","",VLOOKUP($B1617,Jogos!$A$2:$K$105,8,FALSE))</f>
        <v/>
      </c>
      <c r="D1617" s="5">
        <f>IF($B1617="","",VLOOKUP($B1617,Jogos!$A$2:$K$105,10,FALSE))</f>
        <v/>
      </c>
      <c r="E1617" s="5" t="inlineStr"/>
      <c r="F1617" s="5" t="inlineStr"/>
      <c r="G1617" s="8">
        <f>IF($B1617="","",VLOOKUP($B1617,Jogos!$A$2:$K$105,9,FALSE))</f>
        <v/>
      </c>
      <c r="H1617" s="8">
        <f>IF($B1617="","",VLOOKUP($B1617,Jogos!$A$2:$K$105,11,FALSE))</f>
        <v/>
      </c>
      <c r="I1617" s="5">
        <f>IF(OR($A1617="", $B1617="", $E1617="", $F1617="", $G1617="", $H1617=""), "",IF(AND($E1617=$G1617, $F1617=$H1617), 3, IF(SIGN($E1617-$F1617)=SIGN($G1617-$H1617), 1, 0))))</f>
        <v/>
      </c>
    </row>
    <row r="1618">
      <c r="A1618" s="5" t="inlineStr"/>
      <c r="B1618" s="5" t="inlineStr"/>
      <c r="C1618" s="5">
        <f>IF($B1618="","",VLOOKUP($B1618,Jogos!$A$2:$K$105,8,FALSE))</f>
        <v/>
      </c>
      <c r="D1618" s="5">
        <f>IF($B1618="","",VLOOKUP($B1618,Jogos!$A$2:$K$105,10,FALSE))</f>
        <v/>
      </c>
      <c r="E1618" s="5" t="inlineStr"/>
      <c r="F1618" s="5" t="inlineStr"/>
      <c r="G1618" s="8">
        <f>IF($B1618="","",VLOOKUP($B1618,Jogos!$A$2:$K$105,9,FALSE))</f>
        <v/>
      </c>
      <c r="H1618" s="8">
        <f>IF($B1618="","",VLOOKUP($B1618,Jogos!$A$2:$K$105,11,FALSE))</f>
        <v/>
      </c>
      <c r="I1618" s="5">
        <f>IF(OR($A1618="", $B1618="", $E1618="", $F1618="", $G1618="", $H1618=""), "",IF(AND($E1618=$G1618, $F1618=$H1618), 3, IF(SIGN($E1618-$F1618)=SIGN($G1618-$H1618), 1, 0))))</f>
        <v/>
      </c>
    </row>
    <row r="1619">
      <c r="A1619" s="5" t="inlineStr"/>
      <c r="B1619" s="5" t="inlineStr"/>
      <c r="C1619" s="5">
        <f>IF($B1619="","",VLOOKUP($B1619,Jogos!$A$2:$K$105,8,FALSE))</f>
        <v/>
      </c>
      <c r="D1619" s="5">
        <f>IF($B1619="","",VLOOKUP($B1619,Jogos!$A$2:$K$105,10,FALSE))</f>
        <v/>
      </c>
      <c r="E1619" s="5" t="inlineStr"/>
      <c r="F1619" s="5" t="inlineStr"/>
      <c r="G1619" s="8">
        <f>IF($B1619="","",VLOOKUP($B1619,Jogos!$A$2:$K$105,9,FALSE))</f>
        <v/>
      </c>
      <c r="H1619" s="8">
        <f>IF($B1619="","",VLOOKUP($B1619,Jogos!$A$2:$K$105,11,FALSE))</f>
        <v/>
      </c>
      <c r="I1619" s="5">
        <f>IF(OR($A1619="", $B1619="", $E1619="", $F1619="", $G1619="", $H1619=""), "",IF(AND($E1619=$G1619, $F1619=$H1619), 3, IF(SIGN($E1619-$F1619)=SIGN($G1619-$H1619), 1, 0))))</f>
        <v/>
      </c>
    </row>
    <row r="1620">
      <c r="A1620" s="5" t="inlineStr"/>
      <c r="B1620" s="5" t="inlineStr"/>
      <c r="C1620" s="5">
        <f>IF($B1620="","",VLOOKUP($B1620,Jogos!$A$2:$K$105,8,FALSE))</f>
        <v/>
      </c>
      <c r="D1620" s="5">
        <f>IF($B1620="","",VLOOKUP($B1620,Jogos!$A$2:$K$105,10,FALSE))</f>
        <v/>
      </c>
      <c r="E1620" s="5" t="inlineStr"/>
      <c r="F1620" s="5" t="inlineStr"/>
      <c r="G1620" s="8">
        <f>IF($B1620="","",VLOOKUP($B1620,Jogos!$A$2:$K$105,9,FALSE))</f>
        <v/>
      </c>
      <c r="H1620" s="8">
        <f>IF($B1620="","",VLOOKUP($B1620,Jogos!$A$2:$K$105,11,FALSE))</f>
        <v/>
      </c>
      <c r="I1620" s="5">
        <f>IF(OR($A1620="", $B1620="", $E1620="", $F1620="", $G1620="", $H1620=""), "",IF(AND($E1620=$G1620, $F1620=$H1620), 3, IF(SIGN($E1620-$F1620)=SIGN($G1620-$H1620), 1, 0))))</f>
        <v/>
      </c>
    </row>
    <row r="1621">
      <c r="A1621" s="5" t="inlineStr"/>
      <c r="B1621" s="5" t="inlineStr"/>
      <c r="C1621" s="5">
        <f>IF($B1621="","",VLOOKUP($B1621,Jogos!$A$2:$K$105,8,FALSE))</f>
        <v/>
      </c>
      <c r="D1621" s="5">
        <f>IF($B1621="","",VLOOKUP($B1621,Jogos!$A$2:$K$105,10,FALSE))</f>
        <v/>
      </c>
      <c r="E1621" s="5" t="inlineStr"/>
      <c r="F1621" s="5" t="inlineStr"/>
      <c r="G1621" s="8">
        <f>IF($B1621="","",VLOOKUP($B1621,Jogos!$A$2:$K$105,9,FALSE))</f>
        <v/>
      </c>
      <c r="H1621" s="8">
        <f>IF($B1621="","",VLOOKUP($B1621,Jogos!$A$2:$K$105,11,FALSE))</f>
        <v/>
      </c>
      <c r="I1621" s="5">
        <f>IF(OR($A1621="", $B1621="", $E1621="", $F1621="", $G1621="", $H1621=""), "",IF(AND($E1621=$G1621, $F1621=$H1621), 3, IF(SIGN($E1621-$F1621)=SIGN($G1621-$H1621), 1, 0))))</f>
        <v/>
      </c>
    </row>
    <row r="1622">
      <c r="A1622" s="5" t="inlineStr"/>
      <c r="B1622" s="5" t="inlineStr"/>
      <c r="C1622" s="5">
        <f>IF($B1622="","",VLOOKUP($B1622,Jogos!$A$2:$K$105,8,FALSE))</f>
        <v/>
      </c>
      <c r="D1622" s="5">
        <f>IF($B1622="","",VLOOKUP($B1622,Jogos!$A$2:$K$105,10,FALSE))</f>
        <v/>
      </c>
      <c r="E1622" s="5" t="inlineStr"/>
      <c r="F1622" s="5" t="inlineStr"/>
      <c r="G1622" s="8">
        <f>IF($B1622="","",VLOOKUP($B1622,Jogos!$A$2:$K$105,9,FALSE))</f>
        <v/>
      </c>
      <c r="H1622" s="8">
        <f>IF($B1622="","",VLOOKUP($B1622,Jogos!$A$2:$K$105,11,FALSE))</f>
        <v/>
      </c>
      <c r="I1622" s="5">
        <f>IF(OR($A1622="", $B1622="", $E1622="", $F1622="", $G1622="", $H1622=""), "",IF(AND($E1622=$G1622, $F1622=$H1622), 3, IF(SIGN($E1622-$F1622)=SIGN($G1622-$H1622), 1, 0))))</f>
        <v/>
      </c>
    </row>
    <row r="1623">
      <c r="A1623" s="5" t="inlineStr"/>
      <c r="B1623" s="5" t="inlineStr"/>
      <c r="C1623" s="5">
        <f>IF($B1623="","",VLOOKUP($B1623,Jogos!$A$2:$K$105,8,FALSE))</f>
        <v/>
      </c>
      <c r="D1623" s="5">
        <f>IF($B1623="","",VLOOKUP($B1623,Jogos!$A$2:$K$105,10,FALSE))</f>
        <v/>
      </c>
      <c r="E1623" s="5" t="inlineStr"/>
      <c r="F1623" s="5" t="inlineStr"/>
      <c r="G1623" s="8">
        <f>IF($B1623="","",VLOOKUP($B1623,Jogos!$A$2:$K$105,9,FALSE))</f>
        <v/>
      </c>
      <c r="H1623" s="8">
        <f>IF($B1623="","",VLOOKUP($B1623,Jogos!$A$2:$K$105,11,FALSE))</f>
        <v/>
      </c>
      <c r="I1623" s="5">
        <f>IF(OR($A1623="", $B1623="", $E1623="", $F1623="", $G1623="", $H1623=""), "",IF(AND($E1623=$G1623, $F1623=$H1623), 3, IF(SIGN($E1623-$F1623)=SIGN($G1623-$H1623), 1, 0))))</f>
        <v/>
      </c>
    </row>
    <row r="1624">
      <c r="A1624" s="5" t="inlineStr"/>
      <c r="B1624" s="5" t="inlineStr"/>
      <c r="C1624" s="5">
        <f>IF($B1624="","",VLOOKUP($B1624,Jogos!$A$2:$K$105,8,FALSE))</f>
        <v/>
      </c>
      <c r="D1624" s="5">
        <f>IF($B1624="","",VLOOKUP($B1624,Jogos!$A$2:$K$105,10,FALSE))</f>
        <v/>
      </c>
      <c r="E1624" s="5" t="inlineStr"/>
      <c r="F1624" s="5" t="inlineStr"/>
      <c r="G1624" s="8">
        <f>IF($B1624="","",VLOOKUP($B1624,Jogos!$A$2:$K$105,9,FALSE))</f>
        <v/>
      </c>
      <c r="H1624" s="8">
        <f>IF($B1624="","",VLOOKUP($B1624,Jogos!$A$2:$K$105,11,FALSE))</f>
        <v/>
      </c>
      <c r="I1624" s="5">
        <f>IF(OR($A1624="", $B1624="", $E1624="", $F1624="", $G1624="", $H1624=""), "",IF(AND($E1624=$G1624, $F1624=$H1624), 3, IF(SIGN($E1624-$F1624)=SIGN($G1624-$H1624), 1, 0))))</f>
        <v/>
      </c>
    </row>
    <row r="1625">
      <c r="A1625" s="5" t="inlineStr"/>
      <c r="B1625" s="5" t="inlineStr"/>
      <c r="C1625" s="5">
        <f>IF($B1625="","",VLOOKUP($B1625,Jogos!$A$2:$K$105,8,FALSE))</f>
        <v/>
      </c>
      <c r="D1625" s="5">
        <f>IF($B1625="","",VLOOKUP($B1625,Jogos!$A$2:$K$105,10,FALSE))</f>
        <v/>
      </c>
      <c r="E1625" s="5" t="inlineStr"/>
      <c r="F1625" s="5" t="inlineStr"/>
      <c r="G1625" s="8">
        <f>IF($B1625="","",VLOOKUP($B1625,Jogos!$A$2:$K$105,9,FALSE))</f>
        <v/>
      </c>
      <c r="H1625" s="8">
        <f>IF($B1625="","",VLOOKUP($B1625,Jogos!$A$2:$K$105,11,FALSE))</f>
        <v/>
      </c>
      <c r="I1625" s="5">
        <f>IF(OR($A1625="", $B1625="", $E1625="", $F1625="", $G1625="", $H1625=""), "",IF(AND($E1625=$G1625, $F1625=$H1625), 3, IF(SIGN($E1625-$F1625)=SIGN($G1625-$H1625), 1, 0))))</f>
        <v/>
      </c>
    </row>
    <row r="1626">
      <c r="A1626" s="5" t="inlineStr"/>
      <c r="B1626" s="5" t="inlineStr"/>
      <c r="C1626" s="5">
        <f>IF($B1626="","",VLOOKUP($B1626,Jogos!$A$2:$K$105,8,FALSE))</f>
        <v/>
      </c>
      <c r="D1626" s="5">
        <f>IF($B1626="","",VLOOKUP($B1626,Jogos!$A$2:$K$105,10,FALSE))</f>
        <v/>
      </c>
      <c r="E1626" s="5" t="inlineStr"/>
      <c r="F1626" s="5" t="inlineStr"/>
      <c r="G1626" s="8">
        <f>IF($B1626="","",VLOOKUP($B1626,Jogos!$A$2:$K$105,9,FALSE))</f>
        <v/>
      </c>
      <c r="H1626" s="8">
        <f>IF($B1626="","",VLOOKUP($B1626,Jogos!$A$2:$K$105,11,FALSE))</f>
        <v/>
      </c>
      <c r="I1626" s="5">
        <f>IF(OR($A1626="", $B1626="", $E1626="", $F1626="", $G1626="", $H1626=""), "",IF(AND($E1626=$G1626, $F1626=$H1626), 3, IF(SIGN($E1626-$F1626)=SIGN($G1626-$H1626), 1, 0))))</f>
        <v/>
      </c>
    </row>
    <row r="1627">
      <c r="A1627" s="5" t="inlineStr"/>
      <c r="B1627" s="5" t="inlineStr"/>
      <c r="C1627" s="5">
        <f>IF($B1627="","",VLOOKUP($B1627,Jogos!$A$2:$K$105,8,FALSE))</f>
        <v/>
      </c>
      <c r="D1627" s="5">
        <f>IF($B1627="","",VLOOKUP($B1627,Jogos!$A$2:$K$105,10,FALSE))</f>
        <v/>
      </c>
      <c r="E1627" s="5" t="inlineStr"/>
      <c r="F1627" s="5" t="inlineStr"/>
      <c r="G1627" s="8">
        <f>IF($B1627="","",VLOOKUP($B1627,Jogos!$A$2:$K$105,9,FALSE))</f>
        <v/>
      </c>
      <c r="H1627" s="8">
        <f>IF($B1627="","",VLOOKUP($B1627,Jogos!$A$2:$K$105,11,FALSE))</f>
        <v/>
      </c>
      <c r="I1627" s="5">
        <f>IF(OR($A1627="", $B1627="", $E1627="", $F1627="", $G1627="", $H1627=""), "",IF(AND($E1627=$G1627, $F1627=$H1627), 3, IF(SIGN($E1627-$F1627)=SIGN($G1627-$H1627), 1, 0))))</f>
        <v/>
      </c>
    </row>
    <row r="1628">
      <c r="A1628" s="5" t="inlineStr"/>
      <c r="B1628" s="5" t="inlineStr"/>
      <c r="C1628" s="5">
        <f>IF($B1628="","",VLOOKUP($B1628,Jogos!$A$2:$K$105,8,FALSE))</f>
        <v/>
      </c>
      <c r="D1628" s="5">
        <f>IF($B1628="","",VLOOKUP($B1628,Jogos!$A$2:$K$105,10,FALSE))</f>
        <v/>
      </c>
      <c r="E1628" s="5" t="inlineStr"/>
      <c r="F1628" s="5" t="inlineStr"/>
      <c r="G1628" s="8">
        <f>IF($B1628="","",VLOOKUP($B1628,Jogos!$A$2:$K$105,9,FALSE))</f>
        <v/>
      </c>
      <c r="H1628" s="8">
        <f>IF($B1628="","",VLOOKUP($B1628,Jogos!$A$2:$K$105,11,FALSE))</f>
        <v/>
      </c>
      <c r="I1628" s="5">
        <f>IF(OR($A1628="", $B1628="", $E1628="", $F1628="", $G1628="", $H1628=""), "",IF(AND($E1628=$G1628, $F1628=$H1628), 3, IF(SIGN($E1628-$F1628)=SIGN($G1628-$H1628), 1, 0))))</f>
        <v/>
      </c>
    </row>
    <row r="1629">
      <c r="A1629" s="5" t="inlineStr"/>
      <c r="B1629" s="5" t="inlineStr"/>
      <c r="C1629" s="5">
        <f>IF($B1629="","",VLOOKUP($B1629,Jogos!$A$2:$K$105,8,FALSE))</f>
        <v/>
      </c>
      <c r="D1629" s="5">
        <f>IF($B1629="","",VLOOKUP($B1629,Jogos!$A$2:$K$105,10,FALSE))</f>
        <v/>
      </c>
      <c r="E1629" s="5" t="inlineStr"/>
      <c r="F1629" s="5" t="inlineStr"/>
      <c r="G1629" s="8">
        <f>IF($B1629="","",VLOOKUP($B1629,Jogos!$A$2:$K$105,9,FALSE))</f>
        <v/>
      </c>
      <c r="H1629" s="8">
        <f>IF($B1629="","",VLOOKUP($B1629,Jogos!$A$2:$K$105,11,FALSE))</f>
        <v/>
      </c>
      <c r="I1629" s="5">
        <f>IF(OR($A1629="", $B1629="", $E1629="", $F1629="", $G1629="", $H1629=""), "",IF(AND($E1629=$G1629, $F1629=$H1629), 3, IF(SIGN($E1629-$F1629)=SIGN($G1629-$H1629), 1, 0))))</f>
        <v/>
      </c>
    </row>
    <row r="1630">
      <c r="A1630" s="5" t="inlineStr"/>
      <c r="B1630" s="5" t="inlineStr"/>
      <c r="C1630" s="5">
        <f>IF($B1630="","",VLOOKUP($B1630,Jogos!$A$2:$K$105,8,FALSE))</f>
        <v/>
      </c>
      <c r="D1630" s="5">
        <f>IF($B1630="","",VLOOKUP($B1630,Jogos!$A$2:$K$105,10,FALSE))</f>
        <v/>
      </c>
      <c r="E1630" s="5" t="inlineStr"/>
      <c r="F1630" s="5" t="inlineStr"/>
      <c r="G1630" s="8">
        <f>IF($B1630="","",VLOOKUP($B1630,Jogos!$A$2:$K$105,9,FALSE))</f>
        <v/>
      </c>
      <c r="H1630" s="8">
        <f>IF($B1630="","",VLOOKUP($B1630,Jogos!$A$2:$K$105,11,FALSE))</f>
        <v/>
      </c>
      <c r="I1630" s="5">
        <f>IF(OR($A1630="", $B1630="", $E1630="", $F1630="", $G1630="", $H1630=""), "",IF(AND($E1630=$G1630, $F1630=$H1630), 3, IF(SIGN($E1630-$F1630)=SIGN($G1630-$H1630), 1, 0))))</f>
        <v/>
      </c>
    </row>
    <row r="1631">
      <c r="A1631" s="5" t="inlineStr"/>
      <c r="B1631" s="5" t="inlineStr"/>
      <c r="C1631" s="5">
        <f>IF($B1631="","",VLOOKUP($B1631,Jogos!$A$2:$K$105,8,FALSE))</f>
        <v/>
      </c>
      <c r="D1631" s="5">
        <f>IF($B1631="","",VLOOKUP($B1631,Jogos!$A$2:$K$105,10,FALSE))</f>
        <v/>
      </c>
      <c r="E1631" s="5" t="inlineStr"/>
      <c r="F1631" s="5" t="inlineStr"/>
      <c r="G1631" s="8">
        <f>IF($B1631="","",VLOOKUP($B1631,Jogos!$A$2:$K$105,9,FALSE))</f>
        <v/>
      </c>
      <c r="H1631" s="8">
        <f>IF($B1631="","",VLOOKUP($B1631,Jogos!$A$2:$K$105,11,FALSE))</f>
        <v/>
      </c>
      <c r="I1631" s="5">
        <f>IF(OR($A1631="", $B1631="", $E1631="", $F1631="", $G1631="", $H1631=""), "",IF(AND($E1631=$G1631, $F1631=$H1631), 3, IF(SIGN($E1631-$F1631)=SIGN($G1631-$H1631), 1, 0))))</f>
        <v/>
      </c>
    </row>
    <row r="1632">
      <c r="A1632" s="5" t="inlineStr"/>
      <c r="B1632" s="5" t="inlineStr"/>
      <c r="C1632" s="5">
        <f>IF($B1632="","",VLOOKUP($B1632,Jogos!$A$2:$K$105,8,FALSE))</f>
        <v/>
      </c>
      <c r="D1632" s="5">
        <f>IF($B1632="","",VLOOKUP($B1632,Jogos!$A$2:$K$105,10,FALSE))</f>
        <v/>
      </c>
      <c r="E1632" s="5" t="inlineStr"/>
      <c r="F1632" s="5" t="inlineStr"/>
      <c r="G1632" s="8">
        <f>IF($B1632="","",VLOOKUP($B1632,Jogos!$A$2:$K$105,9,FALSE))</f>
        <v/>
      </c>
      <c r="H1632" s="8">
        <f>IF($B1632="","",VLOOKUP($B1632,Jogos!$A$2:$K$105,11,FALSE))</f>
        <v/>
      </c>
      <c r="I1632" s="5">
        <f>IF(OR($A1632="", $B1632="", $E1632="", $F1632="", $G1632="", $H1632=""), "",IF(AND($E1632=$G1632, $F1632=$H1632), 3, IF(SIGN($E1632-$F1632)=SIGN($G1632-$H1632), 1, 0))))</f>
        <v/>
      </c>
    </row>
    <row r="1633">
      <c r="A1633" s="5" t="inlineStr"/>
      <c r="B1633" s="5" t="inlineStr"/>
      <c r="C1633" s="5">
        <f>IF($B1633="","",VLOOKUP($B1633,Jogos!$A$2:$K$105,8,FALSE))</f>
        <v/>
      </c>
      <c r="D1633" s="5">
        <f>IF($B1633="","",VLOOKUP($B1633,Jogos!$A$2:$K$105,10,FALSE))</f>
        <v/>
      </c>
      <c r="E1633" s="5" t="inlineStr"/>
      <c r="F1633" s="5" t="inlineStr"/>
      <c r="G1633" s="8">
        <f>IF($B1633="","",VLOOKUP($B1633,Jogos!$A$2:$K$105,9,FALSE))</f>
        <v/>
      </c>
      <c r="H1633" s="8">
        <f>IF($B1633="","",VLOOKUP($B1633,Jogos!$A$2:$K$105,11,FALSE))</f>
        <v/>
      </c>
      <c r="I1633" s="5">
        <f>IF(OR($A1633="", $B1633="", $E1633="", $F1633="", $G1633="", $H1633=""), "",IF(AND($E1633=$G1633, $F1633=$H1633), 3, IF(SIGN($E1633-$F1633)=SIGN($G1633-$H1633), 1, 0))))</f>
        <v/>
      </c>
    </row>
    <row r="1634">
      <c r="A1634" s="5" t="inlineStr"/>
      <c r="B1634" s="5" t="inlineStr"/>
      <c r="C1634" s="5">
        <f>IF($B1634="","",VLOOKUP($B1634,Jogos!$A$2:$K$105,8,FALSE))</f>
        <v/>
      </c>
      <c r="D1634" s="5">
        <f>IF($B1634="","",VLOOKUP($B1634,Jogos!$A$2:$K$105,10,FALSE))</f>
        <v/>
      </c>
      <c r="E1634" s="5" t="inlineStr"/>
      <c r="F1634" s="5" t="inlineStr"/>
      <c r="G1634" s="8">
        <f>IF($B1634="","",VLOOKUP($B1634,Jogos!$A$2:$K$105,9,FALSE))</f>
        <v/>
      </c>
      <c r="H1634" s="8">
        <f>IF($B1634="","",VLOOKUP($B1634,Jogos!$A$2:$K$105,11,FALSE))</f>
        <v/>
      </c>
      <c r="I1634" s="5">
        <f>IF(OR($A1634="", $B1634="", $E1634="", $F1634="", $G1634="", $H1634=""), "",IF(AND($E1634=$G1634, $F1634=$H1634), 3, IF(SIGN($E1634-$F1634)=SIGN($G1634-$H1634), 1, 0))))</f>
        <v/>
      </c>
    </row>
    <row r="1635">
      <c r="A1635" s="5" t="inlineStr"/>
      <c r="B1635" s="5" t="inlineStr"/>
      <c r="C1635" s="5">
        <f>IF($B1635="","",VLOOKUP($B1635,Jogos!$A$2:$K$105,8,FALSE))</f>
        <v/>
      </c>
      <c r="D1635" s="5">
        <f>IF($B1635="","",VLOOKUP($B1635,Jogos!$A$2:$K$105,10,FALSE))</f>
        <v/>
      </c>
      <c r="E1635" s="5" t="inlineStr"/>
      <c r="F1635" s="5" t="inlineStr"/>
      <c r="G1635" s="8">
        <f>IF($B1635="","",VLOOKUP($B1635,Jogos!$A$2:$K$105,9,FALSE))</f>
        <v/>
      </c>
      <c r="H1635" s="8">
        <f>IF($B1635="","",VLOOKUP($B1635,Jogos!$A$2:$K$105,11,FALSE))</f>
        <v/>
      </c>
      <c r="I1635" s="5">
        <f>IF(OR($A1635="", $B1635="", $E1635="", $F1635="", $G1635="", $H1635=""), "",IF(AND($E1635=$G1635, $F1635=$H1635), 3, IF(SIGN($E1635-$F1635)=SIGN($G1635-$H1635), 1, 0))))</f>
        <v/>
      </c>
    </row>
    <row r="1636">
      <c r="A1636" s="5" t="inlineStr"/>
      <c r="B1636" s="5" t="inlineStr"/>
      <c r="C1636" s="5">
        <f>IF($B1636="","",VLOOKUP($B1636,Jogos!$A$2:$K$105,8,FALSE))</f>
        <v/>
      </c>
      <c r="D1636" s="5">
        <f>IF($B1636="","",VLOOKUP($B1636,Jogos!$A$2:$K$105,10,FALSE))</f>
        <v/>
      </c>
      <c r="E1636" s="5" t="inlineStr"/>
      <c r="F1636" s="5" t="inlineStr"/>
      <c r="G1636" s="8">
        <f>IF($B1636="","",VLOOKUP($B1636,Jogos!$A$2:$K$105,9,FALSE))</f>
        <v/>
      </c>
      <c r="H1636" s="8">
        <f>IF($B1636="","",VLOOKUP($B1636,Jogos!$A$2:$K$105,11,FALSE))</f>
        <v/>
      </c>
      <c r="I1636" s="5">
        <f>IF(OR($A1636="", $B1636="", $E1636="", $F1636="", $G1636="", $H1636=""), "",IF(AND($E1636=$G1636, $F1636=$H1636), 3, IF(SIGN($E1636-$F1636)=SIGN($G1636-$H1636), 1, 0))))</f>
        <v/>
      </c>
    </row>
    <row r="1637">
      <c r="A1637" s="5" t="inlineStr"/>
      <c r="B1637" s="5" t="inlineStr"/>
      <c r="C1637" s="5">
        <f>IF($B1637="","",VLOOKUP($B1637,Jogos!$A$2:$K$105,8,FALSE))</f>
        <v/>
      </c>
      <c r="D1637" s="5">
        <f>IF($B1637="","",VLOOKUP($B1637,Jogos!$A$2:$K$105,10,FALSE))</f>
        <v/>
      </c>
      <c r="E1637" s="5" t="inlineStr"/>
      <c r="F1637" s="5" t="inlineStr"/>
      <c r="G1637" s="8">
        <f>IF($B1637="","",VLOOKUP($B1637,Jogos!$A$2:$K$105,9,FALSE))</f>
        <v/>
      </c>
      <c r="H1637" s="8">
        <f>IF($B1637="","",VLOOKUP($B1637,Jogos!$A$2:$K$105,11,FALSE))</f>
        <v/>
      </c>
      <c r="I1637" s="5">
        <f>IF(OR($A1637="", $B1637="", $E1637="", $F1637="", $G1637="", $H1637=""), "",IF(AND($E1637=$G1637, $F1637=$H1637), 3, IF(SIGN($E1637-$F1637)=SIGN($G1637-$H1637), 1, 0))))</f>
        <v/>
      </c>
    </row>
    <row r="1638">
      <c r="A1638" s="5" t="inlineStr"/>
      <c r="B1638" s="5" t="inlineStr"/>
      <c r="C1638" s="5">
        <f>IF($B1638="","",VLOOKUP($B1638,Jogos!$A$2:$K$105,8,FALSE))</f>
        <v/>
      </c>
      <c r="D1638" s="5">
        <f>IF($B1638="","",VLOOKUP($B1638,Jogos!$A$2:$K$105,10,FALSE))</f>
        <v/>
      </c>
      <c r="E1638" s="5" t="inlineStr"/>
      <c r="F1638" s="5" t="inlineStr"/>
      <c r="G1638" s="8">
        <f>IF($B1638="","",VLOOKUP($B1638,Jogos!$A$2:$K$105,9,FALSE))</f>
        <v/>
      </c>
      <c r="H1638" s="8">
        <f>IF($B1638="","",VLOOKUP($B1638,Jogos!$A$2:$K$105,11,FALSE))</f>
        <v/>
      </c>
      <c r="I1638" s="5">
        <f>IF(OR($A1638="", $B1638="", $E1638="", $F1638="", $G1638="", $H1638=""), "",IF(AND($E1638=$G1638, $F1638=$H1638), 3, IF(SIGN($E1638-$F1638)=SIGN($G1638-$H1638), 1, 0))))</f>
        <v/>
      </c>
    </row>
    <row r="1639">
      <c r="A1639" s="5" t="inlineStr"/>
      <c r="B1639" s="5" t="inlineStr"/>
      <c r="C1639" s="5">
        <f>IF($B1639="","",VLOOKUP($B1639,Jogos!$A$2:$K$105,8,FALSE))</f>
        <v/>
      </c>
      <c r="D1639" s="5">
        <f>IF($B1639="","",VLOOKUP($B1639,Jogos!$A$2:$K$105,10,FALSE))</f>
        <v/>
      </c>
      <c r="E1639" s="5" t="inlineStr"/>
      <c r="F1639" s="5" t="inlineStr"/>
      <c r="G1639" s="8">
        <f>IF($B1639="","",VLOOKUP($B1639,Jogos!$A$2:$K$105,9,FALSE))</f>
        <v/>
      </c>
      <c r="H1639" s="8">
        <f>IF($B1639="","",VLOOKUP($B1639,Jogos!$A$2:$K$105,11,FALSE))</f>
        <v/>
      </c>
      <c r="I1639" s="5">
        <f>IF(OR($A1639="", $B1639="", $E1639="", $F1639="", $G1639="", $H1639=""), "",IF(AND($E1639=$G1639, $F1639=$H1639), 3, IF(SIGN($E1639-$F1639)=SIGN($G1639-$H1639), 1, 0))))</f>
        <v/>
      </c>
    </row>
    <row r="1640">
      <c r="A1640" s="5" t="inlineStr"/>
      <c r="B1640" s="5" t="inlineStr"/>
      <c r="C1640" s="5">
        <f>IF($B1640="","",VLOOKUP($B1640,Jogos!$A$2:$K$105,8,FALSE))</f>
        <v/>
      </c>
      <c r="D1640" s="5">
        <f>IF($B1640="","",VLOOKUP($B1640,Jogos!$A$2:$K$105,10,FALSE))</f>
        <v/>
      </c>
      <c r="E1640" s="5" t="inlineStr"/>
      <c r="F1640" s="5" t="inlineStr"/>
      <c r="G1640" s="8">
        <f>IF($B1640="","",VLOOKUP($B1640,Jogos!$A$2:$K$105,9,FALSE))</f>
        <v/>
      </c>
      <c r="H1640" s="8">
        <f>IF($B1640="","",VLOOKUP($B1640,Jogos!$A$2:$K$105,11,FALSE))</f>
        <v/>
      </c>
      <c r="I1640" s="5">
        <f>IF(OR($A1640="", $B1640="", $E1640="", $F1640="", $G1640="", $H1640=""), "",IF(AND($E1640=$G1640, $F1640=$H1640), 3, IF(SIGN($E1640-$F1640)=SIGN($G1640-$H1640), 1, 0))))</f>
        <v/>
      </c>
    </row>
    <row r="1641">
      <c r="A1641" s="5" t="inlineStr"/>
      <c r="B1641" s="5" t="inlineStr"/>
      <c r="C1641" s="5">
        <f>IF($B1641="","",VLOOKUP($B1641,Jogos!$A$2:$K$105,8,FALSE))</f>
        <v/>
      </c>
      <c r="D1641" s="5">
        <f>IF($B1641="","",VLOOKUP($B1641,Jogos!$A$2:$K$105,10,FALSE))</f>
        <v/>
      </c>
      <c r="E1641" s="5" t="inlineStr"/>
      <c r="F1641" s="5" t="inlineStr"/>
      <c r="G1641" s="8">
        <f>IF($B1641="","",VLOOKUP($B1641,Jogos!$A$2:$K$105,9,FALSE))</f>
        <v/>
      </c>
      <c r="H1641" s="8">
        <f>IF($B1641="","",VLOOKUP($B1641,Jogos!$A$2:$K$105,11,FALSE))</f>
        <v/>
      </c>
      <c r="I1641" s="5">
        <f>IF(OR($A1641="", $B1641="", $E1641="", $F1641="", $G1641="", $H1641=""), "",IF(AND($E1641=$G1641, $F1641=$H1641), 3, IF(SIGN($E1641-$F1641)=SIGN($G1641-$H1641), 1, 0))))</f>
        <v/>
      </c>
    </row>
    <row r="1642">
      <c r="A1642" s="5" t="inlineStr"/>
      <c r="B1642" s="5" t="inlineStr"/>
      <c r="C1642" s="5">
        <f>IF($B1642="","",VLOOKUP($B1642,Jogos!$A$2:$K$105,8,FALSE))</f>
        <v/>
      </c>
      <c r="D1642" s="5">
        <f>IF($B1642="","",VLOOKUP($B1642,Jogos!$A$2:$K$105,10,FALSE))</f>
        <v/>
      </c>
      <c r="E1642" s="5" t="inlineStr"/>
      <c r="F1642" s="5" t="inlineStr"/>
      <c r="G1642" s="8">
        <f>IF($B1642="","",VLOOKUP($B1642,Jogos!$A$2:$K$105,9,FALSE))</f>
        <v/>
      </c>
      <c r="H1642" s="8">
        <f>IF($B1642="","",VLOOKUP($B1642,Jogos!$A$2:$K$105,11,FALSE))</f>
        <v/>
      </c>
      <c r="I1642" s="5">
        <f>IF(OR($A1642="", $B1642="", $E1642="", $F1642="", $G1642="", $H1642=""), "",IF(AND($E1642=$G1642, $F1642=$H1642), 3, IF(SIGN($E1642-$F1642)=SIGN($G1642-$H1642), 1, 0))))</f>
        <v/>
      </c>
    </row>
    <row r="1643">
      <c r="A1643" s="5" t="inlineStr"/>
      <c r="B1643" s="5" t="inlineStr"/>
      <c r="C1643" s="5">
        <f>IF($B1643="","",VLOOKUP($B1643,Jogos!$A$2:$K$105,8,FALSE))</f>
        <v/>
      </c>
      <c r="D1643" s="5">
        <f>IF($B1643="","",VLOOKUP($B1643,Jogos!$A$2:$K$105,10,FALSE))</f>
        <v/>
      </c>
      <c r="E1643" s="5" t="inlineStr"/>
      <c r="F1643" s="5" t="inlineStr"/>
      <c r="G1643" s="8">
        <f>IF($B1643="","",VLOOKUP($B1643,Jogos!$A$2:$K$105,9,FALSE))</f>
        <v/>
      </c>
      <c r="H1643" s="8">
        <f>IF($B1643="","",VLOOKUP($B1643,Jogos!$A$2:$K$105,11,FALSE))</f>
        <v/>
      </c>
      <c r="I1643" s="5">
        <f>IF(OR($A1643="", $B1643="", $E1643="", $F1643="", $G1643="", $H1643=""), "",IF(AND($E1643=$G1643, $F1643=$H1643), 3, IF(SIGN($E1643-$F1643)=SIGN($G1643-$H1643), 1, 0))))</f>
        <v/>
      </c>
    </row>
    <row r="1644">
      <c r="A1644" s="5" t="inlineStr"/>
      <c r="B1644" s="5" t="inlineStr"/>
      <c r="C1644" s="5">
        <f>IF($B1644="","",VLOOKUP($B1644,Jogos!$A$2:$K$105,8,FALSE))</f>
        <v/>
      </c>
      <c r="D1644" s="5">
        <f>IF($B1644="","",VLOOKUP($B1644,Jogos!$A$2:$K$105,10,FALSE))</f>
        <v/>
      </c>
      <c r="E1644" s="5" t="inlineStr"/>
      <c r="F1644" s="5" t="inlineStr"/>
      <c r="G1644" s="8">
        <f>IF($B1644="","",VLOOKUP($B1644,Jogos!$A$2:$K$105,9,FALSE))</f>
        <v/>
      </c>
      <c r="H1644" s="8">
        <f>IF($B1644="","",VLOOKUP($B1644,Jogos!$A$2:$K$105,11,FALSE))</f>
        <v/>
      </c>
      <c r="I1644" s="5">
        <f>IF(OR($A1644="", $B1644="", $E1644="", $F1644="", $G1644="", $H1644=""), "",IF(AND($E1644=$G1644, $F1644=$H1644), 3, IF(SIGN($E1644-$F1644)=SIGN($G1644-$H1644), 1, 0))))</f>
        <v/>
      </c>
    </row>
    <row r="1645">
      <c r="A1645" s="5" t="inlineStr"/>
      <c r="B1645" s="5" t="inlineStr"/>
      <c r="C1645" s="5">
        <f>IF($B1645="","",VLOOKUP($B1645,Jogos!$A$2:$K$105,8,FALSE))</f>
        <v/>
      </c>
      <c r="D1645" s="5">
        <f>IF($B1645="","",VLOOKUP($B1645,Jogos!$A$2:$K$105,10,FALSE))</f>
        <v/>
      </c>
      <c r="E1645" s="5" t="inlineStr"/>
      <c r="F1645" s="5" t="inlineStr"/>
      <c r="G1645" s="8">
        <f>IF($B1645="","",VLOOKUP($B1645,Jogos!$A$2:$K$105,9,FALSE))</f>
        <v/>
      </c>
      <c r="H1645" s="8">
        <f>IF($B1645="","",VLOOKUP($B1645,Jogos!$A$2:$K$105,11,FALSE))</f>
        <v/>
      </c>
      <c r="I1645" s="5">
        <f>IF(OR($A1645="", $B1645="", $E1645="", $F1645="", $G1645="", $H1645=""), "",IF(AND($E1645=$G1645, $F1645=$H1645), 3, IF(SIGN($E1645-$F1645)=SIGN($G1645-$H1645), 1, 0))))</f>
        <v/>
      </c>
    </row>
    <row r="1646">
      <c r="A1646" s="5" t="inlineStr"/>
      <c r="B1646" s="5" t="inlineStr"/>
      <c r="C1646" s="5">
        <f>IF($B1646="","",VLOOKUP($B1646,Jogos!$A$2:$K$105,8,FALSE))</f>
        <v/>
      </c>
      <c r="D1646" s="5">
        <f>IF($B1646="","",VLOOKUP($B1646,Jogos!$A$2:$K$105,10,FALSE))</f>
        <v/>
      </c>
      <c r="E1646" s="5" t="inlineStr"/>
      <c r="F1646" s="5" t="inlineStr"/>
      <c r="G1646" s="8">
        <f>IF($B1646="","",VLOOKUP($B1646,Jogos!$A$2:$K$105,9,FALSE))</f>
        <v/>
      </c>
      <c r="H1646" s="8">
        <f>IF($B1646="","",VLOOKUP($B1646,Jogos!$A$2:$K$105,11,FALSE))</f>
        <v/>
      </c>
      <c r="I1646" s="5">
        <f>IF(OR($A1646="", $B1646="", $E1646="", $F1646="", $G1646="", $H1646=""), "",IF(AND($E1646=$G1646, $F1646=$H1646), 3, IF(SIGN($E1646-$F1646)=SIGN($G1646-$H1646), 1, 0))))</f>
        <v/>
      </c>
    </row>
    <row r="1647">
      <c r="A1647" s="5" t="inlineStr"/>
      <c r="B1647" s="5" t="inlineStr"/>
      <c r="C1647" s="5">
        <f>IF($B1647="","",VLOOKUP($B1647,Jogos!$A$2:$K$105,8,FALSE))</f>
        <v/>
      </c>
      <c r="D1647" s="5">
        <f>IF($B1647="","",VLOOKUP($B1647,Jogos!$A$2:$K$105,10,FALSE))</f>
        <v/>
      </c>
      <c r="E1647" s="5" t="inlineStr"/>
      <c r="F1647" s="5" t="inlineStr"/>
      <c r="G1647" s="8">
        <f>IF($B1647="","",VLOOKUP($B1647,Jogos!$A$2:$K$105,9,FALSE))</f>
        <v/>
      </c>
      <c r="H1647" s="8">
        <f>IF($B1647="","",VLOOKUP($B1647,Jogos!$A$2:$K$105,11,FALSE))</f>
        <v/>
      </c>
      <c r="I1647" s="5">
        <f>IF(OR($A1647="", $B1647="", $E1647="", $F1647="", $G1647="", $H1647=""), "",IF(AND($E1647=$G1647, $F1647=$H1647), 3, IF(SIGN($E1647-$F1647)=SIGN($G1647-$H1647), 1, 0))))</f>
        <v/>
      </c>
    </row>
    <row r="1648">
      <c r="A1648" s="5" t="inlineStr"/>
      <c r="B1648" s="5" t="inlineStr"/>
      <c r="C1648" s="5">
        <f>IF($B1648="","",VLOOKUP($B1648,Jogos!$A$2:$K$105,8,FALSE))</f>
        <v/>
      </c>
      <c r="D1648" s="5">
        <f>IF($B1648="","",VLOOKUP($B1648,Jogos!$A$2:$K$105,10,FALSE))</f>
        <v/>
      </c>
      <c r="E1648" s="5" t="inlineStr"/>
      <c r="F1648" s="5" t="inlineStr"/>
      <c r="G1648" s="8">
        <f>IF($B1648="","",VLOOKUP($B1648,Jogos!$A$2:$K$105,9,FALSE))</f>
        <v/>
      </c>
      <c r="H1648" s="8">
        <f>IF($B1648="","",VLOOKUP($B1648,Jogos!$A$2:$K$105,11,FALSE))</f>
        <v/>
      </c>
      <c r="I1648" s="5">
        <f>IF(OR($A1648="", $B1648="", $E1648="", $F1648="", $G1648="", $H1648=""), "",IF(AND($E1648=$G1648, $F1648=$H1648), 3, IF(SIGN($E1648-$F1648)=SIGN($G1648-$H1648), 1, 0))))</f>
        <v/>
      </c>
    </row>
    <row r="1649">
      <c r="A1649" s="5" t="inlineStr"/>
      <c r="B1649" s="5" t="inlineStr"/>
      <c r="C1649" s="5">
        <f>IF($B1649="","",VLOOKUP($B1649,Jogos!$A$2:$K$105,8,FALSE))</f>
        <v/>
      </c>
      <c r="D1649" s="5">
        <f>IF($B1649="","",VLOOKUP($B1649,Jogos!$A$2:$K$105,10,FALSE))</f>
        <v/>
      </c>
      <c r="E1649" s="5" t="inlineStr"/>
      <c r="F1649" s="5" t="inlineStr"/>
      <c r="G1649" s="8">
        <f>IF($B1649="","",VLOOKUP($B1649,Jogos!$A$2:$K$105,9,FALSE))</f>
        <v/>
      </c>
      <c r="H1649" s="8">
        <f>IF($B1649="","",VLOOKUP($B1649,Jogos!$A$2:$K$105,11,FALSE))</f>
        <v/>
      </c>
      <c r="I1649" s="5">
        <f>IF(OR($A1649="", $B1649="", $E1649="", $F1649="", $G1649="", $H1649=""), "",IF(AND($E1649=$G1649, $F1649=$H1649), 3, IF(SIGN($E1649-$F1649)=SIGN($G1649-$H1649), 1, 0))))</f>
        <v/>
      </c>
    </row>
    <row r="1650">
      <c r="A1650" s="5" t="inlineStr"/>
      <c r="B1650" s="5" t="inlineStr"/>
      <c r="C1650" s="5">
        <f>IF($B1650="","",VLOOKUP($B1650,Jogos!$A$2:$K$105,8,FALSE))</f>
        <v/>
      </c>
      <c r="D1650" s="5">
        <f>IF($B1650="","",VLOOKUP($B1650,Jogos!$A$2:$K$105,10,FALSE))</f>
        <v/>
      </c>
      <c r="E1650" s="5" t="inlineStr"/>
      <c r="F1650" s="5" t="inlineStr"/>
      <c r="G1650" s="8">
        <f>IF($B1650="","",VLOOKUP($B1650,Jogos!$A$2:$K$105,9,FALSE))</f>
        <v/>
      </c>
      <c r="H1650" s="8">
        <f>IF($B1650="","",VLOOKUP($B1650,Jogos!$A$2:$K$105,11,FALSE))</f>
        <v/>
      </c>
      <c r="I1650" s="5">
        <f>IF(OR($A1650="", $B1650="", $E1650="", $F1650="", $G1650="", $H1650=""), "",IF(AND($E1650=$G1650, $F1650=$H1650), 3, IF(SIGN($E1650-$F1650)=SIGN($G1650-$H1650), 1, 0))))</f>
        <v/>
      </c>
    </row>
    <row r="1651">
      <c r="A1651" s="5" t="inlineStr"/>
      <c r="B1651" s="5" t="inlineStr"/>
      <c r="C1651" s="5">
        <f>IF($B1651="","",VLOOKUP($B1651,Jogos!$A$2:$K$105,8,FALSE))</f>
        <v/>
      </c>
      <c r="D1651" s="5">
        <f>IF($B1651="","",VLOOKUP($B1651,Jogos!$A$2:$K$105,10,FALSE))</f>
        <v/>
      </c>
      <c r="E1651" s="5" t="inlineStr"/>
      <c r="F1651" s="5" t="inlineStr"/>
      <c r="G1651" s="8">
        <f>IF($B1651="","",VLOOKUP($B1651,Jogos!$A$2:$K$105,9,FALSE))</f>
        <v/>
      </c>
      <c r="H1651" s="8">
        <f>IF($B1651="","",VLOOKUP($B1651,Jogos!$A$2:$K$105,11,FALSE))</f>
        <v/>
      </c>
      <c r="I1651" s="5">
        <f>IF(OR($A1651="", $B1651="", $E1651="", $F1651="", $G1651="", $H1651=""), "",IF(AND($E1651=$G1651, $F1651=$H1651), 3, IF(SIGN($E1651-$F1651)=SIGN($G1651-$H1651), 1, 0))))</f>
        <v/>
      </c>
    </row>
    <row r="1652">
      <c r="A1652" s="5" t="inlineStr"/>
      <c r="B1652" s="5" t="inlineStr"/>
      <c r="C1652" s="5">
        <f>IF($B1652="","",VLOOKUP($B1652,Jogos!$A$2:$K$105,8,FALSE))</f>
        <v/>
      </c>
      <c r="D1652" s="5">
        <f>IF($B1652="","",VLOOKUP($B1652,Jogos!$A$2:$K$105,10,FALSE))</f>
        <v/>
      </c>
      <c r="E1652" s="5" t="inlineStr"/>
      <c r="F1652" s="5" t="inlineStr"/>
      <c r="G1652" s="8">
        <f>IF($B1652="","",VLOOKUP($B1652,Jogos!$A$2:$K$105,9,FALSE))</f>
        <v/>
      </c>
      <c r="H1652" s="8">
        <f>IF($B1652="","",VLOOKUP($B1652,Jogos!$A$2:$K$105,11,FALSE))</f>
        <v/>
      </c>
      <c r="I1652" s="5">
        <f>IF(OR($A1652="", $B1652="", $E1652="", $F1652="", $G1652="", $H1652=""), "",IF(AND($E1652=$G1652, $F1652=$H1652), 3, IF(SIGN($E1652-$F1652)=SIGN($G1652-$H1652), 1, 0))))</f>
        <v/>
      </c>
    </row>
    <row r="1653">
      <c r="A1653" s="5" t="inlineStr"/>
      <c r="B1653" s="5" t="inlineStr"/>
      <c r="C1653" s="5">
        <f>IF($B1653="","",VLOOKUP($B1653,Jogos!$A$2:$K$105,8,FALSE))</f>
        <v/>
      </c>
      <c r="D1653" s="5">
        <f>IF($B1653="","",VLOOKUP($B1653,Jogos!$A$2:$K$105,10,FALSE))</f>
        <v/>
      </c>
      <c r="E1653" s="5" t="inlineStr"/>
      <c r="F1653" s="5" t="inlineStr"/>
      <c r="G1653" s="8">
        <f>IF($B1653="","",VLOOKUP($B1653,Jogos!$A$2:$K$105,9,FALSE))</f>
        <v/>
      </c>
      <c r="H1653" s="8">
        <f>IF($B1653="","",VLOOKUP($B1653,Jogos!$A$2:$K$105,11,FALSE))</f>
        <v/>
      </c>
      <c r="I1653" s="5">
        <f>IF(OR($A1653="", $B1653="", $E1653="", $F1653="", $G1653="", $H1653=""), "",IF(AND($E1653=$G1653, $F1653=$H1653), 3, IF(SIGN($E1653-$F1653)=SIGN($G1653-$H1653), 1, 0))))</f>
        <v/>
      </c>
    </row>
    <row r="1654">
      <c r="A1654" s="5" t="inlineStr"/>
      <c r="B1654" s="5" t="inlineStr"/>
      <c r="C1654" s="5">
        <f>IF($B1654="","",VLOOKUP($B1654,Jogos!$A$2:$K$105,8,FALSE))</f>
        <v/>
      </c>
      <c r="D1654" s="5">
        <f>IF($B1654="","",VLOOKUP($B1654,Jogos!$A$2:$K$105,10,FALSE))</f>
        <v/>
      </c>
      <c r="E1654" s="5" t="inlineStr"/>
      <c r="F1654" s="5" t="inlineStr"/>
      <c r="G1654" s="8">
        <f>IF($B1654="","",VLOOKUP($B1654,Jogos!$A$2:$K$105,9,FALSE))</f>
        <v/>
      </c>
      <c r="H1654" s="8">
        <f>IF($B1654="","",VLOOKUP($B1654,Jogos!$A$2:$K$105,11,FALSE))</f>
        <v/>
      </c>
      <c r="I1654" s="5">
        <f>IF(OR($A1654="", $B1654="", $E1654="", $F1654="", $G1654="", $H1654=""), "",IF(AND($E1654=$G1654, $F1654=$H1654), 3, IF(SIGN($E1654-$F1654)=SIGN($G1654-$H1654), 1, 0))))</f>
        <v/>
      </c>
    </row>
    <row r="1655">
      <c r="A1655" s="5" t="inlineStr"/>
      <c r="B1655" s="5" t="inlineStr"/>
      <c r="C1655" s="5">
        <f>IF($B1655="","",VLOOKUP($B1655,Jogos!$A$2:$K$105,8,FALSE))</f>
        <v/>
      </c>
      <c r="D1655" s="5">
        <f>IF($B1655="","",VLOOKUP($B1655,Jogos!$A$2:$K$105,10,FALSE))</f>
        <v/>
      </c>
      <c r="E1655" s="5" t="inlineStr"/>
      <c r="F1655" s="5" t="inlineStr"/>
      <c r="G1655" s="8">
        <f>IF($B1655="","",VLOOKUP($B1655,Jogos!$A$2:$K$105,9,FALSE))</f>
        <v/>
      </c>
      <c r="H1655" s="8">
        <f>IF($B1655="","",VLOOKUP($B1655,Jogos!$A$2:$K$105,11,FALSE))</f>
        <v/>
      </c>
      <c r="I1655" s="5">
        <f>IF(OR($A1655="", $B1655="", $E1655="", $F1655="", $G1655="", $H1655=""), "",IF(AND($E1655=$G1655, $F1655=$H1655), 3, IF(SIGN($E1655-$F1655)=SIGN($G1655-$H1655), 1, 0))))</f>
        <v/>
      </c>
    </row>
    <row r="1656">
      <c r="A1656" s="5" t="inlineStr"/>
      <c r="B1656" s="5" t="inlineStr"/>
      <c r="C1656" s="5">
        <f>IF($B1656="","",VLOOKUP($B1656,Jogos!$A$2:$K$105,8,FALSE))</f>
        <v/>
      </c>
      <c r="D1656" s="5">
        <f>IF($B1656="","",VLOOKUP($B1656,Jogos!$A$2:$K$105,10,FALSE))</f>
        <v/>
      </c>
      <c r="E1656" s="5" t="inlineStr"/>
      <c r="F1656" s="5" t="inlineStr"/>
      <c r="G1656" s="8">
        <f>IF($B1656="","",VLOOKUP($B1656,Jogos!$A$2:$K$105,9,FALSE))</f>
        <v/>
      </c>
      <c r="H1656" s="8">
        <f>IF($B1656="","",VLOOKUP($B1656,Jogos!$A$2:$K$105,11,FALSE))</f>
        <v/>
      </c>
      <c r="I1656" s="5">
        <f>IF(OR($A1656="", $B1656="", $E1656="", $F1656="", $G1656="", $H1656=""), "",IF(AND($E1656=$G1656, $F1656=$H1656), 3, IF(SIGN($E1656-$F1656)=SIGN($G1656-$H1656), 1, 0))))</f>
        <v/>
      </c>
    </row>
    <row r="1657">
      <c r="A1657" s="5" t="inlineStr"/>
      <c r="B1657" s="5" t="inlineStr"/>
      <c r="C1657" s="5">
        <f>IF($B1657="","",VLOOKUP($B1657,Jogos!$A$2:$K$105,8,FALSE))</f>
        <v/>
      </c>
      <c r="D1657" s="5">
        <f>IF($B1657="","",VLOOKUP($B1657,Jogos!$A$2:$K$105,10,FALSE))</f>
        <v/>
      </c>
      <c r="E1657" s="5" t="inlineStr"/>
      <c r="F1657" s="5" t="inlineStr"/>
      <c r="G1657" s="8">
        <f>IF($B1657="","",VLOOKUP($B1657,Jogos!$A$2:$K$105,9,FALSE))</f>
        <v/>
      </c>
      <c r="H1657" s="8">
        <f>IF($B1657="","",VLOOKUP($B1657,Jogos!$A$2:$K$105,11,FALSE))</f>
        <v/>
      </c>
      <c r="I1657" s="5">
        <f>IF(OR($A1657="", $B1657="", $E1657="", $F1657="", $G1657="", $H1657=""), "",IF(AND($E1657=$G1657, $F1657=$H1657), 3, IF(SIGN($E1657-$F1657)=SIGN($G1657-$H1657), 1, 0))))</f>
        <v/>
      </c>
    </row>
    <row r="1658">
      <c r="A1658" s="5" t="inlineStr"/>
      <c r="B1658" s="5" t="inlineStr"/>
      <c r="C1658" s="5">
        <f>IF($B1658="","",VLOOKUP($B1658,Jogos!$A$2:$K$105,8,FALSE))</f>
        <v/>
      </c>
      <c r="D1658" s="5">
        <f>IF($B1658="","",VLOOKUP($B1658,Jogos!$A$2:$K$105,10,FALSE))</f>
        <v/>
      </c>
      <c r="E1658" s="5" t="inlineStr"/>
      <c r="F1658" s="5" t="inlineStr"/>
      <c r="G1658" s="8">
        <f>IF($B1658="","",VLOOKUP($B1658,Jogos!$A$2:$K$105,9,FALSE))</f>
        <v/>
      </c>
      <c r="H1658" s="8">
        <f>IF($B1658="","",VLOOKUP($B1658,Jogos!$A$2:$K$105,11,FALSE))</f>
        <v/>
      </c>
      <c r="I1658" s="5">
        <f>IF(OR($A1658="", $B1658="", $E1658="", $F1658="", $G1658="", $H1658=""), "",IF(AND($E1658=$G1658, $F1658=$H1658), 3, IF(SIGN($E1658-$F1658)=SIGN($G1658-$H1658), 1, 0))))</f>
        <v/>
      </c>
    </row>
    <row r="1659">
      <c r="A1659" s="5" t="inlineStr"/>
      <c r="B1659" s="5" t="inlineStr"/>
      <c r="C1659" s="5">
        <f>IF($B1659="","",VLOOKUP($B1659,Jogos!$A$2:$K$105,8,FALSE))</f>
        <v/>
      </c>
      <c r="D1659" s="5">
        <f>IF($B1659="","",VLOOKUP($B1659,Jogos!$A$2:$K$105,10,FALSE))</f>
        <v/>
      </c>
      <c r="E1659" s="5" t="inlineStr"/>
      <c r="F1659" s="5" t="inlineStr"/>
      <c r="G1659" s="8">
        <f>IF($B1659="","",VLOOKUP($B1659,Jogos!$A$2:$K$105,9,FALSE))</f>
        <v/>
      </c>
      <c r="H1659" s="8">
        <f>IF($B1659="","",VLOOKUP($B1659,Jogos!$A$2:$K$105,11,FALSE))</f>
        <v/>
      </c>
      <c r="I1659" s="5">
        <f>IF(OR($A1659="", $B1659="", $E1659="", $F1659="", $G1659="", $H1659=""), "",IF(AND($E1659=$G1659, $F1659=$H1659), 3, IF(SIGN($E1659-$F1659)=SIGN($G1659-$H1659), 1, 0))))</f>
        <v/>
      </c>
    </row>
    <row r="1660">
      <c r="A1660" s="5" t="inlineStr"/>
      <c r="B1660" s="5" t="inlineStr"/>
      <c r="C1660" s="5">
        <f>IF($B1660="","",VLOOKUP($B1660,Jogos!$A$2:$K$105,8,FALSE))</f>
        <v/>
      </c>
      <c r="D1660" s="5">
        <f>IF($B1660="","",VLOOKUP($B1660,Jogos!$A$2:$K$105,10,FALSE))</f>
        <v/>
      </c>
      <c r="E1660" s="5" t="inlineStr"/>
      <c r="F1660" s="5" t="inlineStr"/>
      <c r="G1660" s="8">
        <f>IF($B1660="","",VLOOKUP($B1660,Jogos!$A$2:$K$105,9,FALSE))</f>
        <v/>
      </c>
      <c r="H1660" s="8">
        <f>IF($B1660="","",VLOOKUP($B1660,Jogos!$A$2:$K$105,11,FALSE))</f>
        <v/>
      </c>
      <c r="I1660" s="5">
        <f>IF(OR($A1660="", $B1660="", $E1660="", $F1660="", $G1660="", $H1660=""), "",IF(AND($E1660=$G1660, $F1660=$H1660), 3, IF(SIGN($E1660-$F1660)=SIGN($G1660-$H1660), 1, 0))))</f>
        <v/>
      </c>
    </row>
    <row r="1661">
      <c r="A1661" s="5" t="inlineStr"/>
      <c r="B1661" s="5" t="inlineStr"/>
      <c r="C1661" s="5">
        <f>IF($B1661="","",VLOOKUP($B1661,Jogos!$A$2:$K$105,8,FALSE))</f>
        <v/>
      </c>
      <c r="D1661" s="5">
        <f>IF($B1661="","",VLOOKUP($B1661,Jogos!$A$2:$K$105,10,FALSE))</f>
        <v/>
      </c>
      <c r="E1661" s="5" t="inlineStr"/>
      <c r="F1661" s="5" t="inlineStr"/>
      <c r="G1661" s="8">
        <f>IF($B1661="","",VLOOKUP($B1661,Jogos!$A$2:$K$105,9,FALSE))</f>
        <v/>
      </c>
      <c r="H1661" s="8">
        <f>IF($B1661="","",VLOOKUP($B1661,Jogos!$A$2:$K$105,11,FALSE))</f>
        <v/>
      </c>
      <c r="I1661" s="5">
        <f>IF(OR($A1661="", $B1661="", $E1661="", $F1661="", $G1661="", $H1661=""), "",IF(AND($E1661=$G1661, $F1661=$H1661), 3, IF(SIGN($E1661-$F1661)=SIGN($G1661-$H1661), 1, 0))))</f>
        <v/>
      </c>
    </row>
    <row r="1662">
      <c r="A1662" s="5" t="inlineStr"/>
      <c r="B1662" s="5" t="inlineStr"/>
      <c r="C1662" s="5">
        <f>IF($B1662="","",VLOOKUP($B1662,Jogos!$A$2:$K$105,8,FALSE))</f>
        <v/>
      </c>
      <c r="D1662" s="5">
        <f>IF($B1662="","",VLOOKUP($B1662,Jogos!$A$2:$K$105,10,FALSE))</f>
        <v/>
      </c>
      <c r="E1662" s="5" t="inlineStr"/>
      <c r="F1662" s="5" t="inlineStr"/>
      <c r="G1662" s="8">
        <f>IF($B1662="","",VLOOKUP($B1662,Jogos!$A$2:$K$105,9,FALSE))</f>
        <v/>
      </c>
      <c r="H1662" s="8">
        <f>IF($B1662="","",VLOOKUP($B1662,Jogos!$A$2:$K$105,11,FALSE))</f>
        <v/>
      </c>
      <c r="I1662" s="5">
        <f>IF(OR($A1662="", $B1662="", $E1662="", $F1662="", $G1662="", $H1662=""), "",IF(AND($E1662=$G1662, $F1662=$H1662), 3, IF(SIGN($E1662-$F1662)=SIGN($G1662-$H1662), 1, 0))))</f>
        <v/>
      </c>
    </row>
    <row r="1663">
      <c r="A1663" s="5" t="inlineStr"/>
      <c r="B1663" s="5" t="inlineStr"/>
      <c r="C1663" s="5">
        <f>IF($B1663="","",VLOOKUP($B1663,Jogos!$A$2:$K$105,8,FALSE))</f>
        <v/>
      </c>
      <c r="D1663" s="5">
        <f>IF($B1663="","",VLOOKUP($B1663,Jogos!$A$2:$K$105,10,FALSE))</f>
        <v/>
      </c>
      <c r="E1663" s="5" t="inlineStr"/>
      <c r="F1663" s="5" t="inlineStr"/>
      <c r="G1663" s="8">
        <f>IF($B1663="","",VLOOKUP($B1663,Jogos!$A$2:$K$105,9,FALSE))</f>
        <v/>
      </c>
      <c r="H1663" s="8">
        <f>IF($B1663="","",VLOOKUP($B1663,Jogos!$A$2:$K$105,11,FALSE))</f>
        <v/>
      </c>
      <c r="I1663" s="5">
        <f>IF(OR($A1663="", $B1663="", $E1663="", $F1663="", $G1663="", $H1663=""), "",IF(AND($E1663=$G1663, $F1663=$H1663), 3, IF(SIGN($E1663-$F1663)=SIGN($G1663-$H1663), 1, 0))))</f>
        <v/>
      </c>
    </row>
    <row r="1664">
      <c r="A1664" s="5" t="inlineStr"/>
      <c r="B1664" s="5" t="inlineStr"/>
      <c r="C1664" s="5">
        <f>IF($B1664="","",VLOOKUP($B1664,Jogos!$A$2:$K$105,8,FALSE))</f>
        <v/>
      </c>
      <c r="D1664" s="5">
        <f>IF($B1664="","",VLOOKUP($B1664,Jogos!$A$2:$K$105,10,FALSE))</f>
        <v/>
      </c>
      <c r="E1664" s="5" t="inlineStr"/>
      <c r="F1664" s="5" t="inlineStr"/>
      <c r="G1664" s="8">
        <f>IF($B1664="","",VLOOKUP($B1664,Jogos!$A$2:$K$105,9,FALSE))</f>
        <v/>
      </c>
      <c r="H1664" s="8">
        <f>IF($B1664="","",VLOOKUP($B1664,Jogos!$A$2:$K$105,11,FALSE))</f>
        <v/>
      </c>
      <c r="I1664" s="5">
        <f>IF(OR($A1664="", $B1664="", $E1664="", $F1664="", $G1664="", $H1664=""), "",IF(AND($E1664=$G1664, $F1664=$H1664), 3, IF(SIGN($E1664-$F1664)=SIGN($G1664-$H1664), 1, 0))))</f>
        <v/>
      </c>
    </row>
    <row r="1665">
      <c r="A1665" s="5" t="inlineStr"/>
      <c r="B1665" s="5" t="inlineStr"/>
      <c r="C1665" s="5">
        <f>IF($B1665="","",VLOOKUP($B1665,Jogos!$A$2:$K$105,8,FALSE))</f>
        <v/>
      </c>
      <c r="D1665" s="5">
        <f>IF($B1665="","",VLOOKUP($B1665,Jogos!$A$2:$K$105,10,FALSE))</f>
        <v/>
      </c>
      <c r="E1665" s="5" t="inlineStr"/>
      <c r="F1665" s="5" t="inlineStr"/>
      <c r="G1665" s="8">
        <f>IF($B1665="","",VLOOKUP($B1665,Jogos!$A$2:$K$105,9,FALSE))</f>
        <v/>
      </c>
      <c r="H1665" s="8">
        <f>IF($B1665="","",VLOOKUP($B1665,Jogos!$A$2:$K$105,11,FALSE))</f>
        <v/>
      </c>
      <c r="I1665" s="5">
        <f>IF(OR($A1665="", $B1665="", $E1665="", $F1665="", $G1665="", $H1665=""), "",IF(AND($E1665=$G1665, $F1665=$H1665), 3, IF(SIGN($E1665-$F1665)=SIGN($G1665-$H1665), 1, 0))))</f>
        <v/>
      </c>
    </row>
    <row r="1666">
      <c r="A1666" s="5" t="inlineStr"/>
      <c r="B1666" s="5" t="inlineStr"/>
      <c r="C1666" s="5">
        <f>IF($B1666="","",VLOOKUP($B1666,Jogos!$A$2:$K$105,8,FALSE))</f>
        <v/>
      </c>
      <c r="D1666" s="5">
        <f>IF($B1666="","",VLOOKUP($B1666,Jogos!$A$2:$K$105,10,FALSE))</f>
        <v/>
      </c>
      <c r="E1666" s="5" t="inlineStr"/>
      <c r="F1666" s="5" t="inlineStr"/>
      <c r="G1666" s="8">
        <f>IF($B1666="","",VLOOKUP($B1666,Jogos!$A$2:$K$105,9,FALSE))</f>
        <v/>
      </c>
      <c r="H1666" s="8">
        <f>IF($B1666="","",VLOOKUP($B1666,Jogos!$A$2:$K$105,11,FALSE))</f>
        <v/>
      </c>
      <c r="I1666" s="5">
        <f>IF(OR($A1666="", $B1666="", $E1666="", $F1666="", $G1666="", $H1666=""), "",IF(AND($E1666=$G1666, $F1666=$H1666), 3, IF(SIGN($E1666-$F1666)=SIGN($G1666-$H1666), 1, 0))))</f>
        <v/>
      </c>
    </row>
    <row r="1667">
      <c r="A1667" s="5" t="inlineStr"/>
      <c r="B1667" s="5" t="inlineStr"/>
      <c r="C1667" s="5">
        <f>IF($B1667="","",VLOOKUP($B1667,Jogos!$A$2:$K$105,8,FALSE))</f>
        <v/>
      </c>
      <c r="D1667" s="5">
        <f>IF($B1667="","",VLOOKUP($B1667,Jogos!$A$2:$K$105,10,FALSE))</f>
        <v/>
      </c>
      <c r="E1667" s="5" t="inlineStr"/>
      <c r="F1667" s="5" t="inlineStr"/>
      <c r="G1667" s="8">
        <f>IF($B1667="","",VLOOKUP($B1667,Jogos!$A$2:$K$105,9,FALSE))</f>
        <v/>
      </c>
      <c r="H1667" s="8">
        <f>IF($B1667="","",VLOOKUP($B1667,Jogos!$A$2:$K$105,11,FALSE))</f>
        <v/>
      </c>
      <c r="I1667" s="5">
        <f>IF(OR($A1667="", $B1667="", $E1667="", $F1667="", $G1667="", $H1667=""), "",IF(AND($E1667=$G1667, $F1667=$H1667), 3, IF(SIGN($E1667-$F1667)=SIGN($G1667-$H1667), 1, 0))))</f>
        <v/>
      </c>
    </row>
    <row r="1668">
      <c r="A1668" s="5" t="inlineStr"/>
      <c r="B1668" s="5" t="inlineStr"/>
      <c r="C1668" s="5">
        <f>IF($B1668="","",VLOOKUP($B1668,Jogos!$A$2:$K$105,8,FALSE))</f>
        <v/>
      </c>
      <c r="D1668" s="5">
        <f>IF($B1668="","",VLOOKUP($B1668,Jogos!$A$2:$K$105,10,FALSE))</f>
        <v/>
      </c>
      <c r="E1668" s="5" t="inlineStr"/>
      <c r="F1668" s="5" t="inlineStr"/>
      <c r="G1668" s="8">
        <f>IF($B1668="","",VLOOKUP($B1668,Jogos!$A$2:$K$105,9,FALSE))</f>
        <v/>
      </c>
      <c r="H1668" s="8">
        <f>IF($B1668="","",VLOOKUP($B1668,Jogos!$A$2:$K$105,11,FALSE))</f>
        <v/>
      </c>
      <c r="I1668" s="5">
        <f>IF(OR($A1668="", $B1668="", $E1668="", $F1668="", $G1668="", $H1668=""), "",IF(AND($E1668=$G1668, $F1668=$H1668), 3, IF(SIGN($E1668-$F1668)=SIGN($G1668-$H1668), 1, 0))))</f>
        <v/>
      </c>
    </row>
    <row r="1669">
      <c r="A1669" s="5" t="inlineStr"/>
      <c r="B1669" s="5" t="inlineStr"/>
      <c r="C1669" s="5">
        <f>IF($B1669="","",VLOOKUP($B1669,Jogos!$A$2:$K$105,8,FALSE))</f>
        <v/>
      </c>
      <c r="D1669" s="5">
        <f>IF($B1669="","",VLOOKUP($B1669,Jogos!$A$2:$K$105,10,FALSE))</f>
        <v/>
      </c>
      <c r="E1669" s="5" t="inlineStr"/>
      <c r="F1669" s="5" t="inlineStr"/>
      <c r="G1669" s="8">
        <f>IF($B1669="","",VLOOKUP($B1669,Jogos!$A$2:$K$105,9,FALSE))</f>
        <v/>
      </c>
      <c r="H1669" s="8">
        <f>IF($B1669="","",VLOOKUP($B1669,Jogos!$A$2:$K$105,11,FALSE))</f>
        <v/>
      </c>
      <c r="I1669" s="5">
        <f>IF(OR($A1669="", $B1669="", $E1669="", $F1669="", $G1669="", $H1669=""), "",IF(AND($E1669=$G1669, $F1669=$H1669), 3, IF(SIGN($E1669-$F1669)=SIGN($G1669-$H1669), 1, 0))))</f>
        <v/>
      </c>
    </row>
    <row r="1670">
      <c r="A1670" s="5" t="inlineStr"/>
      <c r="B1670" s="5" t="inlineStr"/>
      <c r="C1670" s="5">
        <f>IF($B1670="","",VLOOKUP($B1670,Jogos!$A$2:$K$105,8,FALSE))</f>
        <v/>
      </c>
      <c r="D1670" s="5">
        <f>IF($B1670="","",VLOOKUP($B1670,Jogos!$A$2:$K$105,10,FALSE))</f>
        <v/>
      </c>
      <c r="E1670" s="5" t="inlineStr"/>
      <c r="F1670" s="5" t="inlineStr"/>
      <c r="G1670" s="8">
        <f>IF($B1670="","",VLOOKUP($B1670,Jogos!$A$2:$K$105,9,FALSE))</f>
        <v/>
      </c>
      <c r="H1670" s="8">
        <f>IF($B1670="","",VLOOKUP($B1670,Jogos!$A$2:$K$105,11,FALSE))</f>
        <v/>
      </c>
      <c r="I1670" s="5">
        <f>IF(OR($A1670="", $B1670="", $E1670="", $F1670="", $G1670="", $H1670=""), "",IF(AND($E1670=$G1670, $F1670=$H1670), 3, IF(SIGN($E1670-$F1670)=SIGN($G1670-$H1670), 1, 0))))</f>
        <v/>
      </c>
    </row>
    <row r="1671">
      <c r="A1671" s="5" t="inlineStr"/>
      <c r="B1671" s="5" t="inlineStr"/>
      <c r="C1671" s="5">
        <f>IF($B1671="","",VLOOKUP($B1671,Jogos!$A$2:$K$105,8,FALSE))</f>
        <v/>
      </c>
      <c r="D1671" s="5">
        <f>IF($B1671="","",VLOOKUP($B1671,Jogos!$A$2:$K$105,10,FALSE))</f>
        <v/>
      </c>
      <c r="E1671" s="5" t="inlineStr"/>
      <c r="F1671" s="5" t="inlineStr"/>
      <c r="G1671" s="8">
        <f>IF($B1671="","",VLOOKUP($B1671,Jogos!$A$2:$K$105,9,FALSE))</f>
        <v/>
      </c>
      <c r="H1671" s="8">
        <f>IF($B1671="","",VLOOKUP($B1671,Jogos!$A$2:$K$105,11,FALSE))</f>
        <v/>
      </c>
      <c r="I1671" s="5">
        <f>IF(OR($A1671="", $B1671="", $E1671="", $F1671="", $G1671="", $H1671=""), "",IF(AND($E1671=$G1671, $F1671=$H1671), 3, IF(SIGN($E1671-$F1671)=SIGN($G1671-$H1671), 1, 0))))</f>
        <v/>
      </c>
    </row>
    <row r="1672">
      <c r="A1672" s="5" t="inlineStr"/>
      <c r="B1672" s="5" t="inlineStr"/>
      <c r="C1672" s="5">
        <f>IF($B1672="","",VLOOKUP($B1672,Jogos!$A$2:$K$105,8,FALSE))</f>
        <v/>
      </c>
      <c r="D1672" s="5">
        <f>IF($B1672="","",VLOOKUP($B1672,Jogos!$A$2:$K$105,10,FALSE))</f>
        <v/>
      </c>
      <c r="E1672" s="5" t="inlineStr"/>
      <c r="F1672" s="5" t="inlineStr"/>
      <c r="G1672" s="8">
        <f>IF($B1672="","",VLOOKUP($B1672,Jogos!$A$2:$K$105,9,FALSE))</f>
        <v/>
      </c>
      <c r="H1672" s="8">
        <f>IF($B1672="","",VLOOKUP($B1672,Jogos!$A$2:$K$105,11,FALSE))</f>
        <v/>
      </c>
      <c r="I1672" s="5">
        <f>IF(OR($A1672="", $B1672="", $E1672="", $F1672="", $G1672="", $H1672=""), "",IF(AND($E1672=$G1672, $F1672=$H1672), 3, IF(SIGN($E1672-$F1672)=SIGN($G1672-$H1672), 1, 0))))</f>
        <v/>
      </c>
    </row>
    <row r="1673">
      <c r="A1673" s="5" t="inlineStr"/>
      <c r="B1673" s="5" t="inlineStr"/>
      <c r="C1673" s="5">
        <f>IF($B1673="","",VLOOKUP($B1673,Jogos!$A$2:$K$105,8,FALSE))</f>
        <v/>
      </c>
      <c r="D1673" s="5">
        <f>IF($B1673="","",VLOOKUP($B1673,Jogos!$A$2:$K$105,10,FALSE))</f>
        <v/>
      </c>
      <c r="E1673" s="5" t="inlineStr"/>
      <c r="F1673" s="5" t="inlineStr"/>
      <c r="G1673" s="8">
        <f>IF($B1673="","",VLOOKUP($B1673,Jogos!$A$2:$K$105,9,FALSE))</f>
        <v/>
      </c>
      <c r="H1673" s="8">
        <f>IF($B1673="","",VLOOKUP($B1673,Jogos!$A$2:$K$105,11,FALSE))</f>
        <v/>
      </c>
      <c r="I1673" s="5">
        <f>IF(OR($A1673="", $B1673="", $E1673="", $F1673="", $G1673="", $H1673=""), "",IF(AND($E1673=$G1673, $F1673=$H1673), 3, IF(SIGN($E1673-$F1673)=SIGN($G1673-$H1673), 1, 0))))</f>
        <v/>
      </c>
    </row>
    <row r="1674">
      <c r="A1674" s="5" t="inlineStr"/>
      <c r="B1674" s="5" t="inlineStr"/>
      <c r="C1674" s="5">
        <f>IF($B1674="","",VLOOKUP($B1674,Jogos!$A$2:$K$105,8,FALSE))</f>
        <v/>
      </c>
      <c r="D1674" s="5">
        <f>IF($B1674="","",VLOOKUP($B1674,Jogos!$A$2:$K$105,10,FALSE))</f>
        <v/>
      </c>
      <c r="E1674" s="5" t="inlineStr"/>
      <c r="F1674" s="5" t="inlineStr"/>
      <c r="G1674" s="8">
        <f>IF($B1674="","",VLOOKUP($B1674,Jogos!$A$2:$K$105,9,FALSE))</f>
        <v/>
      </c>
      <c r="H1674" s="8">
        <f>IF($B1674="","",VLOOKUP($B1674,Jogos!$A$2:$K$105,11,FALSE))</f>
        <v/>
      </c>
      <c r="I1674" s="5">
        <f>IF(OR($A1674="", $B1674="", $E1674="", $F1674="", $G1674="", $H1674=""), "",IF(AND($E1674=$G1674, $F1674=$H1674), 3, IF(SIGN($E1674-$F1674)=SIGN($G1674-$H1674), 1, 0))))</f>
        <v/>
      </c>
    </row>
    <row r="1675">
      <c r="A1675" s="5" t="inlineStr"/>
      <c r="B1675" s="5" t="inlineStr"/>
      <c r="C1675" s="5">
        <f>IF($B1675="","",VLOOKUP($B1675,Jogos!$A$2:$K$105,8,FALSE))</f>
        <v/>
      </c>
      <c r="D1675" s="5">
        <f>IF($B1675="","",VLOOKUP($B1675,Jogos!$A$2:$K$105,10,FALSE))</f>
        <v/>
      </c>
      <c r="E1675" s="5" t="inlineStr"/>
      <c r="F1675" s="5" t="inlineStr"/>
      <c r="G1675" s="8">
        <f>IF($B1675="","",VLOOKUP($B1675,Jogos!$A$2:$K$105,9,FALSE))</f>
        <v/>
      </c>
      <c r="H1675" s="8">
        <f>IF($B1675="","",VLOOKUP($B1675,Jogos!$A$2:$K$105,11,FALSE))</f>
        <v/>
      </c>
      <c r="I1675" s="5">
        <f>IF(OR($A1675="", $B1675="", $E1675="", $F1675="", $G1675="", $H1675=""), "",IF(AND($E1675=$G1675, $F1675=$H1675), 3, IF(SIGN($E1675-$F1675)=SIGN($G1675-$H1675), 1, 0))))</f>
        <v/>
      </c>
    </row>
    <row r="1676">
      <c r="A1676" s="5" t="inlineStr"/>
      <c r="B1676" s="5" t="inlineStr"/>
      <c r="C1676" s="5">
        <f>IF($B1676="","",VLOOKUP($B1676,Jogos!$A$2:$K$105,8,FALSE))</f>
        <v/>
      </c>
      <c r="D1676" s="5">
        <f>IF($B1676="","",VLOOKUP($B1676,Jogos!$A$2:$K$105,10,FALSE))</f>
        <v/>
      </c>
      <c r="E1676" s="5" t="inlineStr"/>
      <c r="F1676" s="5" t="inlineStr"/>
      <c r="G1676" s="8">
        <f>IF($B1676="","",VLOOKUP($B1676,Jogos!$A$2:$K$105,9,FALSE))</f>
        <v/>
      </c>
      <c r="H1676" s="8">
        <f>IF($B1676="","",VLOOKUP($B1676,Jogos!$A$2:$K$105,11,FALSE))</f>
        <v/>
      </c>
      <c r="I1676" s="5">
        <f>IF(OR($A1676="", $B1676="", $E1676="", $F1676="", $G1676="", $H1676=""), "",IF(AND($E1676=$G1676, $F1676=$H1676), 3, IF(SIGN($E1676-$F1676)=SIGN($G1676-$H1676), 1, 0))))</f>
        <v/>
      </c>
    </row>
    <row r="1677">
      <c r="A1677" s="5" t="inlineStr"/>
      <c r="B1677" s="5" t="inlineStr"/>
      <c r="C1677" s="5">
        <f>IF($B1677="","",VLOOKUP($B1677,Jogos!$A$2:$K$105,8,FALSE))</f>
        <v/>
      </c>
      <c r="D1677" s="5">
        <f>IF($B1677="","",VLOOKUP($B1677,Jogos!$A$2:$K$105,10,FALSE))</f>
        <v/>
      </c>
      <c r="E1677" s="5" t="inlineStr"/>
      <c r="F1677" s="5" t="inlineStr"/>
      <c r="G1677" s="8">
        <f>IF($B1677="","",VLOOKUP($B1677,Jogos!$A$2:$K$105,9,FALSE))</f>
        <v/>
      </c>
      <c r="H1677" s="8">
        <f>IF($B1677="","",VLOOKUP($B1677,Jogos!$A$2:$K$105,11,FALSE))</f>
        <v/>
      </c>
      <c r="I1677" s="5">
        <f>IF(OR($A1677="", $B1677="", $E1677="", $F1677="", $G1677="", $H1677=""), "",IF(AND($E1677=$G1677, $F1677=$H1677), 3, IF(SIGN($E1677-$F1677)=SIGN($G1677-$H1677), 1, 0))))</f>
        <v/>
      </c>
    </row>
    <row r="1678">
      <c r="A1678" s="5" t="inlineStr"/>
      <c r="B1678" s="5" t="inlineStr"/>
      <c r="C1678" s="5">
        <f>IF($B1678="","",VLOOKUP($B1678,Jogos!$A$2:$K$105,8,FALSE))</f>
        <v/>
      </c>
      <c r="D1678" s="5">
        <f>IF($B1678="","",VLOOKUP($B1678,Jogos!$A$2:$K$105,10,FALSE))</f>
        <v/>
      </c>
      <c r="E1678" s="5" t="inlineStr"/>
      <c r="F1678" s="5" t="inlineStr"/>
      <c r="G1678" s="8">
        <f>IF($B1678="","",VLOOKUP($B1678,Jogos!$A$2:$K$105,9,FALSE))</f>
        <v/>
      </c>
      <c r="H1678" s="8">
        <f>IF($B1678="","",VLOOKUP($B1678,Jogos!$A$2:$K$105,11,FALSE))</f>
        <v/>
      </c>
      <c r="I1678" s="5">
        <f>IF(OR($A1678="", $B1678="", $E1678="", $F1678="", $G1678="", $H1678=""), "",IF(AND($E1678=$G1678, $F1678=$H1678), 3, IF(SIGN($E1678-$F1678)=SIGN($G1678-$H1678), 1, 0))))</f>
        <v/>
      </c>
    </row>
    <row r="1679">
      <c r="A1679" s="5" t="inlineStr"/>
      <c r="B1679" s="5" t="inlineStr"/>
      <c r="C1679" s="5">
        <f>IF($B1679="","",VLOOKUP($B1679,Jogos!$A$2:$K$105,8,FALSE))</f>
        <v/>
      </c>
      <c r="D1679" s="5">
        <f>IF($B1679="","",VLOOKUP($B1679,Jogos!$A$2:$K$105,10,FALSE))</f>
        <v/>
      </c>
      <c r="E1679" s="5" t="inlineStr"/>
      <c r="F1679" s="5" t="inlineStr"/>
      <c r="G1679" s="8">
        <f>IF($B1679="","",VLOOKUP($B1679,Jogos!$A$2:$K$105,9,FALSE))</f>
        <v/>
      </c>
      <c r="H1679" s="8">
        <f>IF($B1679="","",VLOOKUP($B1679,Jogos!$A$2:$K$105,11,FALSE))</f>
        <v/>
      </c>
      <c r="I1679" s="5">
        <f>IF(OR($A1679="", $B1679="", $E1679="", $F1679="", $G1679="", $H1679=""), "",IF(AND($E1679=$G1679, $F1679=$H1679), 3, IF(SIGN($E1679-$F1679)=SIGN($G1679-$H1679), 1, 0))))</f>
        <v/>
      </c>
    </row>
    <row r="1680">
      <c r="A1680" s="5" t="inlineStr"/>
      <c r="B1680" s="5" t="inlineStr"/>
      <c r="C1680" s="5">
        <f>IF($B1680="","",VLOOKUP($B1680,Jogos!$A$2:$K$105,8,FALSE))</f>
        <v/>
      </c>
      <c r="D1680" s="5">
        <f>IF($B1680="","",VLOOKUP($B1680,Jogos!$A$2:$K$105,10,FALSE))</f>
        <v/>
      </c>
      <c r="E1680" s="5" t="inlineStr"/>
      <c r="F1680" s="5" t="inlineStr"/>
      <c r="G1680" s="8">
        <f>IF($B1680="","",VLOOKUP($B1680,Jogos!$A$2:$K$105,9,FALSE))</f>
        <v/>
      </c>
      <c r="H1680" s="8">
        <f>IF($B1680="","",VLOOKUP($B1680,Jogos!$A$2:$K$105,11,FALSE))</f>
        <v/>
      </c>
      <c r="I1680" s="5">
        <f>IF(OR($A1680="", $B1680="", $E1680="", $F1680="", $G1680="", $H1680=""), "",IF(AND($E1680=$G1680, $F1680=$H1680), 3, IF(SIGN($E1680-$F1680)=SIGN($G1680-$H1680), 1, 0))))</f>
        <v/>
      </c>
    </row>
    <row r="1681">
      <c r="A1681" s="5" t="inlineStr"/>
      <c r="B1681" s="5" t="inlineStr"/>
      <c r="C1681" s="5">
        <f>IF($B1681="","",VLOOKUP($B1681,Jogos!$A$2:$K$105,8,FALSE))</f>
        <v/>
      </c>
      <c r="D1681" s="5">
        <f>IF($B1681="","",VLOOKUP($B1681,Jogos!$A$2:$K$105,10,FALSE))</f>
        <v/>
      </c>
      <c r="E1681" s="5" t="inlineStr"/>
      <c r="F1681" s="5" t="inlineStr"/>
      <c r="G1681" s="8">
        <f>IF($B1681="","",VLOOKUP($B1681,Jogos!$A$2:$K$105,9,FALSE))</f>
        <v/>
      </c>
      <c r="H1681" s="8">
        <f>IF($B1681="","",VLOOKUP($B1681,Jogos!$A$2:$K$105,11,FALSE))</f>
        <v/>
      </c>
      <c r="I1681" s="5">
        <f>IF(OR($A1681="", $B1681="", $E1681="", $F1681="", $G1681="", $H1681=""), "",IF(AND($E1681=$G1681, $F1681=$H1681), 3, IF(SIGN($E1681-$F1681)=SIGN($G1681-$H1681), 1, 0))))</f>
        <v/>
      </c>
    </row>
    <row r="1682">
      <c r="A1682" s="5" t="inlineStr"/>
      <c r="B1682" s="5" t="inlineStr"/>
      <c r="C1682" s="5">
        <f>IF($B1682="","",VLOOKUP($B1682,Jogos!$A$2:$K$105,8,FALSE))</f>
        <v/>
      </c>
      <c r="D1682" s="5">
        <f>IF($B1682="","",VLOOKUP($B1682,Jogos!$A$2:$K$105,10,FALSE))</f>
        <v/>
      </c>
      <c r="E1682" s="5" t="inlineStr"/>
      <c r="F1682" s="5" t="inlineStr"/>
      <c r="G1682" s="8">
        <f>IF($B1682="","",VLOOKUP($B1682,Jogos!$A$2:$K$105,9,FALSE))</f>
        <v/>
      </c>
      <c r="H1682" s="8">
        <f>IF($B1682="","",VLOOKUP($B1682,Jogos!$A$2:$K$105,11,FALSE))</f>
        <v/>
      </c>
      <c r="I1682" s="5">
        <f>IF(OR($A1682="", $B1682="", $E1682="", $F1682="", $G1682="", $H1682=""), "",IF(AND($E1682=$G1682, $F1682=$H1682), 3, IF(SIGN($E1682-$F1682)=SIGN($G1682-$H1682), 1, 0))))</f>
        <v/>
      </c>
    </row>
    <row r="1683">
      <c r="A1683" s="5" t="inlineStr"/>
      <c r="B1683" s="5" t="inlineStr"/>
      <c r="C1683" s="5">
        <f>IF($B1683="","",VLOOKUP($B1683,Jogos!$A$2:$K$105,8,FALSE))</f>
        <v/>
      </c>
      <c r="D1683" s="5">
        <f>IF($B1683="","",VLOOKUP($B1683,Jogos!$A$2:$K$105,10,FALSE))</f>
        <v/>
      </c>
      <c r="E1683" s="5" t="inlineStr"/>
      <c r="F1683" s="5" t="inlineStr"/>
      <c r="G1683" s="8">
        <f>IF($B1683="","",VLOOKUP($B1683,Jogos!$A$2:$K$105,9,FALSE))</f>
        <v/>
      </c>
      <c r="H1683" s="8">
        <f>IF($B1683="","",VLOOKUP($B1683,Jogos!$A$2:$K$105,11,FALSE))</f>
        <v/>
      </c>
      <c r="I1683" s="5">
        <f>IF(OR($A1683="", $B1683="", $E1683="", $F1683="", $G1683="", $H1683=""), "",IF(AND($E1683=$G1683, $F1683=$H1683), 3, IF(SIGN($E1683-$F1683)=SIGN($G1683-$H1683), 1, 0))))</f>
        <v/>
      </c>
    </row>
    <row r="1684">
      <c r="A1684" s="5" t="inlineStr"/>
      <c r="B1684" s="5" t="inlineStr"/>
      <c r="C1684" s="5">
        <f>IF($B1684="","",VLOOKUP($B1684,Jogos!$A$2:$K$105,8,FALSE))</f>
        <v/>
      </c>
      <c r="D1684" s="5">
        <f>IF($B1684="","",VLOOKUP($B1684,Jogos!$A$2:$K$105,10,FALSE))</f>
        <v/>
      </c>
      <c r="E1684" s="5" t="inlineStr"/>
      <c r="F1684" s="5" t="inlineStr"/>
      <c r="G1684" s="8">
        <f>IF($B1684="","",VLOOKUP($B1684,Jogos!$A$2:$K$105,9,FALSE))</f>
        <v/>
      </c>
      <c r="H1684" s="8">
        <f>IF($B1684="","",VLOOKUP($B1684,Jogos!$A$2:$K$105,11,FALSE))</f>
        <v/>
      </c>
      <c r="I1684" s="5">
        <f>IF(OR($A1684="", $B1684="", $E1684="", $F1684="", $G1684="", $H1684=""), "",IF(AND($E1684=$G1684, $F1684=$H1684), 3, IF(SIGN($E1684-$F1684)=SIGN($G1684-$H1684), 1, 0))))</f>
        <v/>
      </c>
    </row>
    <row r="1685">
      <c r="A1685" s="5" t="inlineStr"/>
      <c r="B1685" s="5" t="inlineStr"/>
      <c r="C1685" s="5">
        <f>IF($B1685="","",VLOOKUP($B1685,Jogos!$A$2:$K$105,8,FALSE))</f>
        <v/>
      </c>
      <c r="D1685" s="5">
        <f>IF($B1685="","",VLOOKUP($B1685,Jogos!$A$2:$K$105,10,FALSE))</f>
        <v/>
      </c>
      <c r="E1685" s="5" t="inlineStr"/>
      <c r="F1685" s="5" t="inlineStr"/>
      <c r="G1685" s="8">
        <f>IF($B1685="","",VLOOKUP($B1685,Jogos!$A$2:$K$105,9,FALSE))</f>
        <v/>
      </c>
      <c r="H1685" s="8">
        <f>IF($B1685="","",VLOOKUP($B1685,Jogos!$A$2:$K$105,11,FALSE))</f>
        <v/>
      </c>
      <c r="I1685" s="5">
        <f>IF(OR($A1685="", $B1685="", $E1685="", $F1685="", $G1685="", $H1685=""), "",IF(AND($E1685=$G1685, $F1685=$H1685), 3, IF(SIGN($E1685-$F1685)=SIGN($G1685-$H1685), 1, 0))))</f>
        <v/>
      </c>
    </row>
    <row r="1686">
      <c r="A1686" s="5" t="inlineStr"/>
      <c r="B1686" s="5" t="inlineStr"/>
      <c r="C1686" s="5">
        <f>IF($B1686="","",VLOOKUP($B1686,Jogos!$A$2:$K$105,8,FALSE))</f>
        <v/>
      </c>
      <c r="D1686" s="5">
        <f>IF($B1686="","",VLOOKUP($B1686,Jogos!$A$2:$K$105,10,FALSE))</f>
        <v/>
      </c>
      <c r="E1686" s="5" t="inlineStr"/>
      <c r="F1686" s="5" t="inlineStr"/>
      <c r="G1686" s="8">
        <f>IF($B1686="","",VLOOKUP($B1686,Jogos!$A$2:$K$105,9,FALSE))</f>
        <v/>
      </c>
      <c r="H1686" s="8">
        <f>IF($B1686="","",VLOOKUP($B1686,Jogos!$A$2:$K$105,11,FALSE))</f>
        <v/>
      </c>
      <c r="I1686" s="5">
        <f>IF(OR($A1686="", $B1686="", $E1686="", $F1686="", $G1686="", $H1686=""), "",IF(AND($E1686=$G1686, $F1686=$H1686), 3, IF(SIGN($E1686-$F1686)=SIGN($G1686-$H1686), 1, 0))))</f>
        <v/>
      </c>
    </row>
    <row r="1687">
      <c r="A1687" s="5" t="inlineStr"/>
      <c r="B1687" s="5" t="inlineStr"/>
      <c r="C1687" s="5">
        <f>IF($B1687="","",VLOOKUP($B1687,Jogos!$A$2:$K$105,8,FALSE))</f>
        <v/>
      </c>
      <c r="D1687" s="5">
        <f>IF($B1687="","",VLOOKUP($B1687,Jogos!$A$2:$K$105,10,FALSE))</f>
        <v/>
      </c>
      <c r="E1687" s="5" t="inlineStr"/>
      <c r="F1687" s="5" t="inlineStr"/>
      <c r="G1687" s="8">
        <f>IF($B1687="","",VLOOKUP($B1687,Jogos!$A$2:$K$105,9,FALSE))</f>
        <v/>
      </c>
      <c r="H1687" s="8">
        <f>IF($B1687="","",VLOOKUP($B1687,Jogos!$A$2:$K$105,11,FALSE))</f>
        <v/>
      </c>
      <c r="I1687" s="5">
        <f>IF(OR($A1687="", $B1687="", $E1687="", $F1687="", $G1687="", $H1687=""), "",IF(AND($E1687=$G1687, $F1687=$H1687), 3, IF(SIGN($E1687-$F1687)=SIGN($G1687-$H1687), 1, 0))))</f>
        <v/>
      </c>
    </row>
    <row r="1688">
      <c r="A1688" s="5" t="inlineStr"/>
      <c r="B1688" s="5" t="inlineStr"/>
      <c r="C1688" s="5">
        <f>IF($B1688="","",VLOOKUP($B1688,Jogos!$A$2:$K$105,8,FALSE))</f>
        <v/>
      </c>
      <c r="D1688" s="5">
        <f>IF($B1688="","",VLOOKUP($B1688,Jogos!$A$2:$K$105,10,FALSE))</f>
        <v/>
      </c>
      <c r="E1688" s="5" t="inlineStr"/>
      <c r="F1688" s="5" t="inlineStr"/>
      <c r="G1688" s="8">
        <f>IF($B1688="","",VLOOKUP($B1688,Jogos!$A$2:$K$105,9,FALSE))</f>
        <v/>
      </c>
      <c r="H1688" s="8">
        <f>IF($B1688="","",VLOOKUP($B1688,Jogos!$A$2:$K$105,11,FALSE))</f>
        <v/>
      </c>
      <c r="I1688" s="5">
        <f>IF(OR($A1688="", $B1688="", $E1688="", $F1688="", $G1688="", $H1688=""), "",IF(AND($E1688=$G1688, $F1688=$H1688), 3, IF(SIGN($E1688-$F1688)=SIGN($G1688-$H1688), 1, 0))))</f>
        <v/>
      </c>
    </row>
    <row r="1689">
      <c r="A1689" s="5" t="inlineStr"/>
      <c r="B1689" s="5" t="inlineStr"/>
      <c r="C1689" s="5">
        <f>IF($B1689="","",VLOOKUP($B1689,Jogos!$A$2:$K$105,8,FALSE))</f>
        <v/>
      </c>
      <c r="D1689" s="5">
        <f>IF($B1689="","",VLOOKUP($B1689,Jogos!$A$2:$K$105,10,FALSE))</f>
        <v/>
      </c>
      <c r="E1689" s="5" t="inlineStr"/>
      <c r="F1689" s="5" t="inlineStr"/>
      <c r="G1689" s="8">
        <f>IF($B1689="","",VLOOKUP($B1689,Jogos!$A$2:$K$105,9,FALSE))</f>
        <v/>
      </c>
      <c r="H1689" s="8">
        <f>IF($B1689="","",VLOOKUP($B1689,Jogos!$A$2:$K$105,11,FALSE))</f>
        <v/>
      </c>
      <c r="I1689" s="5">
        <f>IF(OR($A1689="", $B1689="", $E1689="", $F1689="", $G1689="", $H1689=""), "",IF(AND($E1689=$G1689, $F1689=$H1689), 3, IF(SIGN($E1689-$F1689)=SIGN($G1689-$H1689), 1, 0))))</f>
        <v/>
      </c>
    </row>
    <row r="1690">
      <c r="A1690" s="5" t="inlineStr"/>
      <c r="B1690" s="5" t="inlineStr"/>
      <c r="C1690" s="5">
        <f>IF($B1690="","",VLOOKUP($B1690,Jogos!$A$2:$K$105,8,FALSE))</f>
        <v/>
      </c>
      <c r="D1690" s="5">
        <f>IF($B1690="","",VLOOKUP($B1690,Jogos!$A$2:$K$105,10,FALSE))</f>
        <v/>
      </c>
      <c r="E1690" s="5" t="inlineStr"/>
      <c r="F1690" s="5" t="inlineStr"/>
      <c r="G1690" s="8">
        <f>IF($B1690="","",VLOOKUP($B1690,Jogos!$A$2:$K$105,9,FALSE))</f>
        <v/>
      </c>
      <c r="H1690" s="8">
        <f>IF($B1690="","",VLOOKUP($B1690,Jogos!$A$2:$K$105,11,FALSE))</f>
        <v/>
      </c>
      <c r="I1690" s="5">
        <f>IF(OR($A1690="", $B1690="", $E1690="", $F1690="", $G1690="", $H1690=""), "",IF(AND($E1690=$G1690, $F1690=$H1690), 3, IF(SIGN($E1690-$F1690)=SIGN($G1690-$H1690), 1, 0))))</f>
        <v/>
      </c>
    </row>
    <row r="1691">
      <c r="A1691" s="5" t="inlineStr"/>
      <c r="B1691" s="5" t="inlineStr"/>
      <c r="C1691" s="5">
        <f>IF($B1691="","",VLOOKUP($B1691,Jogos!$A$2:$K$105,8,FALSE))</f>
        <v/>
      </c>
      <c r="D1691" s="5">
        <f>IF($B1691="","",VLOOKUP($B1691,Jogos!$A$2:$K$105,10,FALSE))</f>
        <v/>
      </c>
      <c r="E1691" s="5" t="inlineStr"/>
      <c r="F1691" s="5" t="inlineStr"/>
      <c r="G1691" s="8">
        <f>IF($B1691="","",VLOOKUP($B1691,Jogos!$A$2:$K$105,9,FALSE))</f>
        <v/>
      </c>
      <c r="H1691" s="8">
        <f>IF($B1691="","",VLOOKUP($B1691,Jogos!$A$2:$K$105,11,FALSE))</f>
        <v/>
      </c>
      <c r="I1691" s="5">
        <f>IF(OR($A1691="", $B1691="", $E1691="", $F1691="", $G1691="", $H1691=""), "",IF(AND($E1691=$G1691, $F1691=$H1691), 3, IF(SIGN($E1691-$F1691)=SIGN($G1691-$H1691), 1, 0))))</f>
        <v/>
      </c>
    </row>
    <row r="1692">
      <c r="A1692" s="5" t="inlineStr"/>
      <c r="B1692" s="5" t="inlineStr"/>
      <c r="C1692" s="5">
        <f>IF($B1692="","",VLOOKUP($B1692,Jogos!$A$2:$K$105,8,FALSE))</f>
        <v/>
      </c>
      <c r="D1692" s="5">
        <f>IF($B1692="","",VLOOKUP($B1692,Jogos!$A$2:$K$105,10,FALSE))</f>
        <v/>
      </c>
      <c r="E1692" s="5" t="inlineStr"/>
      <c r="F1692" s="5" t="inlineStr"/>
      <c r="G1692" s="8">
        <f>IF($B1692="","",VLOOKUP($B1692,Jogos!$A$2:$K$105,9,FALSE))</f>
        <v/>
      </c>
      <c r="H1692" s="8">
        <f>IF($B1692="","",VLOOKUP($B1692,Jogos!$A$2:$K$105,11,FALSE))</f>
        <v/>
      </c>
      <c r="I1692" s="5">
        <f>IF(OR($A1692="", $B1692="", $E1692="", $F1692="", $G1692="", $H1692=""), "",IF(AND($E1692=$G1692, $F1692=$H1692), 3, IF(SIGN($E1692-$F1692)=SIGN($G1692-$H1692), 1, 0))))</f>
        <v/>
      </c>
    </row>
    <row r="1693">
      <c r="A1693" s="5" t="inlineStr"/>
      <c r="B1693" s="5" t="inlineStr"/>
      <c r="C1693" s="5">
        <f>IF($B1693="","",VLOOKUP($B1693,Jogos!$A$2:$K$105,8,FALSE))</f>
        <v/>
      </c>
      <c r="D1693" s="5">
        <f>IF($B1693="","",VLOOKUP($B1693,Jogos!$A$2:$K$105,10,FALSE))</f>
        <v/>
      </c>
      <c r="E1693" s="5" t="inlineStr"/>
      <c r="F1693" s="5" t="inlineStr"/>
      <c r="G1693" s="8">
        <f>IF($B1693="","",VLOOKUP($B1693,Jogos!$A$2:$K$105,9,FALSE))</f>
        <v/>
      </c>
      <c r="H1693" s="8">
        <f>IF($B1693="","",VLOOKUP($B1693,Jogos!$A$2:$K$105,11,FALSE))</f>
        <v/>
      </c>
      <c r="I1693" s="5">
        <f>IF(OR($A1693="", $B1693="", $E1693="", $F1693="", $G1693="", $H1693=""), "",IF(AND($E1693=$G1693, $F1693=$H1693), 3, IF(SIGN($E1693-$F1693)=SIGN($G1693-$H1693), 1, 0))))</f>
        <v/>
      </c>
    </row>
    <row r="1694">
      <c r="A1694" s="5" t="inlineStr"/>
      <c r="B1694" s="5" t="inlineStr"/>
      <c r="C1694" s="5">
        <f>IF($B1694="","",VLOOKUP($B1694,Jogos!$A$2:$K$105,8,FALSE))</f>
        <v/>
      </c>
      <c r="D1694" s="5">
        <f>IF($B1694="","",VLOOKUP($B1694,Jogos!$A$2:$K$105,10,FALSE))</f>
        <v/>
      </c>
      <c r="E1694" s="5" t="inlineStr"/>
      <c r="F1694" s="5" t="inlineStr"/>
      <c r="G1694" s="8">
        <f>IF($B1694="","",VLOOKUP($B1694,Jogos!$A$2:$K$105,9,FALSE))</f>
        <v/>
      </c>
      <c r="H1694" s="8">
        <f>IF($B1694="","",VLOOKUP($B1694,Jogos!$A$2:$K$105,11,FALSE))</f>
        <v/>
      </c>
      <c r="I1694" s="5">
        <f>IF(OR($A1694="", $B1694="", $E1694="", $F1694="", $G1694="", $H1694=""), "",IF(AND($E1694=$G1694, $F1694=$H1694), 3, IF(SIGN($E1694-$F1694)=SIGN($G1694-$H1694), 1, 0))))</f>
        <v/>
      </c>
    </row>
    <row r="1695">
      <c r="A1695" s="5" t="inlineStr"/>
      <c r="B1695" s="5" t="inlineStr"/>
      <c r="C1695" s="5">
        <f>IF($B1695="","",VLOOKUP($B1695,Jogos!$A$2:$K$105,8,FALSE))</f>
        <v/>
      </c>
      <c r="D1695" s="5">
        <f>IF($B1695="","",VLOOKUP($B1695,Jogos!$A$2:$K$105,10,FALSE))</f>
        <v/>
      </c>
      <c r="E1695" s="5" t="inlineStr"/>
      <c r="F1695" s="5" t="inlineStr"/>
      <c r="G1695" s="8">
        <f>IF($B1695="","",VLOOKUP($B1695,Jogos!$A$2:$K$105,9,FALSE))</f>
        <v/>
      </c>
      <c r="H1695" s="8">
        <f>IF($B1695="","",VLOOKUP($B1695,Jogos!$A$2:$K$105,11,FALSE))</f>
        <v/>
      </c>
      <c r="I1695" s="5">
        <f>IF(OR($A1695="", $B1695="", $E1695="", $F1695="", $G1695="", $H1695=""), "",IF(AND($E1695=$G1695, $F1695=$H1695), 3, IF(SIGN($E1695-$F1695)=SIGN($G1695-$H1695), 1, 0))))</f>
        <v/>
      </c>
    </row>
    <row r="1696">
      <c r="A1696" s="5" t="inlineStr"/>
      <c r="B1696" s="5" t="inlineStr"/>
      <c r="C1696" s="5">
        <f>IF($B1696="","",VLOOKUP($B1696,Jogos!$A$2:$K$105,8,FALSE))</f>
        <v/>
      </c>
      <c r="D1696" s="5">
        <f>IF($B1696="","",VLOOKUP($B1696,Jogos!$A$2:$K$105,10,FALSE))</f>
        <v/>
      </c>
      <c r="E1696" s="5" t="inlineStr"/>
      <c r="F1696" s="5" t="inlineStr"/>
      <c r="G1696" s="8">
        <f>IF($B1696="","",VLOOKUP($B1696,Jogos!$A$2:$K$105,9,FALSE))</f>
        <v/>
      </c>
      <c r="H1696" s="8">
        <f>IF($B1696="","",VLOOKUP($B1696,Jogos!$A$2:$K$105,11,FALSE))</f>
        <v/>
      </c>
      <c r="I1696" s="5">
        <f>IF(OR($A1696="", $B1696="", $E1696="", $F1696="", $G1696="", $H1696=""), "",IF(AND($E1696=$G1696, $F1696=$H1696), 3, IF(SIGN($E1696-$F1696)=SIGN($G1696-$H1696), 1, 0))))</f>
        <v/>
      </c>
    </row>
    <row r="1697">
      <c r="A1697" s="5" t="inlineStr"/>
      <c r="B1697" s="5" t="inlineStr"/>
      <c r="C1697" s="5">
        <f>IF($B1697="","",VLOOKUP($B1697,Jogos!$A$2:$K$105,8,FALSE))</f>
        <v/>
      </c>
      <c r="D1697" s="5">
        <f>IF($B1697="","",VLOOKUP($B1697,Jogos!$A$2:$K$105,10,FALSE))</f>
        <v/>
      </c>
      <c r="E1697" s="5" t="inlineStr"/>
      <c r="F1697" s="5" t="inlineStr"/>
      <c r="G1697" s="8">
        <f>IF($B1697="","",VLOOKUP($B1697,Jogos!$A$2:$K$105,9,FALSE))</f>
        <v/>
      </c>
      <c r="H1697" s="8">
        <f>IF($B1697="","",VLOOKUP($B1697,Jogos!$A$2:$K$105,11,FALSE))</f>
        <v/>
      </c>
      <c r="I1697" s="5">
        <f>IF(OR($A1697="", $B1697="", $E1697="", $F1697="", $G1697="", $H1697=""), "",IF(AND($E1697=$G1697, $F1697=$H1697), 3, IF(SIGN($E1697-$F1697)=SIGN($G1697-$H1697), 1, 0))))</f>
        <v/>
      </c>
    </row>
    <row r="1698">
      <c r="A1698" s="5" t="inlineStr"/>
      <c r="B1698" s="5" t="inlineStr"/>
      <c r="C1698" s="5">
        <f>IF($B1698="","",VLOOKUP($B1698,Jogos!$A$2:$K$105,8,FALSE))</f>
        <v/>
      </c>
      <c r="D1698" s="5">
        <f>IF($B1698="","",VLOOKUP($B1698,Jogos!$A$2:$K$105,10,FALSE))</f>
        <v/>
      </c>
      <c r="E1698" s="5" t="inlineStr"/>
      <c r="F1698" s="5" t="inlineStr"/>
      <c r="G1698" s="8">
        <f>IF($B1698="","",VLOOKUP($B1698,Jogos!$A$2:$K$105,9,FALSE))</f>
        <v/>
      </c>
      <c r="H1698" s="8">
        <f>IF($B1698="","",VLOOKUP($B1698,Jogos!$A$2:$K$105,11,FALSE))</f>
        <v/>
      </c>
      <c r="I1698" s="5">
        <f>IF(OR($A1698="", $B1698="", $E1698="", $F1698="", $G1698="", $H1698=""), "",IF(AND($E1698=$G1698, $F1698=$H1698), 3, IF(SIGN($E1698-$F1698)=SIGN($G1698-$H1698), 1, 0))))</f>
        <v/>
      </c>
    </row>
    <row r="1699">
      <c r="A1699" s="5" t="inlineStr"/>
      <c r="B1699" s="5" t="inlineStr"/>
      <c r="C1699" s="5">
        <f>IF($B1699="","",VLOOKUP($B1699,Jogos!$A$2:$K$105,8,FALSE))</f>
        <v/>
      </c>
      <c r="D1699" s="5">
        <f>IF($B1699="","",VLOOKUP($B1699,Jogos!$A$2:$K$105,10,FALSE))</f>
        <v/>
      </c>
      <c r="E1699" s="5" t="inlineStr"/>
      <c r="F1699" s="5" t="inlineStr"/>
      <c r="G1699" s="8">
        <f>IF($B1699="","",VLOOKUP($B1699,Jogos!$A$2:$K$105,9,FALSE))</f>
        <v/>
      </c>
      <c r="H1699" s="8">
        <f>IF($B1699="","",VLOOKUP($B1699,Jogos!$A$2:$K$105,11,FALSE))</f>
        <v/>
      </c>
      <c r="I1699" s="5">
        <f>IF(OR($A1699="", $B1699="", $E1699="", $F1699="", $G1699="", $H1699=""), "",IF(AND($E1699=$G1699, $F1699=$H1699), 3, IF(SIGN($E1699-$F1699)=SIGN($G1699-$H1699), 1, 0))))</f>
        <v/>
      </c>
    </row>
    <row r="1700">
      <c r="A1700" s="5" t="inlineStr"/>
      <c r="B1700" s="5" t="inlineStr"/>
      <c r="C1700" s="5">
        <f>IF($B1700="","",VLOOKUP($B1700,Jogos!$A$2:$K$105,8,FALSE))</f>
        <v/>
      </c>
      <c r="D1700" s="5">
        <f>IF($B1700="","",VLOOKUP($B1700,Jogos!$A$2:$K$105,10,FALSE))</f>
        <v/>
      </c>
      <c r="E1700" s="5" t="inlineStr"/>
      <c r="F1700" s="5" t="inlineStr"/>
      <c r="G1700" s="8">
        <f>IF($B1700="","",VLOOKUP($B1700,Jogos!$A$2:$K$105,9,FALSE))</f>
        <v/>
      </c>
      <c r="H1700" s="8">
        <f>IF($B1700="","",VLOOKUP($B1700,Jogos!$A$2:$K$105,11,FALSE))</f>
        <v/>
      </c>
      <c r="I1700" s="5">
        <f>IF(OR($A1700="", $B1700="", $E1700="", $F1700="", $G1700="", $H1700=""), "",IF(AND($E1700=$G1700, $F1700=$H1700), 3, IF(SIGN($E1700-$F1700)=SIGN($G1700-$H1700), 1, 0))))</f>
        <v/>
      </c>
    </row>
    <row r="1701">
      <c r="A1701" s="5" t="inlineStr"/>
      <c r="B1701" s="5" t="inlineStr"/>
      <c r="C1701" s="5">
        <f>IF($B1701="","",VLOOKUP($B1701,Jogos!$A$2:$K$105,8,FALSE))</f>
        <v/>
      </c>
      <c r="D1701" s="5">
        <f>IF($B1701="","",VLOOKUP($B1701,Jogos!$A$2:$K$105,10,FALSE))</f>
        <v/>
      </c>
      <c r="E1701" s="5" t="inlineStr"/>
      <c r="F1701" s="5" t="inlineStr"/>
      <c r="G1701" s="8">
        <f>IF($B1701="","",VLOOKUP($B1701,Jogos!$A$2:$K$105,9,FALSE))</f>
        <v/>
      </c>
      <c r="H1701" s="8">
        <f>IF($B1701="","",VLOOKUP($B1701,Jogos!$A$2:$K$105,11,FALSE))</f>
        <v/>
      </c>
      <c r="I1701" s="5">
        <f>IF(OR($A1701="", $B1701="", $E1701="", $F1701="", $G1701="", $H1701=""), "",IF(AND($E1701=$G1701, $F1701=$H1701), 3, IF(SIGN($E1701-$F1701)=SIGN($G1701-$H1701), 1, 0))))</f>
        <v/>
      </c>
    </row>
    <row r="1702">
      <c r="A1702" s="5" t="inlineStr"/>
      <c r="B1702" s="5" t="inlineStr"/>
      <c r="C1702" s="5">
        <f>IF($B1702="","",VLOOKUP($B1702,Jogos!$A$2:$K$105,8,FALSE))</f>
        <v/>
      </c>
      <c r="D1702" s="5">
        <f>IF($B1702="","",VLOOKUP($B1702,Jogos!$A$2:$K$105,10,FALSE))</f>
        <v/>
      </c>
      <c r="E1702" s="5" t="inlineStr"/>
      <c r="F1702" s="5" t="inlineStr"/>
      <c r="G1702" s="8">
        <f>IF($B1702="","",VLOOKUP($B1702,Jogos!$A$2:$K$105,9,FALSE))</f>
        <v/>
      </c>
      <c r="H1702" s="8">
        <f>IF($B1702="","",VLOOKUP($B1702,Jogos!$A$2:$K$105,11,FALSE))</f>
        <v/>
      </c>
      <c r="I1702" s="5">
        <f>IF(OR($A1702="", $B1702="", $E1702="", $F1702="", $G1702="", $H1702=""), "",IF(AND($E1702=$G1702, $F1702=$H1702), 3, IF(SIGN($E1702-$F1702)=SIGN($G1702-$H1702), 1, 0))))</f>
        <v/>
      </c>
    </row>
    <row r="1703">
      <c r="A1703" s="5" t="inlineStr"/>
      <c r="B1703" s="5" t="inlineStr"/>
      <c r="C1703" s="5">
        <f>IF($B1703="","",VLOOKUP($B1703,Jogos!$A$2:$K$105,8,FALSE))</f>
        <v/>
      </c>
      <c r="D1703" s="5">
        <f>IF($B1703="","",VLOOKUP($B1703,Jogos!$A$2:$K$105,10,FALSE))</f>
        <v/>
      </c>
      <c r="E1703" s="5" t="inlineStr"/>
      <c r="F1703" s="5" t="inlineStr"/>
      <c r="G1703" s="8">
        <f>IF($B1703="","",VLOOKUP($B1703,Jogos!$A$2:$K$105,9,FALSE))</f>
        <v/>
      </c>
      <c r="H1703" s="8">
        <f>IF($B1703="","",VLOOKUP($B1703,Jogos!$A$2:$K$105,11,FALSE))</f>
        <v/>
      </c>
      <c r="I1703" s="5">
        <f>IF(OR($A1703="", $B1703="", $E1703="", $F1703="", $G1703="", $H1703=""), "",IF(AND($E1703=$G1703, $F1703=$H1703), 3, IF(SIGN($E1703-$F1703)=SIGN($G1703-$H1703), 1, 0))))</f>
        <v/>
      </c>
    </row>
    <row r="1704">
      <c r="A1704" s="5" t="inlineStr"/>
      <c r="B1704" s="5" t="inlineStr"/>
      <c r="C1704" s="5">
        <f>IF($B1704="","",VLOOKUP($B1704,Jogos!$A$2:$K$105,8,FALSE))</f>
        <v/>
      </c>
      <c r="D1704" s="5">
        <f>IF($B1704="","",VLOOKUP($B1704,Jogos!$A$2:$K$105,10,FALSE))</f>
        <v/>
      </c>
      <c r="E1704" s="5" t="inlineStr"/>
      <c r="F1704" s="5" t="inlineStr"/>
      <c r="G1704" s="8">
        <f>IF($B1704="","",VLOOKUP($B1704,Jogos!$A$2:$K$105,9,FALSE))</f>
        <v/>
      </c>
      <c r="H1704" s="8">
        <f>IF($B1704="","",VLOOKUP($B1704,Jogos!$A$2:$K$105,11,FALSE))</f>
        <v/>
      </c>
      <c r="I1704" s="5">
        <f>IF(OR($A1704="", $B1704="", $E1704="", $F1704="", $G1704="", $H1704=""), "",IF(AND($E1704=$G1704, $F1704=$H1704), 3, IF(SIGN($E1704-$F1704)=SIGN($G1704-$H1704), 1, 0))))</f>
        <v/>
      </c>
    </row>
    <row r="1705">
      <c r="A1705" s="5" t="inlineStr"/>
      <c r="B1705" s="5" t="inlineStr"/>
      <c r="C1705" s="5">
        <f>IF($B1705="","",VLOOKUP($B1705,Jogos!$A$2:$K$105,8,FALSE))</f>
        <v/>
      </c>
      <c r="D1705" s="5">
        <f>IF($B1705="","",VLOOKUP($B1705,Jogos!$A$2:$K$105,10,FALSE))</f>
        <v/>
      </c>
      <c r="E1705" s="5" t="inlineStr"/>
      <c r="F1705" s="5" t="inlineStr"/>
      <c r="G1705" s="8">
        <f>IF($B1705="","",VLOOKUP($B1705,Jogos!$A$2:$K$105,9,FALSE))</f>
        <v/>
      </c>
      <c r="H1705" s="8">
        <f>IF($B1705="","",VLOOKUP($B1705,Jogos!$A$2:$K$105,11,FALSE))</f>
        <v/>
      </c>
      <c r="I1705" s="5">
        <f>IF(OR($A1705="", $B1705="", $E1705="", $F1705="", $G1705="", $H1705=""), "",IF(AND($E1705=$G1705, $F1705=$H1705), 3, IF(SIGN($E1705-$F1705)=SIGN($G1705-$H1705), 1, 0))))</f>
        <v/>
      </c>
    </row>
    <row r="1706">
      <c r="A1706" s="5" t="inlineStr"/>
      <c r="B1706" s="5" t="inlineStr"/>
      <c r="C1706" s="5">
        <f>IF($B1706="","",VLOOKUP($B1706,Jogos!$A$2:$K$105,8,FALSE))</f>
        <v/>
      </c>
      <c r="D1706" s="5">
        <f>IF($B1706="","",VLOOKUP($B1706,Jogos!$A$2:$K$105,10,FALSE))</f>
        <v/>
      </c>
      <c r="E1706" s="5" t="inlineStr"/>
      <c r="F1706" s="5" t="inlineStr"/>
      <c r="G1706" s="8">
        <f>IF($B1706="","",VLOOKUP($B1706,Jogos!$A$2:$K$105,9,FALSE))</f>
        <v/>
      </c>
      <c r="H1706" s="8">
        <f>IF($B1706="","",VLOOKUP($B1706,Jogos!$A$2:$K$105,11,FALSE))</f>
        <v/>
      </c>
      <c r="I1706" s="5">
        <f>IF(OR($A1706="", $B1706="", $E1706="", $F1706="", $G1706="", $H1706=""), "",IF(AND($E1706=$G1706, $F1706=$H1706), 3, IF(SIGN($E1706-$F1706)=SIGN($G1706-$H1706), 1, 0))))</f>
        <v/>
      </c>
    </row>
    <row r="1707">
      <c r="A1707" s="5" t="inlineStr"/>
      <c r="B1707" s="5" t="inlineStr"/>
      <c r="C1707" s="5">
        <f>IF($B1707="","",VLOOKUP($B1707,Jogos!$A$2:$K$105,8,FALSE))</f>
        <v/>
      </c>
      <c r="D1707" s="5">
        <f>IF($B1707="","",VLOOKUP($B1707,Jogos!$A$2:$K$105,10,FALSE))</f>
        <v/>
      </c>
      <c r="E1707" s="5" t="inlineStr"/>
      <c r="F1707" s="5" t="inlineStr"/>
      <c r="G1707" s="8">
        <f>IF($B1707="","",VLOOKUP($B1707,Jogos!$A$2:$K$105,9,FALSE))</f>
        <v/>
      </c>
      <c r="H1707" s="8">
        <f>IF($B1707="","",VLOOKUP($B1707,Jogos!$A$2:$K$105,11,FALSE))</f>
        <v/>
      </c>
      <c r="I1707" s="5">
        <f>IF(OR($A1707="", $B1707="", $E1707="", $F1707="", $G1707="", $H1707=""), "",IF(AND($E1707=$G1707, $F1707=$H1707), 3, IF(SIGN($E1707-$F1707)=SIGN($G1707-$H1707), 1, 0))))</f>
        <v/>
      </c>
    </row>
    <row r="1708">
      <c r="A1708" s="5" t="inlineStr"/>
      <c r="B1708" s="5" t="inlineStr"/>
      <c r="C1708" s="5">
        <f>IF($B1708="","",VLOOKUP($B1708,Jogos!$A$2:$K$105,8,FALSE))</f>
        <v/>
      </c>
      <c r="D1708" s="5">
        <f>IF($B1708="","",VLOOKUP($B1708,Jogos!$A$2:$K$105,10,FALSE))</f>
        <v/>
      </c>
      <c r="E1708" s="5" t="inlineStr"/>
      <c r="F1708" s="5" t="inlineStr"/>
      <c r="G1708" s="8">
        <f>IF($B1708="","",VLOOKUP($B1708,Jogos!$A$2:$K$105,9,FALSE))</f>
        <v/>
      </c>
      <c r="H1708" s="8">
        <f>IF($B1708="","",VLOOKUP($B1708,Jogos!$A$2:$K$105,11,FALSE))</f>
        <v/>
      </c>
      <c r="I1708" s="5">
        <f>IF(OR($A1708="", $B1708="", $E1708="", $F1708="", $G1708="", $H1708=""), "",IF(AND($E1708=$G1708, $F1708=$H1708), 3, IF(SIGN($E1708-$F1708)=SIGN($G1708-$H1708), 1, 0))))</f>
        <v/>
      </c>
    </row>
    <row r="1709">
      <c r="A1709" s="5" t="inlineStr"/>
      <c r="B1709" s="5" t="inlineStr"/>
      <c r="C1709" s="5">
        <f>IF($B1709="","",VLOOKUP($B1709,Jogos!$A$2:$K$105,8,FALSE))</f>
        <v/>
      </c>
      <c r="D1709" s="5">
        <f>IF($B1709="","",VLOOKUP($B1709,Jogos!$A$2:$K$105,10,FALSE))</f>
        <v/>
      </c>
      <c r="E1709" s="5" t="inlineStr"/>
      <c r="F1709" s="5" t="inlineStr"/>
      <c r="G1709" s="8">
        <f>IF($B1709="","",VLOOKUP($B1709,Jogos!$A$2:$K$105,9,FALSE))</f>
        <v/>
      </c>
      <c r="H1709" s="8">
        <f>IF($B1709="","",VLOOKUP($B1709,Jogos!$A$2:$K$105,11,FALSE))</f>
        <v/>
      </c>
      <c r="I1709" s="5">
        <f>IF(OR($A1709="", $B1709="", $E1709="", $F1709="", $G1709="", $H1709=""), "",IF(AND($E1709=$G1709, $F1709=$H1709), 3, IF(SIGN($E1709-$F1709)=SIGN($G1709-$H1709), 1, 0))))</f>
        <v/>
      </c>
    </row>
    <row r="1710">
      <c r="A1710" s="5" t="inlineStr"/>
      <c r="B1710" s="5" t="inlineStr"/>
      <c r="C1710" s="5">
        <f>IF($B1710="","",VLOOKUP($B1710,Jogos!$A$2:$K$105,8,FALSE))</f>
        <v/>
      </c>
      <c r="D1710" s="5">
        <f>IF($B1710="","",VLOOKUP($B1710,Jogos!$A$2:$K$105,10,FALSE))</f>
        <v/>
      </c>
      <c r="E1710" s="5" t="inlineStr"/>
      <c r="F1710" s="5" t="inlineStr"/>
      <c r="G1710" s="8">
        <f>IF($B1710="","",VLOOKUP($B1710,Jogos!$A$2:$K$105,9,FALSE))</f>
        <v/>
      </c>
      <c r="H1710" s="8">
        <f>IF($B1710="","",VLOOKUP($B1710,Jogos!$A$2:$K$105,11,FALSE))</f>
        <v/>
      </c>
      <c r="I1710" s="5">
        <f>IF(OR($A1710="", $B1710="", $E1710="", $F1710="", $G1710="", $H1710=""), "",IF(AND($E1710=$G1710, $F1710=$H1710), 3, IF(SIGN($E1710-$F1710)=SIGN($G1710-$H1710), 1, 0))))</f>
        <v/>
      </c>
    </row>
    <row r="1711">
      <c r="A1711" s="5" t="inlineStr"/>
      <c r="B1711" s="5" t="inlineStr"/>
      <c r="C1711" s="5">
        <f>IF($B1711="","",VLOOKUP($B1711,Jogos!$A$2:$K$105,8,FALSE))</f>
        <v/>
      </c>
      <c r="D1711" s="5">
        <f>IF($B1711="","",VLOOKUP($B1711,Jogos!$A$2:$K$105,10,FALSE))</f>
        <v/>
      </c>
      <c r="E1711" s="5" t="inlineStr"/>
      <c r="F1711" s="5" t="inlineStr"/>
      <c r="G1711" s="8">
        <f>IF($B1711="","",VLOOKUP($B1711,Jogos!$A$2:$K$105,9,FALSE))</f>
        <v/>
      </c>
      <c r="H1711" s="8">
        <f>IF($B1711="","",VLOOKUP($B1711,Jogos!$A$2:$K$105,11,FALSE))</f>
        <v/>
      </c>
      <c r="I1711" s="5">
        <f>IF(OR($A1711="", $B1711="", $E1711="", $F1711="", $G1711="", $H1711=""), "",IF(AND($E1711=$G1711, $F1711=$H1711), 3, IF(SIGN($E1711-$F1711)=SIGN($G1711-$H1711), 1, 0))))</f>
        <v/>
      </c>
    </row>
    <row r="1712">
      <c r="A1712" s="5" t="inlineStr"/>
      <c r="B1712" s="5" t="inlineStr"/>
      <c r="C1712" s="5">
        <f>IF($B1712="","",VLOOKUP($B1712,Jogos!$A$2:$K$105,8,FALSE))</f>
        <v/>
      </c>
      <c r="D1712" s="5">
        <f>IF($B1712="","",VLOOKUP($B1712,Jogos!$A$2:$K$105,10,FALSE))</f>
        <v/>
      </c>
      <c r="E1712" s="5" t="inlineStr"/>
      <c r="F1712" s="5" t="inlineStr"/>
      <c r="G1712" s="8">
        <f>IF($B1712="","",VLOOKUP($B1712,Jogos!$A$2:$K$105,9,FALSE))</f>
        <v/>
      </c>
      <c r="H1712" s="8">
        <f>IF($B1712="","",VLOOKUP($B1712,Jogos!$A$2:$K$105,11,FALSE))</f>
        <v/>
      </c>
      <c r="I1712" s="5">
        <f>IF(OR($A1712="", $B1712="", $E1712="", $F1712="", $G1712="", $H1712=""), "",IF(AND($E1712=$G1712, $F1712=$H1712), 3, IF(SIGN($E1712-$F1712)=SIGN($G1712-$H1712), 1, 0))))</f>
        <v/>
      </c>
    </row>
    <row r="1713">
      <c r="A1713" s="5" t="inlineStr"/>
      <c r="B1713" s="5" t="inlineStr"/>
      <c r="C1713" s="5">
        <f>IF($B1713="","",VLOOKUP($B1713,Jogos!$A$2:$K$105,8,FALSE))</f>
        <v/>
      </c>
      <c r="D1713" s="5">
        <f>IF($B1713="","",VLOOKUP($B1713,Jogos!$A$2:$K$105,10,FALSE))</f>
        <v/>
      </c>
      <c r="E1713" s="5" t="inlineStr"/>
      <c r="F1713" s="5" t="inlineStr"/>
      <c r="G1713" s="8">
        <f>IF($B1713="","",VLOOKUP($B1713,Jogos!$A$2:$K$105,9,FALSE))</f>
        <v/>
      </c>
      <c r="H1713" s="8">
        <f>IF($B1713="","",VLOOKUP($B1713,Jogos!$A$2:$K$105,11,FALSE))</f>
        <v/>
      </c>
      <c r="I1713" s="5">
        <f>IF(OR($A1713="", $B1713="", $E1713="", $F1713="", $G1713="", $H1713=""), "",IF(AND($E1713=$G1713, $F1713=$H1713), 3, IF(SIGN($E1713-$F1713)=SIGN($G1713-$H1713), 1, 0))))</f>
        <v/>
      </c>
    </row>
    <row r="1714">
      <c r="A1714" s="5" t="inlineStr"/>
      <c r="B1714" s="5" t="inlineStr"/>
      <c r="C1714" s="5">
        <f>IF($B1714="","",VLOOKUP($B1714,Jogos!$A$2:$K$105,8,FALSE))</f>
        <v/>
      </c>
      <c r="D1714" s="5">
        <f>IF($B1714="","",VLOOKUP($B1714,Jogos!$A$2:$K$105,10,FALSE))</f>
        <v/>
      </c>
      <c r="E1714" s="5" t="inlineStr"/>
      <c r="F1714" s="5" t="inlineStr"/>
      <c r="G1714" s="8">
        <f>IF($B1714="","",VLOOKUP($B1714,Jogos!$A$2:$K$105,9,FALSE))</f>
        <v/>
      </c>
      <c r="H1714" s="8">
        <f>IF($B1714="","",VLOOKUP($B1714,Jogos!$A$2:$K$105,11,FALSE))</f>
        <v/>
      </c>
      <c r="I1714" s="5">
        <f>IF(OR($A1714="", $B1714="", $E1714="", $F1714="", $G1714="", $H1714=""), "",IF(AND($E1714=$G1714, $F1714=$H1714), 3, IF(SIGN($E1714-$F1714)=SIGN($G1714-$H1714), 1, 0))))</f>
        <v/>
      </c>
    </row>
    <row r="1715">
      <c r="A1715" s="5" t="inlineStr"/>
      <c r="B1715" s="5" t="inlineStr"/>
      <c r="C1715" s="5">
        <f>IF($B1715="","",VLOOKUP($B1715,Jogos!$A$2:$K$105,8,FALSE))</f>
        <v/>
      </c>
      <c r="D1715" s="5">
        <f>IF($B1715="","",VLOOKUP($B1715,Jogos!$A$2:$K$105,10,FALSE))</f>
        <v/>
      </c>
      <c r="E1715" s="5" t="inlineStr"/>
      <c r="F1715" s="5" t="inlineStr"/>
      <c r="G1715" s="8">
        <f>IF($B1715="","",VLOOKUP($B1715,Jogos!$A$2:$K$105,9,FALSE))</f>
        <v/>
      </c>
      <c r="H1715" s="8">
        <f>IF($B1715="","",VLOOKUP($B1715,Jogos!$A$2:$K$105,11,FALSE))</f>
        <v/>
      </c>
      <c r="I1715" s="5">
        <f>IF(OR($A1715="", $B1715="", $E1715="", $F1715="", $G1715="", $H1715=""), "",IF(AND($E1715=$G1715, $F1715=$H1715), 3, IF(SIGN($E1715-$F1715)=SIGN($G1715-$H1715), 1, 0))))</f>
        <v/>
      </c>
    </row>
    <row r="1716">
      <c r="A1716" s="5" t="inlineStr"/>
      <c r="B1716" s="5" t="inlineStr"/>
      <c r="C1716" s="5">
        <f>IF($B1716="","",VLOOKUP($B1716,Jogos!$A$2:$K$105,8,FALSE))</f>
        <v/>
      </c>
      <c r="D1716" s="5">
        <f>IF($B1716="","",VLOOKUP($B1716,Jogos!$A$2:$K$105,10,FALSE))</f>
        <v/>
      </c>
      <c r="E1716" s="5" t="inlineStr"/>
      <c r="F1716" s="5" t="inlineStr"/>
      <c r="G1716" s="8">
        <f>IF($B1716="","",VLOOKUP($B1716,Jogos!$A$2:$K$105,9,FALSE))</f>
        <v/>
      </c>
      <c r="H1716" s="8">
        <f>IF($B1716="","",VLOOKUP($B1716,Jogos!$A$2:$K$105,11,FALSE))</f>
        <v/>
      </c>
      <c r="I1716" s="5">
        <f>IF(OR($A1716="", $B1716="", $E1716="", $F1716="", $G1716="", $H1716=""), "",IF(AND($E1716=$G1716, $F1716=$H1716), 3, IF(SIGN($E1716-$F1716)=SIGN($G1716-$H1716), 1, 0))))</f>
        <v/>
      </c>
    </row>
    <row r="1717">
      <c r="A1717" s="5" t="inlineStr"/>
      <c r="B1717" s="5" t="inlineStr"/>
      <c r="C1717" s="5">
        <f>IF($B1717="","",VLOOKUP($B1717,Jogos!$A$2:$K$105,8,FALSE))</f>
        <v/>
      </c>
      <c r="D1717" s="5">
        <f>IF($B1717="","",VLOOKUP($B1717,Jogos!$A$2:$K$105,10,FALSE))</f>
        <v/>
      </c>
      <c r="E1717" s="5" t="inlineStr"/>
      <c r="F1717" s="5" t="inlineStr"/>
      <c r="G1717" s="8">
        <f>IF($B1717="","",VLOOKUP($B1717,Jogos!$A$2:$K$105,9,FALSE))</f>
        <v/>
      </c>
      <c r="H1717" s="8">
        <f>IF($B1717="","",VLOOKUP($B1717,Jogos!$A$2:$K$105,11,FALSE))</f>
        <v/>
      </c>
      <c r="I1717" s="5">
        <f>IF(OR($A1717="", $B1717="", $E1717="", $F1717="", $G1717="", $H1717=""), "",IF(AND($E1717=$G1717, $F1717=$H1717), 3, IF(SIGN($E1717-$F1717)=SIGN($G1717-$H1717), 1, 0))))</f>
        <v/>
      </c>
    </row>
    <row r="1718">
      <c r="A1718" s="5" t="inlineStr"/>
      <c r="B1718" s="5" t="inlineStr"/>
      <c r="C1718" s="5">
        <f>IF($B1718="","",VLOOKUP($B1718,Jogos!$A$2:$K$105,8,FALSE))</f>
        <v/>
      </c>
      <c r="D1718" s="5">
        <f>IF($B1718="","",VLOOKUP($B1718,Jogos!$A$2:$K$105,10,FALSE))</f>
        <v/>
      </c>
      <c r="E1718" s="5" t="inlineStr"/>
      <c r="F1718" s="5" t="inlineStr"/>
      <c r="G1718" s="8">
        <f>IF($B1718="","",VLOOKUP($B1718,Jogos!$A$2:$K$105,9,FALSE))</f>
        <v/>
      </c>
      <c r="H1718" s="8">
        <f>IF($B1718="","",VLOOKUP($B1718,Jogos!$A$2:$K$105,11,FALSE))</f>
        <v/>
      </c>
      <c r="I1718" s="5">
        <f>IF(OR($A1718="", $B1718="", $E1718="", $F1718="", $G1718="", $H1718=""), "",IF(AND($E1718=$G1718, $F1718=$H1718), 3, IF(SIGN($E1718-$F1718)=SIGN($G1718-$H1718), 1, 0))))</f>
        <v/>
      </c>
    </row>
    <row r="1719">
      <c r="A1719" s="5" t="inlineStr"/>
      <c r="B1719" s="5" t="inlineStr"/>
      <c r="C1719" s="5">
        <f>IF($B1719="","",VLOOKUP($B1719,Jogos!$A$2:$K$105,8,FALSE))</f>
        <v/>
      </c>
      <c r="D1719" s="5">
        <f>IF($B1719="","",VLOOKUP($B1719,Jogos!$A$2:$K$105,10,FALSE))</f>
        <v/>
      </c>
      <c r="E1719" s="5" t="inlineStr"/>
      <c r="F1719" s="5" t="inlineStr"/>
      <c r="G1719" s="8">
        <f>IF($B1719="","",VLOOKUP($B1719,Jogos!$A$2:$K$105,9,FALSE))</f>
        <v/>
      </c>
      <c r="H1719" s="8">
        <f>IF($B1719="","",VLOOKUP($B1719,Jogos!$A$2:$K$105,11,FALSE))</f>
        <v/>
      </c>
      <c r="I1719" s="5">
        <f>IF(OR($A1719="", $B1719="", $E1719="", $F1719="", $G1719="", $H1719=""), "",IF(AND($E1719=$G1719, $F1719=$H1719), 3, IF(SIGN($E1719-$F1719)=SIGN($G1719-$H1719), 1, 0))))</f>
        <v/>
      </c>
    </row>
    <row r="1720">
      <c r="A1720" s="5" t="inlineStr"/>
      <c r="B1720" s="5" t="inlineStr"/>
      <c r="C1720" s="5">
        <f>IF($B1720="","",VLOOKUP($B1720,Jogos!$A$2:$K$105,8,FALSE))</f>
        <v/>
      </c>
      <c r="D1720" s="5">
        <f>IF($B1720="","",VLOOKUP($B1720,Jogos!$A$2:$K$105,10,FALSE))</f>
        <v/>
      </c>
      <c r="E1720" s="5" t="inlineStr"/>
      <c r="F1720" s="5" t="inlineStr"/>
      <c r="G1720" s="8">
        <f>IF($B1720="","",VLOOKUP($B1720,Jogos!$A$2:$K$105,9,FALSE))</f>
        <v/>
      </c>
      <c r="H1720" s="8">
        <f>IF($B1720="","",VLOOKUP($B1720,Jogos!$A$2:$K$105,11,FALSE))</f>
        <v/>
      </c>
      <c r="I1720" s="5">
        <f>IF(OR($A1720="", $B1720="", $E1720="", $F1720="", $G1720="", $H1720=""), "",IF(AND($E1720=$G1720, $F1720=$H1720), 3, IF(SIGN($E1720-$F1720)=SIGN($G1720-$H1720), 1, 0))))</f>
        <v/>
      </c>
    </row>
    <row r="1721">
      <c r="A1721" s="5" t="inlineStr"/>
      <c r="B1721" s="5" t="inlineStr"/>
      <c r="C1721" s="5">
        <f>IF($B1721="","",VLOOKUP($B1721,Jogos!$A$2:$K$105,8,FALSE))</f>
        <v/>
      </c>
      <c r="D1721" s="5">
        <f>IF($B1721="","",VLOOKUP($B1721,Jogos!$A$2:$K$105,10,FALSE))</f>
        <v/>
      </c>
      <c r="E1721" s="5" t="inlineStr"/>
      <c r="F1721" s="5" t="inlineStr"/>
      <c r="G1721" s="8">
        <f>IF($B1721="","",VLOOKUP($B1721,Jogos!$A$2:$K$105,9,FALSE))</f>
        <v/>
      </c>
      <c r="H1721" s="8">
        <f>IF($B1721="","",VLOOKUP($B1721,Jogos!$A$2:$K$105,11,FALSE))</f>
        <v/>
      </c>
      <c r="I1721" s="5">
        <f>IF(OR($A1721="", $B1721="", $E1721="", $F1721="", $G1721="", $H1721=""), "",IF(AND($E1721=$G1721, $F1721=$H1721), 3, IF(SIGN($E1721-$F1721)=SIGN($G1721-$H1721), 1, 0))))</f>
        <v/>
      </c>
    </row>
    <row r="1722">
      <c r="A1722" s="5" t="inlineStr"/>
      <c r="B1722" s="5" t="inlineStr"/>
      <c r="C1722" s="5">
        <f>IF($B1722="","",VLOOKUP($B1722,Jogos!$A$2:$K$105,8,FALSE))</f>
        <v/>
      </c>
      <c r="D1722" s="5">
        <f>IF($B1722="","",VLOOKUP($B1722,Jogos!$A$2:$K$105,10,FALSE))</f>
        <v/>
      </c>
      <c r="E1722" s="5" t="inlineStr"/>
      <c r="F1722" s="5" t="inlineStr"/>
      <c r="G1722" s="8">
        <f>IF($B1722="","",VLOOKUP($B1722,Jogos!$A$2:$K$105,9,FALSE))</f>
        <v/>
      </c>
      <c r="H1722" s="8">
        <f>IF($B1722="","",VLOOKUP($B1722,Jogos!$A$2:$K$105,11,FALSE))</f>
        <v/>
      </c>
      <c r="I1722" s="5">
        <f>IF(OR($A1722="", $B1722="", $E1722="", $F1722="", $G1722="", $H1722=""), "",IF(AND($E1722=$G1722, $F1722=$H1722), 3, IF(SIGN($E1722-$F1722)=SIGN($G1722-$H1722), 1, 0))))</f>
        <v/>
      </c>
    </row>
    <row r="1723">
      <c r="A1723" s="5" t="inlineStr"/>
      <c r="B1723" s="5" t="inlineStr"/>
      <c r="C1723" s="5">
        <f>IF($B1723="","",VLOOKUP($B1723,Jogos!$A$2:$K$105,8,FALSE))</f>
        <v/>
      </c>
      <c r="D1723" s="5">
        <f>IF($B1723="","",VLOOKUP($B1723,Jogos!$A$2:$K$105,10,FALSE))</f>
        <v/>
      </c>
      <c r="E1723" s="5" t="inlineStr"/>
      <c r="F1723" s="5" t="inlineStr"/>
      <c r="G1723" s="8">
        <f>IF($B1723="","",VLOOKUP($B1723,Jogos!$A$2:$K$105,9,FALSE))</f>
        <v/>
      </c>
      <c r="H1723" s="8">
        <f>IF($B1723="","",VLOOKUP($B1723,Jogos!$A$2:$K$105,11,FALSE))</f>
        <v/>
      </c>
      <c r="I1723" s="5">
        <f>IF(OR($A1723="", $B1723="", $E1723="", $F1723="", $G1723="", $H1723=""), "",IF(AND($E1723=$G1723, $F1723=$H1723), 3, IF(SIGN($E1723-$F1723)=SIGN($G1723-$H1723), 1, 0))))</f>
        <v/>
      </c>
    </row>
    <row r="1724">
      <c r="A1724" s="5" t="inlineStr"/>
      <c r="B1724" s="5" t="inlineStr"/>
      <c r="C1724" s="5">
        <f>IF($B1724="","",VLOOKUP($B1724,Jogos!$A$2:$K$105,8,FALSE))</f>
        <v/>
      </c>
      <c r="D1724" s="5">
        <f>IF($B1724="","",VLOOKUP($B1724,Jogos!$A$2:$K$105,10,FALSE))</f>
        <v/>
      </c>
      <c r="E1724" s="5" t="inlineStr"/>
      <c r="F1724" s="5" t="inlineStr"/>
      <c r="G1724" s="8">
        <f>IF($B1724="","",VLOOKUP($B1724,Jogos!$A$2:$K$105,9,FALSE))</f>
        <v/>
      </c>
      <c r="H1724" s="8">
        <f>IF($B1724="","",VLOOKUP($B1724,Jogos!$A$2:$K$105,11,FALSE))</f>
        <v/>
      </c>
      <c r="I1724" s="5">
        <f>IF(OR($A1724="", $B1724="", $E1724="", $F1724="", $G1724="", $H1724=""), "",IF(AND($E1724=$G1724, $F1724=$H1724), 3, IF(SIGN($E1724-$F1724)=SIGN($G1724-$H1724), 1, 0))))</f>
        <v/>
      </c>
    </row>
    <row r="1725">
      <c r="A1725" s="5" t="inlineStr"/>
      <c r="B1725" s="5" t="inlineStr"/>
      <c r="C1725" s="5">
        <f>IF($B1725="","",VLOOKUP($B1725,Jogos!$A$2:$K$105,8,FALSE))</f>
        <v/>
      </c>
      <c r="D1725" s="5">
        <f>IF($B1725="","",VLOOKUP($B1725,Jogos!$A$2:$K$105,10,FALSE))</f>
        <v/>
      </c>
      <c r="E1725" s="5" t="inlineStr"/>
      <c r="F1725" s="5" t="inlineStr"/>
      <c r="G1725" s="8">
        <f>IF($B1725="","",VLOOKUP($B1725,Jogos!$A$2:$K$105,9,FALSE))</f>
        <v/>
      </c>
      <c r="H1725" s="8">
        <f>IF($B1725="","",VLOOKUP($B1725,Jogos!$A$2:$K$105,11,FALSE))</f>
        <v/>
      </c>
      <c r="I1725" s="5">
        <f>IF(OR($A1725="", $B1725="", $E1725="", $F1725="", $G1725="", $H1725=""), "",IF(AND($E1725=$G1725, $F1725=$H1725), 3, IF(SIGN($E1725-$F1725)=SIGN($G1725-$H1725), 1, 0))))</f>
        <v/>
      </c>
    </row>
    <row r="1726">
      <c r="A1726" s="5" t="inlineStr"/>
      <c r="B1726" s="5" t="inlineStr"/>
      <c r="C1726" s="5">
        <f>IF($B1726="","",VLOOKUP($B1726,Jogos!$A$2:$K$105,8,FALSE))</f>
        <v/>
      </c>
      <c r="D1726" s="5">
        <f>IF($B1726="","",VLOOKUP($B1726,Jogos!$A$2:$K$105,10,FALSE))</f>
        <v/>
      </c>
      <c r="E1726" s="5" t="inlineStr"/>
      <c r="F1726" s="5" t="inlineStr"/>
      <c r="G1726" s="8">
        <f>IF($B1726="","",VLOOKUP($B1726,Jogos!$A$2:$K$105,9,FALSE))</f>
        <v/>
      </c>
      <c r="H1726" s="8">
        <f>IF($B1726="","",VLOOKUP($B1726,Jogos!$A$2:$K$105,11,FALSE))</f>
        <v/>
      </c>
      <c r="I1726" s="5">
        <f>IF(OR($A1726="", $B1726="", $E1726="", $F1726="", $G1726="", $H1726=""), "",IF(AND($E1726=$G1726, $F1726=$H1726), 3, IF(SIGN($E1726-$F1726)=SIGN($G1726-$H1726), 1, 0))))</f>
        <v/>
      </c>
    </row>
    <row r="1727">
      <c r="A1727" s="5" t="inlineStr"/>
      <c r="B1727" s="5" t="inlineStr"/>
      <c r="C1727" s="5">
        <f>IF($B1727="","",VLOOKUP($B1727,Jogos!$A$2:$K$105,8,FALSE))</f>
        <v/>
      </c>
      <c r="D1727" s="5">
        <f>IF($B1727="","",VLOOKUP($B1727,Jogos!$A$2:$K$105,10,FALSE))</f>
        <v/>
      </c>
      <c r="E1727" s="5" t="inlineStr"/>
      <c r="F1727" s="5" t="inlineStr"/>
      <c r="G1727" s="8">
        <f>IF($B1727="","",VLOOKUP($B1727,Jogos!$A$2:$K$105,9,FALSE))</f>
        <v/>
      </c>
      <c r="H1727" s="8">
        <f>IF($B1727="","",VLOOKUP($B1727,Jogos!$A$2:$K$105,11,FALSE))</f>
        <v/>
      </c>
      <c r="I1727" s="5">
        <f>IF(OR($A1727="", $B1727="", $E1727="", $F1727="", $G1727="", $H1727=""), "",IF(AND($E1727=$G1727, $F1727=$H1727), 3, IF(SIGN($E1727-$F1727)=SIGN($G1727-$H1727), 1, 0))))</f>
        <v/>
      </c>
    </row>
    <row r="1728">
      <c r="A1728" s="5" t="inlineStr"/>
      <c r="B1728" s="5" t="inlineStr"/>
      <c r="C1728" s="5">
        <f>IF($B1728="","",VLOOKUP($B1728,Jogos!$A$2:$K$105,8,FALSE))</f>
        <v/>
      </c>
      <c r="D1728" s="5">
        <f>IF($B1728="","",VLOOKUP($B1728,Jogos!$A$2:$K$105,10,FALSE))</f>
        <v/>
      </c>
      <c r="E1728" s="5" t="inlineStr"/>
      <c r="F1728" s="5" t="inlineStr"/>
      <c r="G1728" s="8">
        <f>IF($B1728="","",VLOOKUP($B1728,Jogos!$A$2:$K$105,9,FALSE))</f>
        <v/>
      </c>
      <c r="H1728" s="8">
        <f>IF($B1728="","",VLOOKUP($B1728,Jogos!$A$2:$K$105,11,FALSE))</f>
        <v/>
      </c>
      <c r="I1728" s="5">
        <f>IF(OR($A1728="", $B1728="", $E1728="", $F1728="", $G1728="", $H1728=""), "",IF(AND($E1728=$G1728, $F1728=$H1728), 3, IF(SIGN($E1728-$F1728)=SIGN($G1728-$H1728), 1, 0))))</f>
        <v/>
      </c>
    </row>
    <row r="1729">
      <c r="A1729" s="5" t="inlineStr"/>
      <c r="B1729" s="5" t="inlineStr"/>
      <c r="C1729" s="5">
        <f>IF($B1729="","",VLOOKUP($B1729,Jogos!$A$2:$K$105,8,FALSE))</f>
        <v/>
      </c>
      <c r="D1729" s="5">
        <f>IF($B1729="","",VLOOKUP($B1729,Jogos!$A$2:$K$105,10,FALSE))</f>
        <v/>
      </c>
      <c r="E1729" s="5" t="inlineStr"/>
      <c r="F1729" s="5" t="inlineStr"/>
      <c r="G1729" s="8">
        <f>IF($B1729="","",VLOOKUP($B1729,Jogos!$A$2:$K$105,9,FALSE))</f>
        <v/>
      </c>
      <c r="H1729" s="8">
        <f>IF($B1729="","",VLOOKUP($B1729,Jogos!$A$2:$K$105,11,FALSE))</f>
        <v/>
      </c>
      <c r="I1729" s="5">
        <f>IF(OR($A1729="", $B1729="", $E1729="", $F1729="", $G1729="", $H1729=""), "",IF(AND($E1729=$G1729, $F1729=$H1729), 3, IF(SIGN($E1729-$F1729)=SIGN($G1729-$H1729), 1, 0))))</f>
        <v/>
      </c>
    </row>
    <row r="1730">
      <c r="A1730" s="5" t="inlineStr"/>
      <c r="B1730" s="5" t="inlineStr"/>
      <c r="C1730" s="5">
        <f>IF($B1730="","",VLOOKUP($B1730,Jogos!$A$2:$K$105,8,FALSE))</f>
        <v/>
      </c>
      <c r="D1730" s="5">
        <f>IF($B1730="","",VLOOKUP($B1730,Jogos!$A$2:$K$105,10,FALSE))</f>
        <v/>
      </c>
      <c r="E1730" s="5" t="inlineStr"/>
      <c r="F1730" s="5" t="inlineStr"/>
      <c r="G1730" s="8">
        <f>IF($B1730="","",VLOOKUP($B1730,Jogos!$A$2:$K$105,9,FALSE))</f>
        <v/>
      </c>
      <c r="H1730" s="8">
        <f>IF($B1730="","",VLOOKUP($B1730,Jogos!$A$2:$K$105,11,FALSE))</f>
        <v/>
      </c>
      <c r="I1730" s="5">
        <f>IF(OR($A1730="", $B1730="", $E1730="", $F1730="", $G1730="", $H1730=""), "",IF(AND($E1730=$G1730, $F1730=$H1730), 3, IF(SIGN($E1730-$F1730)=SIGN($G1730-$H1730), 1, 0))))</f>
        <v/>
      </c>
    </row>
    <row r="1731">
      <c r="A1731" s="5" t="inlineStr"/>
      <c r="B1731" s="5" t="inlineStr"/>
      <c r="C1731" s="5">
        <f>IF($B1731="","",VLOOKUP($B1731,Jogos!$A$2:$K$105,8,FALSE))</f>
        <v/>
      </c>
      <c r="D1731" s="5">
        <f>IF($B1731="","",VLOOKUP($B1731,Jogos!$A$2:$K$105,10,FALSE))</f>
        <v/>
      </c>
      <c r="E1731" s="5" t="inlineStr"/>
      <c r="F1731" s="5" t="inlineStr"/>
      <c r="G1731" s="8">
        <f>IF($B1731="","",VLOOKUP($B1731,Jogos!$A$2:$K$105,9,FALSE))</f>
        <v/>
      </c>
      <c r="H1731" s="8">
        <f>IF($B1731="","",VLOOKUP($B1731,Jogos!$A$2:$K$105,11,FALSE))</f>
        <v/>
      </c>
      <c r="I1731" s="5">
        <f>IF(OR($A1731="", $B1731="", $E1731="", $F1731="", $G1731="", $H1731=""), "",IF(AND($E1731=$G1731, $F1731=$H1731), 3, IF(SIGN($E1731-$F1731)=SIGN($G1731-$H1731), 1, 0))))</f>
        <v/>
      </c>
    </row>
    <row r="1732">
      <c r="A1732" s="5" t="inlineStr"/>
      <c r="B1732" s="5" t="inlineStr"/>
      <c r="C1732" s="5">
        <f>IF($B1732="","",VLOOKUP($B1732,Jogos!$A$2:$K$105,8,FALSE))</f>
        <v/>
      </c>
      <c r="D1732" s="5">
        <f>IF($B1732="","",VLOOKUP($B1732,Jogos!$A$2:$K$105,10,FALSE))</f>
        <v/>
      </c>
      <c r="E1732" s="5" t="inlineStr"/>
      <c r="F1732" s="5" t="inlineStr"/>
      <c r="G1732" s="8">
        <f>IF($B1732="","",VLOOKUP($B1732,Jogos!$A$2:$K$105,9,FALSE))</f>
        <v/>
      </c>
      <c r="H1732" s="8">
        <f>IF($B1732="","",VLOOKUP($B1732,Jogos!$A$2:$K$105,11,FALSE))</f>
        <v/>
      </c>
      <c r="I1732" s="5">
        <f>IF(OR($A1732="", $B1732="", $E1732="", $F1732="", $G1732="", $H1732=""), "",IF(AND($E1732=$G1732, $F1732=$H1732), 3, IF(SIGN($E1732-$F1732)=SIGN($G1732-$H1732), 1, 0))))</f>
        <v/>
      </c>
    </row>
    <row r="1733">
      <c r="A1733" s="5" t="inlineStr"/>
      <c r="B1733" s="5" t="inlineStr"/>
      <c r="C1733" s="5">
        <f>IF($B1733="","",VLOOKUP($B1733,Jogos!$A$2:$K$105,8,FALSE))</f>
        <v/>
      </c>
      <c r="D1733" s="5">
        <f>IF($B1733="","",VLOOKUP($B1733,Jogos!$A$2:$K$105,10,FALSE))</f>
        <v/>
      </c>
      <c r="E1733" s="5" t="inlineStr"/>
      <c r="F1733" s="5" t="inlineStr"/>
      <c r="G1733" s="8">
        <f>IF($B1733="","",VLOOKUP($B1733,Jogos!$A$2:$K$105,9,FALSE))</f>
        <v/>
      </c>
      <c r="H1733" s="8">
        <f>IF($B1733="","",VLOOKUP($B1733,Jogos!$A$2:$K$105,11,FALSE))</f>
        <v/>
      </c>
      <c r="I1733" s="5">
        <f>IF(OR($A1733="", $B1733="", $E1733="", $F1733="", $G1733="", $H1733=""), "",IF(AND($E1733=$G1733, $F1733=$H1733), 3, IF(SIGN($E1733-$F1733)=SIGN($G1733-$H1733), 1, 0))))</f>
        <v/>
      </c>
    </row>
    <row r="1734">
      <c r="A1734" s="5" t="inlineStr"/>
      <c r="B1734" s="5" t="inlineStr"/>
      <c r="C1734" s="5">
        <f>IF($B1734="","",VLOOKUP($B1734,Jogos!$A$2:$K$105,8,FALSE))</f>
        <v/>
      </c>
      <c r="D1734" s="5">
        <f>IF($B1734="","",VLOOKUP($B1734,Jogos!$A$2:$K$105,10,FALSE))</f>
        <v/>
      </c>
      <c r="E1734" s="5" t="inlineStr"/>
      <c r="F1734" s="5" t="inlineStr"/>
      <c r="G1734" s="8">
        <f>IF($B1734="","",VLOOKUP($B1734,Jogos!$A$2:$K$105,9,FALSE))</f>
        <v/>
      </c>
      <c r="H1734" s="8">
        <f>IF($B1734="","",VLOOKUP($B1734,Jogos!$A$2:$K$105,11,FALSE))</f>
        <v/>
      </c>
      <c r="I1734" s="5">
        <f>IF(OR($A1734="", $B1734="", $E1734="", $F1734="", $G1734="", $H1734=""), "",IF(AND($E1734=$G1734, $F1734=$H1734), 3, IF(SIGN($E1734-$F1734)=SIGN($G1734-$H1734), 1, 0))))</f>
        <v/>
      </c>
    </row>
    <row r="1735">
      <c r="A1735" s="5" t="inlineStr"/>
      <c r="B1735" s="5" t="inlineStr"/>
      <c r="C1735" s="5">
        <f>IF($B1735="","",VLOOKUP($B1735,Jogos!$A$2:$K$105,8,FALSE))</f>
        <v/>
      </c>
      <c r="D1735" s="5">
        <f>IF($B1735="","",VLOOKUP($B1735,Jogos!$A$2:$K$105,10,FALSE))</f>
        <v/>
      </c>
      <c r="E1735" s="5" t="inlineStr"/>
      <c r="F1735" s="5" t="inlineStr"/>
      <c r="G1735" s="8">
        <f>IF($B1735="","",VLOOKUP($B1735,Jogos!$A$2:$K$105,9,FALSE))</f>
        <v/>
      </c>
      <c r="H1735" s="8">
        <f>IF($B1735="","",VLOOKUP($B1735,Jogos!$A$2:$K$105,11,FALSE))</f>
        <v/>
      </c>
      <c r="I1735" s="5">
        <f>IF(OR($A1735="", $B1735="", $E1735="", $F1735="", $G1735="", $H1735=""), "",IF(AND($E1735=$G1735, $F1735=$H1735), 3, IF(SIGN($E1735-$F1735)=SIGN($G1735-$H1735), 1, 0))))</f>
        <v/>
      </c>
    </row>
    <row r="1736">
      <c r="A1736" s="5" t="inlineStr"/>
      <c r="B1736" s="5" t="inlineStr"/>
      <c r="C1736" s="5">
        <f>IF($B1736="","",VLOOKUP($B1736,Jogos!$A$2:$K$105,8,FALSE))</f>
        <v/>
      </c>
      <c r="D1736" s="5">
        <f>IF($B1736="","",VLOOKUP($B1736,Jogos!$A$2:$K$105,10,FALSE))</f>
        <v/>
      </c>
      <c r="E1736" s="5" t="inlineStr"/>
      <c r="F1736" s="5" t="inlineStr"/>
      <c r="G1736" s="8">
        <f>IF($B1736="","",VLOOKUP($B1736,Jogos!$A$2:$K$105,9,FALSE))</f>
        <v/>
      </c>
      <c r="H1736" s="8">
        <f>IF($B1736="","",VLOOKUP($B1736,Jogos!$A$2:$K$105,11,FALSE))</f>
        <v/>
      </c>
      <c r="I1736" s="5">
        <f>IF(OR($A1736="", $B1736="", $E1736="", $F1736="", $G1736="", $H1736=""), "",IF(AND($E1736=$G1736, $F1736=$H1736), 3, IF(SIGN($E1736-$F1736)=SIGN($G1736-$H1736), 1, 0))))</f>
        <v/>
      </c>
    </row>
    <row r="1737">
      <c r="A1737" s="5" t="inlineStr"/>
      <c r="B1737" s="5" t="inlineStr"/>
      <c r="C1737" s="5">
        <f>IF($B1737="","",VLOOKUP($B1737,Jogos!$A$2:$K$105,8,FALSE))</f>
        <v/>
      </c>
      <c r="D1737" s="5">
        <f>IF($B1737="","",VLOOKUP($B1737,Jogos!$A$2:$K$105,10,FALSE))</f>
        <v/>
      </c>
      <c r="E1737" s="5" t="inlineStr"/>
      <c r="F1737" s="5" t="inlineStr"/>
      <c r="G1737" s="8">
        <f>IF($B1737="","",VLOOKUP($B1737,Jogos!$A$2:$K$105,9,FALSE))</f>
        <v/>
      </c>
      <c r="H1737" s="8">
        <f>IF($B1737="","",VLOOKUP($B1737,Jogos!$A$2:$K$105,11,FALSE))</f>
        <v/>
      </c>
      <c r="I1737" s="5">
        <f>IF(OR($A1737="", $B1737="", $E1737="", $F1737="", $G1737="", $H1737=""), "",IF(AND($E1737=$G1737, $F1737=$H1737), 3, IF(SIGN($E1737-$F1737)=SIGN($G1737-$H1737), 1, 0))))</f>
        <v/>
      </c>
    </row>
    <row r="1738">
      <c r="A1738" s="5" t="inlineStr"/>
      <c r="B1738" s="5" t="inlineStr"/>
      <c r="C1738" s="5">
        <f>IF($B1738="","",VLOOKUP($B1738,Jogos!$A$2:$K$105,8,FALSE))</f>
        <v/>
      </c>
      <c r="D1738" s="5">
        <f>IF($B1738="","",VLOOKUP($B1738,Jogos!$A$2:$K$105,10,FALSE))</f>
        <v/>
      </c>
      <c r="E1738" s="5" t="inlineStr"/>
      <c r="F1738" s="5" t="inlineStr"/>
      <c r="G1738" s="8">
        <f>IF($B1738="","",VLOOKUP($B1738,Jogos!$A$2:$K$105,9,FALSE))</f>
        <v/>
      </c>
      <c r="H1738" s="8">
        <f>IF($B1738="","",VLOOKUP($B1738,Jogos!$A$2:$K$105,11,FALSE))</f>
        <v/>
      </c>
      <c r="I1738" s="5">
        <f>IF(OR($A1738="", $B1738="", $E1738="", $F1738="", $G1738="", $H1738=""), "",IF(AND($E1738=$G1738, $F1738=$H1738), 3, IF(SIGN($E1738-$F1738)=SIGN($G1738-$H1738), 1, 0))))</f>
        <v/>
      </c>
    </row>
    <row r="1739">
      <c r="A1739" s="5" t="inlineStr"/>
      <c r="B1739" s="5" t="inlineStr"/>
      <c r="C1739" s="5">
        <f>IF($B1739="","",VLOOKUP($B1739,Jogos!$A$2:$K$105,8,FALSE))</f>
        <v/>
      </c>
      <c r="D1739" s="5">
        <f>IF($B1739="","",VLOOKUP($B1739,Jogos!$A$2:$K$105,10,FALSE))</f>
        <v/>
      </c>
      <c r="E1739" s="5" t="inlineStr"/>
      <c r="F1739" s="5" t="inlineStr"/>
      <c r="G1739" s="8">
        <f>IF($B1739="","",VLOOKUP($B1739,Jogos!$A$2:$K$105,9,FALSE))</f>
        <v/>
      </c>
      <c r="H1739" s="8">
        <f>IF($B1739="","",VLOOKUP($B1739,Jogos!$A$2:$K$105,11,FALSE))</f>
        <v/>
      </c>
      <c r="I1739" s="5">
        <f>IF(OR($A1739="", $B1739="", $E1739="", $F1739="", $G1739="", $H1739=""), "",IF(AND($E1739=$G1739, $F1739=$H1739), 3, IF(SIGN($E1739-$F1739)=SIGN($G1739-$H1739), 1, 0))))</f>
        <v/>
      </c>
    </row>
    <row r="1740">
      <c r="A1740" s="5" t="inlineStr"/>
      <c r="B1740" s="5" t="inlineStr"/>
      <c r="C1740" s="5">
        <f>IF($B1740="","",VLOOKUP($B1740,Jogos!$A$2:$K$105,8,FALSE))</f>
        <v/>
      </c>
      <c r="D1740" s="5">
        <f>IF($B1740="","",VLOOKUP($B1740,Jogos!$A$2:$K$105,10,FALSE))</f>
        <v/>
      </c>
      <c r="E1740" s="5" t="inlineStr"/>
      <c r="F1740" s="5" t="inlineStr"/>
      <c r="G1740" s="8">
        <f>IF($B1740="","",VLOOKUP($B1740,Jogos!$A$2:$K$105,9,FALSE))</f>
        <v/>
      </c>
      <c r="H1740" s="8">
        <f>IF($B1740="","",VLOOKUP($B1740,Jogos!$A$2:$K$105,11,FALSE))</f>
        <v/>
      </c>
      <c r="I1740" s="5">
        <f>IF(OR($A1740="", $B1740="", $E1740="", $F1740="", $G1740="", $H1740=""), "",IF(AND($E1740=$G1740, $F1740=$H1740), 3, IF(SIGN($E1740-$F1740)=SIGN($G1740-$H1740), 1, 0))))</f>
        <v/>
      </c>
    </row>
    <row r="1741">
      <c r="A1741" s="5" t="inlineStr"/>
      <c r="B1741" s="5" t="inlineStr"/>
      <c r="C1741" s="5">
        <f>IF($B1741="","",VLOOKUP($B1741,Jogos!$A$2:$K$105,8,FALSE))</f>
        <v/>
      </c>
      <c r="D1741" s="5">
        <f>IF($B1741="","",VLOOKUP($B1741,Jogos!$A$2:$K$105,10,FALSE))</f>
        <v/>
      </c>
      <c r="E1741" s="5" t="inlineStr"/>
      <c r="F1741" s="5" t="inlineStr"/>
      <c r="G1741" s="8">
        <f>IF($B1741="","",VLOOKUP($B1741,Jogos!$A$2:$K$105,9,FALSE))</f>
        <v/>
      </c>
      <c r="H1741" s="8">
        <f>IF($B1741="","",VLOOKUP($B1741,Jogos!$A$2:$K$105,11,FALSE))</f>
        <v/>
      </c>
      <c r="I1741" s="5">
        <f>IF(OR($A1741="", $B1741="", $E1741="", $F1741="", $G1741="", $H1741=""), "",IF(AND($E1741=$G1741, $F1741=$H1741), 3, IF(SIGN($E1741-$F1741)=SIGN($G1741-$H1741), 1, 0))))</f>
        <v/>
      </c>
    </row>
    <row r="1742">
      <c r="A1742" s="5" t="inlineStr"/>
      <c r="B1742" s="5" t="inlineStr"/>
      <c r="C1742" s="5">
        <f>IF($B1742="","",VLOOKUP($B1742,Jogos!$A$2:$K$105,8,FALSE))</f>
        <v/>
      </c>
      <c r="D1742" s="5">
        <f>IF($B1742="","",VLOOKUP($B1742,Jogos!$A$2:$K$105,10,FALSE))</f>
        <v/>
      </c>
      <c r="E1742" s="5" t="inlineStr"/>
      <c r="F1742" s="5" t="inlineStr"/>
      <c r="G1742" s="8">
        <f>IF($B1742="","",VLOOKUP($B1742,Jogos!$A$2:$K$105,9,FALSE))</f>
        <v/>
      </c>
      <c r="H1742" s="8">
        <f>IF($B1742="","",VLOOKUP($B1742,Jogos!$A$2:$K$105,11,FALSE))</f>
        <v/>
      </c>
      <c r="I1742" s="5">
        <f>IF(OR($A1742="", $B1742="", $E1742="", $F1742="", $G1742="", $H1742=""), "",IF(AND($E1742=$G1742, $F1742=$H1742), 3, IF(SIGN($E1742-$F1742)=SIGN($G1742-$H1742), 1, 0))))</f>
        <v/>
      </c>
    </row>
    <row r="1743">
      <c r="A1743" s="5" t="inlineStr"/>
      <c r="B1743" s="5" t="inlineStr"/>
      <c r="C1743" s="5">
        <f>IF($B1743="","",VLOOKUP($B1743,Jogos!$A$2:$K$105,8,FALSE))</f>
        <v/>
      </c>
      <c r="D1743" s="5">
        <f>IF($B1743="","",VLOOKUP($B1743,Jogos!$A$2:$K$105,10,FALSE))</f>
        <v/>
      </c>
      <c r="E1743" s="5" t="inlineStr"/>
      <c r="F1743" s="5" t="inlineStr"/>
      <c r="G1743" s="8">
        <f>IF($B1743="","",VLOOKUP($B1743,Jogos!$A$2:$K$105,9,FALSE))</f>
        <v/>
      </c>
      <c r="H1743" s="8">
        <f>IF($B1743="","",VLOOKUP($B1743,Jogos!$A$2:$K$105,11,FALSE))</f>
        <v/>
      </c>
      <c r="I1743" s="5">
        <f>IF(OR($A1743="", $B1743="", $E1743="", $F1743="", $G1743="", $H1743=""), "",IF(AND($E1743=$G1743, $F1743=$H1743), 3, IF(SIGN($E1743-$F1743)=SIGN($G1743-$H1743), 1, 0))))</f>
        <v/>
      </c>
    </row>
    <row r="1744">
      <c r="A1744" s="5" t="inlineStr"/>
      <c r="B1744" s="5" t="inlineStr"/>
      <c r="C1744" s="5">
        <f>IF($B1744="","",VLOOKUP($B1744,Jogos!$A$2:$K$105,8,FALSE))</f>
        <v/>
      </c>
      <c r="D1744" s="5">
        <f>IF($B1744="","",VLOOKUP($B1744,Jogos!$A$2:$K$105,10,FALSE))</f>
        <v/>
      </c>
      <c r="E1744" s="5" t="inlineStr"/>
      <c r="F1744" s="5" t="inlineStr"/>
      <c r="G1744" s="8">
        <f>IF($B1744="","",VLOOKUP($B1744,Jogos!$A$2:$K$105,9,FALSE))</f>
        <v/>
      </c>
      <c r="H1744" s="8">
        <f>IF($B1744="","",VLOOKUP($B1744,Jogos!$A$2:$K$105,11,FALSE))</f>
        <v/>
      </c>
      <c r="I1744" s="5">
        <f>IF(OR($A1744="", $B1744="", $E1744="", $F1744="", $G1744="", $H1744=""), "",IF(AND($E1744=$G1744, $F1744=$H1744), 3, IF(SIGN($E1744-$F1744)=SIGN($G1744-$H1744), 1, 0))))</f>
        <v/>
      </c>
    </row>
    <row r="1745">
      <c r="A1745" s="5" t="inlineStr"/>
      <c r="B1745" s="5" t="inlineStr"/>
      <c r="C1745" s="5">
        <f>IF($B1745="","",VLOOKUP($B1745,Jogos!$A$2:$K$105,8,FALSE))</f>
        <v/>
      </c>
      <c r="D1745" s="5">
        <f>IF($B1745="","",VLOOKUP($B1745,Jogos!$A$2:$K$105,10,FALSE))</f>
        <v/>
      </c>
      <c r="E1745" s="5" t="inlineStr"/>
      <c r="F1745" s="5" t="inlineStr"/>
      <c r="G1745" s="8">
        <f>IF($B1745="","",VLOOKUP($B1745,Jogos!$A$2:$K$105,9,FALSE))</f>
        <v/>
      </c>
      <c r="H1745" s="8">
        <f>IF($B1745="","",VLOOKUP($B1745,Jogos!$A$2:$K$105,11,FALSE))</f>
        <v/>
      </c>
      <c r="I1745" s="5">
        <f>IF(OR($A1745="", $B1745="", $E1745="", $F1745="", $G1745="", $H1745=""), "",IF(AND($E1745=$G1745, $F1745=$H1745), 3, IF(SIGN($E1745-$F1745)=SIGN($G1745-$H1745), 1, 0))))</f>
        <v/>
      </c>
    </row>
    <row r="1746">
      <c r="A1746" s="5" t="inlineStr"/>
      <c r="B1746" s="5" t="inlineStr"/>
      <c r="C1746" s="5">
        <f>IF($B1746="","",VLOOKUP($B1746,Jogos!$A$2:$K$105,8,FALSE))</f>
        <v/>
      </c>
      <c r="D1746" s="5">
        <f>IF($B1746="","",VLOOKUP($B1746,Jogos!$A$2:$K$105,10,FALSE))</f>
        <v/>
      </c>
      <c r="E1746" s="5" t="inlineStr"/>
      <c r="F1746" s="5" t="inlineStr"/>
      <c r="G1746" s="8">
        <f>IF($B1746="","",VLOOKUP($B1746,Jogos!$A$2:$K$105,9,FALSE))</f>
        <v/>
      </c>
      <c r="H1746" s="8">
        <f>IF($B1746="","",VLOOKUP($B1746,Jogos!$A$2:$K$105,11,FALSE))</f>
        <v/>
      </c>
      <c r="I1746" s="5">
        <f>IF(OR($A1746="", $B1746="", $E1746="", $F1746="", $G1746="", $H1746=""), "",IF(AND($E1746=$G1746, $F1746=$H1746), 3, IF(SIGN($E1746-$F1746)=SIGN($G1746-$H1746), 1, 0))))</f>
        <v/>
      </c>
    </row>
    <row r="1747">
      <c r="A1747" s="5" t="inlineStr"/>
      <c r="B1747" s="5" t="inlineStr"/>
      <c r="C1747" s="5">
        <f>IF($B1747="","",VLOOKUP($B1747,Jogos!$A$2:$K$105,8,FALSE))</f>
        <v/>
      </c>
      <c r="D1747" s="5">
        <f>IF($B1747="","",VLOOKUP($B1747,Jogos!$A$2:$K$105,10,FALSE))</f>
        <v/>
      </c>
      <c r="E1747" s="5" t="inlineStr"/>
      <c r="F1747" s="5" t="inlineStr"/>
      <c r="G1747" s="8">
        <f>IF($B1747="","",VLOOKUP($B1747,Jogos!$A$2:$K$105,9,FALSE))</f>
        <v/>
      </c>
      <c r="H1747" s="8">
        <f>IF($B1747="","",VLOOKUP($B1747,Jogos!$A$2:$K$105,11,FALSE))</f>
        <v/>
      </c>
      <c r="I1747" s="5">
        <f>IF(OR($A1747="", $B1747="", $E1747="", $F1747="", $G1747="", $H1747=""), "",IF(AND($E1747=$G1747, $F1747=$H1747), 3, IF(SIGN($E1747-$F1747)=SIGN($G1747-$H1747), 1, 0))))</f>
        <v/>
      </c>
    </row>
    <row r="1748">
      <c r="A1748" s="5" t="inlineStr"/>
      <c r="B1748" s="5" t="inlineStr"/>
      <c r="C1748" s="5">
        <f>IF($B1748="","",VLOOKUP($B1748,Jogos!$A$2:$K$105,8,FALSE))</f>
        <v/>
      </c>
      <c r="D1748" s="5">
        <f>IF($B1748="","",VLOOKUP($B1748,Jogos!$A$2:$K$105,10,FALSE))</f>
        <v/>
      </c>
      <c r="E1748" s="5" t="inlineStr"/>
      <c r="F1748" s="5" t="inlineStr"/>
      <c r="G1748" s="8">
        <f>IF($B1748="","",VLOOKUP($B1748,Jogos!$A$2:$K$105,9,FALSE))</f>
        <v/>
      </c>
      <c r="H1748" s="8">
        <f>IF($B1748="","",VLOOKUP($B1748,Jogos!$A$2:$K$105,11,FALSE))</f>
        <v/>
      </c>
      <c r="I1748" s="5">
        <f>IF(OR($A1748="", $B1748="", $E1748="", $F1748="", $G1748="", $H1748=""), "",IF(AND($E1748=$G1748, $F1748=$H1748), 3, IF(SIGN($E1748-$F1748)=SIGN($G1748-$H1748), 1, 0))))</f>
        <v/>
      </c>
    </row>
    <row r="1749">
      <c r="A1749" s="5" t="inlineStr"/>
      <c r="B1749" s="5" t="inlineStr"/>
      <c r="C1749" s="5">
        <f>IF($B1749="","",VLOOKUP($B1749,Jogos!$A$2:$K$105,8,FALSE))</f>
        <v/>
      </c>
      <c r="D1749" s="5">
        <f>IF($B1749="","",VLOOKUP($B1749,Jogos!$A$2:$K$105,10,FALSE))</f>
        <v/>
      </c>
      <c r="E1749" s="5" t="inlineStr"/>
      <c r="F1749" s="5" t="inlineStr"/>
      <c r="G1749" s="8">
        <f>IF($B1749="","",VLOOKUP($B1749,Jogos!$A$2:$K$105,9,FALSE))</f>
        <v/>
      </c>
      <c r="H1749" s="8">
        <f>IF($B1749="","",VLOOKUP($B1749,Jogos!$A$2:$K$105,11,FALSE))</f>
        <v/>
      </c>
      <c r="I1749" s="5">
        <f>IF(OR($A1749="", $B1749="", $E1749="", $F1749="", $G1749="", $H1749=""), "",IF(AND($E1749=$G1749, $F1749=$H1749), 3, IF(SIGN($E1749-$F1749)=SIGN($G1749-$H1749), 1, 0))))</f>
        <v/>
      </c>
    </row>
    <row r="1750">
      <c r="A1750" s="5" t="inlineStr"/>
      <c r="B1750" s="5" t="inlineStr"/>
      <c r="C1750" s="5">
        <f>IF($B1750="","",VLOOKUP($B1750,Jogos!$A$2:$K$105,8,FALSE))</f>
        <v/>
      </c>
      <c r="D1750" s="5">
        <f>IF($B1750="","",VLOOKUP($B1750,Jogos!$A$2:$K$105,10,FALSE))</f>
        <v/>
      </c>
      <c r="E1750" s="5" t="inlineStr"/>
      <c r="F1750" s="5" t="inlineStr"/>
      <c r="G1750" s="8">
        <f>IF($B1750="","",VLOOKUP($B1750,Jogos!$A$2:$K$105,9,FALSE))</f>
        <v/>
      </c>
      <c r="H1750" s="8">
        <f>IF($B1750="","",VLOOKUP($B1750,Jogos!$A$2:$K$105,11,FALSE))</f>
        <v/>
      </c>
      <c r="I1750" s="5">
        <f>IF(OR($A1750="", $B1750="", $E1750="", $F1750="", $G1750="", $H1750=""), "",IF(AND($E1750=$G1750, $F1750=$H1750), 3, IF(SIGN($E1750-$F1750)=SIGN($G1750-$H1750), 1, 0))))</f>
        <v/>
      </c>
    </row>
    <row r="1751">
      <c r="A1751" s="5" t="inlineStr"/>
      <c r="B1751" s="5" t="inlineStr"/>
      <c r="C1751" s="5">
        <f>IF($B1751="","",VLOOKUP($B1751,Jogos!$A$2:$K$105,8,FALSE))</f>
        <v/>
      </c>
      <c r="D1751" s="5">
        <f>IF($B1751="","",VLOOKUP($B1751,Jogos!$A$2:$K$105,10,FALSE))</f>
        <v/>
      </c>
      <c r="E1751" s="5" t="inlineStr"/>
      <c r="F1751" s="5" t="inlineStr"/>
      <c r="G1751" s="8">
        <f>IF($B1751="","",VLOOKUP($B1751,Jogos!$A$2:$K$105,9,FALSE))</f>
        <v/>
      </c>
      <c r="H1751" s="8">
        <f>IF($B1751="","",VLOOKUP($B1751,Jogos!$A$2:$K$105,11,FALSE))</f>
        <v/>
      </c>
      <c r="I1751" s="5">
        <f>IF(OR($A1751="", $B1751="", $E1751="", $F1751="", $G1751="", $H1751=""), "",IF(AND($E1751=$G1751, $F1751=$H1751), 3, IF(SIGN($E1751-$F1751)=SIGN($G1751-$H1751), 1, 0))))</f>
        <v/>
      </c>
    </row>
    <row r="1752">
      <c r="A1752" s="5" t="inlineStr"/>
      <c r="B1752" s="5" t="inlineStr"/>
      <c r="C1752" s="5">
        <f>IF($B1752="","",VLOOKUP($B1752,Jogos!$A$2:$K$105,8,FALSE))</f>
        <v/>
      </c>
      <c r="D1752" s="5">
        <f>IF($B1752="","",VLOOKUP($B1752,Jogos!$A$2:$K$105,10,FALSE))</f>
        <v/>
      </c>
      <c r="E1752" s="5" t="inlineStr"/>
      <c r="F1752" s="5" t="inlineStr"/>
      <c r="G1752" s="8">
        <f>IF($B1752="","",VLOOKUP($B1752,Jogos!$A$2:$K$105,9,FALSE))</f>
        <v/>
      </c>
      <c r="H1752" s="8">
        <f>IF($B1752="","",VLOOKUP($B1752,Jogos!$A$2:$K$105,11,FALSE))</f>
        <v/>
      </c>
      <c r="I1752" s="5">
        <f>IF(OR($A1752="", $B1752="", $E1752="", $F1752="", $G1752="", $H1752=""), "",IF(AND($E1752=$G1752, $F1752=$H1752), 3, IF(SIGN($E1752-$F1752)=SIGN($G1752-$H1752), 1, 0))))</f>
        <v/>
      </c>
    </row>
    <row r="1753">
      <c r="A1753" s="5" t="inlineStr"/>
      <c r="B1753" s="5" t="inlineStr"/>
      <c r="C1753" s="5">
        <f>IF($B1753="","",VLOOKUP($B1753,Jogos!$A$2:$K$105,8,FALSE))</f>
        <v/>
      </c>
      <c r="D1753" s="5">
        <f>IF($B1753="","",VLOOKUP($B1753,Jogos!$A$2:$K$105,10,FALSE))</f>
        <v/>
      </c>
      <c r="E1753" s="5" t="inlineStr"/>
      <c r="F1753" s="5" t="inlineStr"/>
      <c r="G1753" s="8">
        <f>IF($B1753="","",VLOOKUP($B1753,Jogos!$A$2:$K$105,9,FALSE))</f>
        <v/>
      </c>
      <c r="H1753" s="8">
        <f>IF($B1753="","",VLOOKUP($B1753,Jogos!$A$2:$K$105,11,FALSE))</f>
        <v/>
      </c>
      <c r="I1753" s="5">
        <f>IF(OR($A1753="", $B1753="", $E1753="", $F1753="", $G1753="", $H1753=""), "",IF(AND($E1753=$G1753, $F1753=$H1753), 3, IF(SIGN($E1753-$F1753)=SIGN($G1753-$H1753), 1, 0))))</f>
        <v/>
      </c>
    </row>
    <row r="1754">
      <c r="A1754" s="5" t="inlineStr"/>
      <c r="B1754" s="5" t="inlineStr"/>
      <c r="C1754" s="5">
        <f>IF($B1754="","",VLOOKUP($B1754,Jogos!$A$2:$K$105,8,FALSE))</f>
        <v/>
      </c>
      <c r="D1754" s="5">
        <f>IF($B1754="","",VLOOKUP($B1754,Jogos!$A$2:$K$105,10,FALSE))</f>
        <v/>
      </c>
      <c r="E1754" s="5" t="inlineStr"/>
      <c r="F1754" s="5" t="inlineStr"/>
      <c r="G1754" s="8">
        <f>IF($B1754="","",VLOOKUP($B1754,Jogos!$A$2:$K$105,9,FALSE))</f>
        <v/>
      </c>
      <c r="H1754" s="8">
        <f>IF($B1754="","",VLOOKUP($B1754,Jogos!$A$2:$K$105,11,FALSE))</f>
        <v/>
      </c>
      <c r="I1754" s="5">
        <f>IF(OR($A1754="", $B1754="", $E1754="", $F1754="", $G1754="", $H1754=""), "",IF(AND($E1754=$G1754, $F1754=$H1754), 3, IF(SIGN($E1754-$F1754)=SIGN($G1754-$H1754), 1, 0))))</f>
        <v/>
      </c>
    </row>
    <row r="1755">
      <c r="A1755" s="5" t="inlineStr"/>
      <c r="B1755" s="5" t="inlineStr"/>
      <c r="C1755" s="5">
        <f>IF($B1755="","",VLOOKUP($B1755,Jogos!$A$2:$K$105,8,FALSE))</f>
        <v/>
      </c>
      <c r="D1755" s="5">
        <f>IF($B1755="","",VLOOKUP($B1755,Jogos!$A$2:$K$105,10,FALSE))</f>
        <v/>
      </c>
      <c r="E1755" s="5" t="inlineStr"/>
      <c r="F1755" s="5" t="inlineStr"/>
      <c r="G1755" s="8">
        <f>IF($B1755="","",VLOOKUP($B1755,Jogos!$A$2:$K$105,9,FALSE))</f>
        <v/>
      </c>
      <c r="H1755" s="8">
        <f>IF($B1755="","",VLOOKUP($B1755,Jogos!$A$2:$K$105,11,FALSE))</f>
        <v/>
      </c>
      <c r="I1755" s="5">
        <f>IF(OR($A1755="", $B1755="", $E1755="", $F1755="", $G1755="", $H1755=""), "",IF(AND($E1755=$G1755, $F1755=$H1755), 3, IF(SIGN($E1755-$F1755)=SIGN($G1755-$H1755), 1, 0))))</f>
        <v/>
      </c>
    </row>
    <row r="1756">
      <c r="A1756" s="5" t="inlineStr"/>
      <c r="B1756" s="5" t="inlineStr"/>
      <c r="C1756" s="5">
        <f>IF($B1756="","",VLOOKUP($B1756,Jogos!$A$2:$K$105,8,FALSE))</f>
        <v/>
      </c>
      <c r="D1756" s="5">
        <f>IF($B1756="","",VLOOKUP($B1756,Jogos!$A$2:$K$105,10,FALSE))</f>
        <v/>
      </c>
      <c r="E1756" s="5" t="inlineStr"/>
      <c r="F1756" s="5" t="inlineStr"/>
      <c r="G1756" s="8">
        <f>IF($B1756="","",VLOOKUP($B1756,Jogos!$A$2:$K$105,9,FALSE))</f>
        <v/>
      </c>
      <c r="H1756" s="8">
        <f>IF($B1756="","",VLOOKUP($B1756,Jogos!$A$2:$K$105,11,FALSE))</f>
        <v/>
      </c>
      <c r="I1756" s="5">
        <f>IF(OR($A1756="", $B1756="", $E1756="", $F1756="", $G1756="", $H1756=""), "",IF(AND($E1756=$G1756, $F1756=$H1756), 3, IF(SIGN($E1756-$F1756)=SIGN($G1756-$H1756), 1, 0))))</f>
        <v/>
      </c>
    </row>
    <row r="1757">
      <c r="A1757" s="5" t="inlineStr"/>
      <c r="B1757" s="5" t="inlineStr"/>
      <c r="C1757" s="5">
        <f>IF($B1757="","",VLOOKUP($B1757,Jogos!$A$2:$K$105,8,FALSE))</f>
        <v/>
      </c>
      <c r="D1757" s="5">
        <f>IF($B1757="","",VLOOKUP($B1757,Jogos!$A$2:$K$105,10,FALSE))</f>
        <v/>
      </c>
      <c r="E1757" s="5" t="inlineStr"/>
      <c r="F1757" s="5" t="inlineStr"/>
      <c r="G1757" s="8">
        <f>IF($B1757="","",VLOOKUP($B1757,Jogos!$A$2:$K$105,9,FALSE))</f>
        <v/>
      </c>
      <c r="H1757" s="8">
        <f>IF($B1757="","",VLOOKUP($B1757,Jogos!$A$2:$K$105,11,FALSE))</f>
        <v/>
      </c>
      <c r="I1757" s="5">
        <f>IF(OR($A1757="", $B1757="", $E1757="", $F1757="", $G1757="", $H1757=""), "",IF(AND($E1757=$G1757, $F1757=$H1757), 3, IF(SIGN($E1757-$F1757)=SIGN($G1757-$H1757), 1, 0))))</f>
        <v/>
      </c>
    </row>
    <row r="1758">
      <c r="A1758" s="5" t="inlineStr"/>
      <c r="B1758" s="5" t="inlineStr"/>
      <c r="C1758" s="5">
        <f>IF($B1758="","",VLOOKUP($B1758,Jogos!$A$2:$K$105,8,FALSE))</f>
        <v/>
      </c>
      <c r="D1758" s="5">
        <f>IF($B1758="","",VLOOKUP($B1758,Jogos!$A$2:$K$105,10,FALSE))</f>
        <v/>
      </c>
      <c r="E1758" s="5" t="inlineStr"/>
      <c r="F1758" s="5" t="inlineStr"/>
      <c r="G1758" s="8">
        <f>IF($B1758="","",VLOOKUP($B1758,Jogos!$A$2:$K$105,9,FALSE))</f>
        <v/>
      </c>
      <c r="H1758" s="8">
        <f>IF($B1758="","",VLOOKUP($B1758,Jogos!$A$2:$K$105,11,FALSE))</f>
        <v/>
      </c>
      <c r="I1758" s="5">
        <f>IF(OR($A1758="", $B1758="", $E1758="", $F1758="", $G1758="", $H1758=""), "",IF(AND($E1758=$G1758, $F1758=$H1758), 3, IF(SIGN($E1758-$F1758)=SIGN($G1758-$H1758), 1, 0))))</f>
        <v/>
      </c>
    </row>
    <row r="1759">
      <c r="A1759" s="5" t="inlineStr"/>
      <c r="B1759" s="5" t="inlineStr"/>
      <c r="C1759" s="5">
        <f>IF($B1759="","",VLOOKUP($B1759,Jogos!$A$2:$K$105,8,FALSE))</f>
        <v/>
      </c>
      <c r="D1759" s="5">
        <f>IF($B1759="","",VLOOKUP($B1759,Jogos!$A$2:$K$105,10,FALSE))</f>
        <v/>
      </c>
      <c r="E1759" s="5" t="inlineStr"/>
      <c r="F1759" s="5" t="inlineStr"/>
      <c r="G1759" s="8">
        <f>IF($B1759="","",VLOOKUP($B1759,Jogos!$A$2:$K$105,9,FALSE))</f>
        <v/>
      </c>
      <c r="H1759" s="8">
        <f>IF($B1759="","",VLOOKUP($B1759,Jogos!$A$2:$K$105,11,FALSE))</f>
        <v/>
      </c>
      <c r="I1759" s="5">
        <f>IF(OR($A1759="", $B1759="", $E1759="", $F1759="", $G1759="", $H1759=""), "",IF(AND($E1759=$G1759, $F1759=$H1759), 3, IF(SIGN($E1759-$F1759)=SIGN($G1759-$H1759), 1, 0))))</f>
        <v/>
      </c>
    </row>
    <row r="1760">
      <c r="A1760" s="5" t="inlineStr"/>
      <c r="B1760" s="5" t="inlineStr"/>
      <c r="C1760" s="5">
        <f>IF($B1760="","",VLOOKUP($B1760,Jogos!$A$2:$K$105,8,FALSE))</f>
        <v/>
      </c>
      <c r="D1760" s="5">
        <f>IF($B1760="","",VLOOKUP($B1760,Jogos!$A$2:$K$105,10,FALSE))</f>
        <v/>
      </c>
      <c r="E1760" s="5" t="inlineStr"/>
      <c r="F1760" s="5" t="inlineStr"/>
      <c r="G1760" s="8">
        <f>IF($B1760="","",VLOOKUP($B1760,Jogos!$A$2:$K$105,9,FALSE))</f>
        <v/>
      </c>
      <c r="H1760" s="8">
        <f>IF($B1760="","",VLOOKUP($B1760,Jogos!$A$2:$K$105,11,FALSE))</f>
        <v/>
      </c>
      <c r="I1760" s="5">
        <f>IF(OR($A1760="", $B1760="", $E1760="", $F1760="", $G1760="", $H1760=""), "",IF(AND($E1760=$G1760, $F1760=$H1760), 3, IF(SIGN($E1760-$F1760)=SIGN($G1760-$H1760), 1, 0))))</f>
        <v/>
      </c>
    </row>
    <row r="1761">
      <c r="A1761" s="5" t="inlineStr"/>
      <c r="B1761" s="5" t="inlineStr"/>
      <c r="C1761" s="5">
        <f>IF($B1761="","",VLOOKUP($B1761,Jogos!$A$2:$K$105,8,FALSE))</f>
        <v/>
      </c>
      <c r="D1761" s="5">
        <f>IF($B1761="","",VLOOKUP($B1761,Jogos!$A$2:$K$105,10,FALSE))</f>
        <v/>
      </c>
      <c r="E1761" s="5" t="inlineStr"/>
      <c r="F1761" s="5" t="inlineStr"/>
      <c r="G1761" s="8">
        <f>IF($B1761="","",VLOOKUP($B1761,Jogos!$A$2:$K$105,9,FALSE))</f>
        <v/>
      </c>
      <c r="H1761" s="8">
        <f>IF($B1761="","",VLOOKUP($B1761,Jogos!$A$2:$K$105,11,FALSE))</f>
        <v/>
      </c>
      <c r="I1761" s="5">
        <f>IF(OR($A1761="", $B1761="", $E1761="", $F1761="", $G1761="", $H1761=""), "",IF(AND($E1761=$G1761, $F1761=$H1761), 3, IF(SIGN($E1761-$F1761)=SIGN($G1761-$H1761), 1, 0))))</f>
        <v/>
      </c>
    </row>
    <row r="1762">
      <c r="A1762" s="5" t="inlineStr"/>
      <c r="B1762" s="5" t="inlineStr"/>
      <c r="C1762" s="5">
        <f>IF($B1762="","",VLOOKUP($B1762,Jogos!$A$2:$K$105,8,FALSE))</f>
        <v/>
      </c>
      <c r="D1762" s="5">
        <f>IF($B1762="","",VLOOKUP($B1762,Jogos!$A$2:$K$105,10,FALSE))</f>
        <v/>
      </c>
      <c r="E1762" s="5" t="inlineStr"/>
      <c r="F1762" s="5" t="inlineStr"/>
      <c r="G1762" s="8">
        <f>IF($B1762="","",VLOOKUP($B1762,Jogos!$A$2:$K$105,9,FALSE))</f>
        <v/>
      </c>
      <c r="H1762" s="8">
        <f>IF($B1762="","",VLOOKUP($B1762,Jogos!$A$2:$K$105,11,FALSE))</f>
        <v/>
      </c>
      <c r="I1762" s="5">
        <f>IF(OR($A1762="", $B1762="", $E1762="", $F1762="", $G1762="", $H1762=""), "",IF(AND($E1762=$G1762, $F1762=$H1762), 3, IF(SIGN($E1762-$F1762)=SIGN($G1762-$H1762), 1, 0))))</f>
        <v/>
      </c>
    </row>
    <row r="1763">
      <c r="A1763" s="5" t="inlineStr"/>
      <c r="B1763" s="5" t="inlineStr"/>
      <c r="C1763" s="5">
        <f>IF($B1763="","",VLOOKUP($B1763,Jogos!$A$2:$K$105,8,FALSE))</f>
        <v/>
      </c>
      <c r="D1763" s="5">
        <f>IF($B1763="","",VLOOKUP($B1763,Jogos!$A$2:$K$105,10,FALSE))</f>
        <v/>
      </c>
      <c r="E1763" s="5" t="inlineStr"/>
      <c r="F1763" s="5" t="inlineStr"/>
      <c r="G1763" s="8">
        <f>IF($B1763="","",VLOOKUP($B1763,Jogos!$A$2:$K$105,9,FALSE))</f>
        <v/>
      </c>
      <c r="H1763" s="8">
        <f>IF($B1763="","",VLOOKUP($B1763,Jogos!$A$2:$K$105,11,FALSE))</f>
        <v/>
      </c>
      <c r="I1763" s="5">
        <f>IF(OR($A1763="", $B1763="", $E1763="", $F1763="", $G1763="", $H1763=""), "",IF(AND($E1763=$G1763, $F1763=$H1763), 3, IF(SIGN($E1763-$F1763)=SIGN($G1763-$H1763), 1, 0))))</f>
        <v/>
      </c>
    </row>
    <row r="1764">
      <c r="A1764" s="5" t="inlineStr"/>
      <c r="B1764" s="5" t="inlineStr"/>
      <c r="C1764" s="5">
        <f>IF($B1764="","",VLOOKUP($B1764,Jogos!$A$2:$K$105,8,FALSE))</f>
        <v/>
      </c>
      <c r="D1764" s="5">
        <f>IF($B1764="","",VLOOKUP($B1764,Jogos!$A$2:$K$105,10,FALSE))</f>
        <v/>
      </c>
      <c r="E1764" s="5" t="inlineStr"/>
      <c r="F1764" s="5" t="inlineStr"/>
      <c r="G1764" s="8">
        <f>IF($B1764="","",VLOOKUP($B1764,Jogos!$A$2:$K$105,9,FALSE))</f>
        <v/>
      </c>
      <c r="H1764" s="8">
        <f>IF($B1764="","",VLOOKUP($B1764,Jogos!$A$2:$K$105,11,FALSE))</f>
        <v/>
      </c>
      <c r="I1764" s="5">
        <f>IF(OR($A1764="", $B1764="", $E1764="", $F1764="", $G1764="", $H1764=""), "",IF(AND($E1764=$G1764, $F1764=$H1764), 3, IF(SIGN($E1764-$F1764)=SIGN($G1764-$H1764), 1, 0))))</f>
        <v/>
      </c>
    </row>
    <row r="1765">
      <c r="A1765" s="5" t="inlineStr"/>
      <c r="B1765" s="5" t="inlineStr"/>
      <c r="C1765" s="5">
        <f>IF($B1765="","",VLOOKUP($B1765,Jogos!$A$2:$K$105,8,FALSE))</f>
        <v/>
      </c>
      <c r="D1765" s="5">
        <f>IF($B1765="","",VLOOKUP($B1765,Jogos!$A$2:$K$105,10,FALSE))</f>
        <v/>
      </c>
      <c r="E1765" s="5" t="inlineStr"/>
      <c r="F1765" s="5" t="inlineStr"/>
      <c r="G1765" s="8">
        <f>IF($B1765="","",VLOOKUP($B1765,Jogos!$A$2:$K$105,9,FALSE))</f>
        <v/>
      </c>
      <c r="H1765" s="8">
        <f>IF($B1765="","",VLOOKUP($B1765,Jogos!$A$2:$K$105,11,FALSE))</f>
        <v/>
      </c>
      <c r="I1765" s="5">
        <f>IF(OR($A1765="", $B1765="", $E1765="", $F1765="", $G1765="", $H1765=""), "",IF(AND($E1765=$G1765, $F1765=$H1765), 3, IF(SIGN($E1765-$F1765)=SIGN($G1765-$H1765), 1, 0))))</f>
        <v/>
      </c>
    </row>
    <row r="1766">
      <c r="A1766" s="5" t="inlineStr"/>
      <c r="B1766" s="5" t="inlineStr"/>
      <c r="C1766" s="5">
        <f>IF($B1766="","",VLOOKUP($B1766,Jogos!$A$2:$K$105,8,FALSE))</f>
        <v/>
      </c>
      <c r="D1766" s="5">
        <f>IF($B1766="","",VLOOKUP($B1766,Jogos!$A$2:$K$105,10,FALSE))</f>
        <v/>
      </c>
      <c r="E1766" s="5" t="inlineStr"/>
      <c r="F1766" s="5" t="inlineStr"/>
      <c r="G1766" s="8">
        <f>IF($B1766="","",VLOOKUP($B1766,Jogos!$A$2:$K$105,9,FALSE))</f>
        <v/>
      </c>
      <c r="H1766" s="8">
        <f>IF($B1766="","",VLOOKUP($B1766,Jogos!$A$2:$K$105,11,FALSE))</f>
        <v/>
      </c>
      <c r="I1766" s="5">
        <f>IF(OR($A1766="", $B1766="", $E1766="", $F1766="", $G1766="", $H1766=""), "",IF(AND($E1766=$G1766, $F1766=$H1766), 3, IF(SIGN($E1766-$F1766)=SIGN($G1766-$H1766), 1, 0))))</f>
        <v/>
      </c>
    </row>
    <row r="1767">
      <c r="A1767" s="5" t="inlineStr"/>
      <c r="B1767" s="5" t="inlineStr"/>
      <c r="C1767" s="5">
        <f>IF($B1767="","",VLOOKUP($B1767,Jogos!$A$2:$K$105,8,FALSE))</f>
        <v/>
      </c>
      <c r="D1767" s="5">
        <f>IF($B1767="","",VLOOKUP($B1767,Jogos!$A$2:$K$105,10,FALSE))</f>
        <v/>
      </c>
      <c r="E1767" s="5" t="inlineStr"/>
      <c r="F1767" s="5" t="inlineStr"/>
      <c r="G1767" s="8">
        <f>IF($B1767="","",VLOOKUP($B1767,Jogos!$A$2:$K$105,9,FALSE))</f>
        <v/>
      </c>
      <c r="H1767" s="8">
        <f>IF($B1767="","",VLOOKUP($B1767,Jogos!$A$2:$K$105,11,FALSE))</f>
        <v/>
      </c>
      <c r="I1767" s="5">
        <f>IF(OR($A1767="", $B1767="", $E1767="", $F1767="", $G1767="", $H1767=""), "",IF(AND($E1767=$G1767, $F1767=$H1767), 3, IF(SIGN($E1767-$F1767)=SIGN($G1767-$H1767), 1, 0))))</f>
        <v/>
      </c>
    </row>
    <row r="1768">
      <c r="A1768" s="5" t="inlineStr"/>
      <c r="B1768" s="5" t="inlineStr"/>
      <c r="C1768" s="5">
        <f>IF($B1768="","",VLOOKUP($B1768,Jogos!$A$2:$K$105,8,FALSE))</f>
        <v/>
      </c>
      <c r="D1768" s="5">
        <f>IF($B1768="","",VLOOKUP($B1768,Jogos!$A$2:$K$105,10,FALSE))</f>
        <v/>
      </c>
      <c r="E1768" s="5" t="inlineStr"/>
      <c r="F1768" s="5" t="inlineStr"/>
      <c r="G1768" s="8">
        <f>IF($B1768="","",VLOOKUP($B1768,Jogos!$A$2:$K$105,9,FALSE))</f>
        <v/>
      </c>
      <c r="H1768" s="8">
        <f>IF($B1768="","",VLOOKUP($B1768,Jogos!$A$2:$K$105,11,FALSE))</f>
        <v/>
      </c>
      <c r="I1768" s="5">
        <f>IF(OR($A1768="", $B1768="", $E1768="", $F1768="", $G1768="", $H1768=""), "",IF(AND($E1768=$G1768, $F1768=$H1768), 3, IF(SIGN($E1768-$F1768)=SIGN($G1768-$H1768), 1, 0))))</f>
        <v/>
      </c>
    </row>
    <row r="1769">
      <c r="A1769" s="5" t="inlineStr"/>
      <c r="B1769" s="5" t="inlineStr"/>
      <c r="C1769" s="5">
        <f>IF($B1769="","",VLOOKUP($B1769,Jogos!$A$2:$K$105,8,FALSE))</f>
        <v/>
      </c>
      <c r="D1769" s="5">
        <f>IF($B1769="","",VLOOKUP($B1769,Jogos!$A$2:$K$105,10,FALSE))</f>
        <v/>
      </c>
      <c r="E1769" s="5" t="inlineStr"/>
      <c r="F1769" s="5" t="inlineStr"/>
      <c r="G1769" s="8">
        <f>IF($B1769="","",VLOOKUP($B1769,Jogos!$A$2:$K$105,9,FALSE))</f>
        <v/>
      </c>
      <c r="H1769" s="8">
        <f>IF($B1769="","",VLOOKUP($B1769,Jogos!$A$2:$K$105,11,FALSE))</f>
        <v/>
      </c>
      <c r="I1769" s="5">
        <f>IF(OR($A1769="", $B1769="", $E1769="", $F1769="", $G1769="", $H1769=""), "",IF(AND($E1769=$G1769, $F1769=$H1769), 3, IF(SIGN($E1769-$F1769)=SIGN($G1769-$H1769), 1, 0))))</f>
        <v/>
      </c>
    </row>
    <row r="1770">
      <c r="A1770" s="5" t="inlineStr"/>
      <c r="B1770" s="5" t="inlineStr"/>
      <c r="C1770" s="5">
        <f>IF($B1770="","",VLOOKUP($B1770,Jogos!$A$2:$K$105,8,FALSE))</f>
        <v/>
      </c>
      <c r="D1770" s="5">
        <f>IF($B1770="","",VLOOKUP($B1770,Jogos!$A$2:$K$105,10,FALSE))</f>
        <v/>
      </c>
      <c r="E1770" s="5" t="inlineStr"/>
      <c r="F1770" s="5" t="inlineStr"/>
      <c r="G1770" s="8">
        <f>IF($B1770="","",VLOOKUP($B1770,Jogos!$A$2:$K$105,9,FALSE))</f>
        <v/>
      </c>
      <c r="H1770" s="8">
        <f>IF($B1770="","",VLOOKUP($B1770,Jogos!$A$2:$K$105,11,FALSE))</f>
        <v/>
      </c>
      <c r="I1770" s="5">
        <f>IF(OR($A1770="", $B1770="", $E1770="", $F1770="", $G1770="", $H1770=""), "",IF(AND($E1770=$G1770, $F1770=$H1770), 3, IF(SIGN($E1770-$F1770)=SIGN($G1770-$H1770), 1, 0))))</f>
        <v/>
      </c>
    </row>
    <row r="1771">
      <c r="A1771" s="5" t="inlineStr"/>
      <c r="B1771" s="5" t="inlineStr"/>
      <c r="C1771" s="5">
        <f>IF($B1771="","",VLOOKUP($B1771,Jogos!$A$2:$K$105,8,FALSE))</f>
        <v/>
      </c>
      <c r="D1771" s="5">
        <f>IF($B1771="","",VLOOKUP($B1771,Jogos!$A$2:$K$105,10,FALSE))</f>
        <v/>
      </c>
      <c r="E1771" s="5" t="inlineStr"/>
      <c r="F1771" s="5" t="inlineStr"/>
      <c r="G1771" s="8">
        <f>IF($B1771="","",VLOOKUP($B1771,Jogos!$A$2:$K$105,9,FALSE))</f>
        <v/>
      </c>
      <c r="H1771" s="8">
        <f>IF($B1771="","",VLOOKUP($B1771,Jogos!$A$2:$K$105,11,FALSE))</f>
        <v/>
      </c>
      <c r="I1771" s="5">
        <f>IF(OR($A1771="", $B1771="", $E1771="", $F1771="", $G1771="", $H1771=""), "",IF(AND($E1771=$G1771, $F1771=$H1771), 3, IF(SIGN($E1771-$F1771)=SIGN($G1771-$H1771), 1, 0))))</f>
        <v/>
      </c>
    </row>
    <row r="1772">
      <c r="A1772" s="5" t="inlineStr"/>
      <c r="B1772" s="5" t="inlineStr"/>
      <c r="C1772" s="5">
        <f>IF($B1772="","",VLOOKUP($B1772,Jogos!$A$2:$K$105,8,FALSE))</f>
        <v/>
      </c>
      <c r="D1772" s="5">
        <f>IF($B1772="","",VLOOKUP($B1772,Jogos!$A$2:$K$105,10,FALSE))</f>
        <v/>
      </c>
      <c r="E1772" s="5" t="inlineStr"/>
      <c r="F1772" s="5" t="inlineStr"/>
      <c r="G1772" s="8">
        <f>IF($B1772="","",VLOOKUP($B1772,Jogos!$A$2:$K$105,9,FALSE))</f>
        <v/>
      </c>
      <c r="H1772" s="8">
        <f>IF($B1772="","",VLOOKUP($B1772,Jogos!$A$2:$K$105,11,FALSE))</f>
        <v/>
      </c>
      <c r="I1772" s="5">
        <f>IF(OR($A1772="", $B1772="", $E1772="", $F1772="", $G1772="", $H1772=""), "",IF(AND($E1772=$G1772, $F1772=$H1772), 3, IF(SIGN($E1772-$F1772)=SIGN($G1772-$H1772), 1, 0))))</f>
        <v/>
      </c>
    </row>
    <row r="1773">
      <c r="A1773" s="5" t="inlineStr"/>
      <c r="B1773" s="5" t="inlineStr"/>
      <c r="C1773" s="5">
        <f>IF($B1773="","",VLOOKUP($B1773,Jogos!$A$2:$K$105,8,FALSE))</f>
        <v/>
      </c>
      <c r="D1773" s="5">
        <f>IF($B1773="","",VLOOKUP($B1773,Jogos!$A$2:$K$105,10,FALSE))</f>
        <v/>
      </c>
      <c r="E1773" s="5" t="inlineStr"/>
      <c r="F1773" s="5" t="inlineStr"/>
      <c r="G1773" s="8">
        <f>IF($B1773="","",VLOOKUP($B1773,Jogos!$A$2:$K$105,9,FALSE))</f>
        <v/>
      </c>
      <c r="H1773" s="8">
        <f>IF($B1773="","",VLOOKUP($B1773,Jogos!$A$2:$K$105,11,FALSE))</f>
        <v/>
      </c>
      <c r="I1773" s="5">
        <f>IF(OR($A1773="", $B1773="", $E1773="", $F1773="", $G1773="", $H1773=""), "",IF(AND($E1773=$G1773, $F1773=$H1773), 3, IF(SIGN($E1773-$F1773)=SIGN($G1773-$H1773), 1, 0))))</f>
        <v/>
      </c>
    </row>
    <row r="1774">
      <c r="A1774" s="5" t="inlineStr"/>
      <c r="B1774" s="5" t="inlineStr"/>
      <c r="C1774" s="5">
        <f>IF($B1774="","",VLOOKUP($B1774,Jogos!$A$2:$K$105,8,FALSE))</f>
        <v/>
      </c>
      <c r="D1774" s="5">
        <f>IF($B1774="","",VLOOKUP($B1774,Jogos!$A$2:$K$105,10,FALSE))</f>
        <v/>
      </c>
      <c r="E1774" s="5" t="inlineStr"/>
      <c r="F1774" s="5" t="inlineStr"/>
      <c r="G1774" s="8">
        <f>IF($B1774="","",VLOOKUP($B1774,Jogos!$A$2:$K$105,9,FALSE))</f>
        <v/>
      </c>
      <c r="H1774" s="8">
        <f>IF($B1774="","",VLOOKUP($B1774,Jogos!$A$2:$K$105,11,FALSE))</f>
        <v/>
      </c>
      <c r="I1774" s="5">
        <f>IF(OR($A1774="", $B1774="", $E1774="", $F1774="", $G1774="", $H1774=""), "",IF(AND($E1774=$G1774, $F1774=$H1774), 3, IF(SIGN($E1774-$F1774)=SIGN($G1774-$H1774), 1, 0))))</f>
        <v/>
      </c>
    </row>
    <row r="1775">
      <c r="A1775" s="5" t="inlineStr"/>
      <c r="B1775" s="5" t="inlineStr"/>
      <c r="C1775" s="5">
        <f>IF($B1775="","",VLOOKUP($B1775,Jogos!$A$2:$K$105,8,FALSE))</f>
        <v/>
      </c>
      <c r="D1775" s="5">
        <f>IF($B1775="","",VLOOKUP($B1775,Jogos!$A$2:$K$105,10,FALSE))</f>
        <v/>
      </c>
      <c r="E1775" s="5" t="inlineStr"/>
      <c r="F1775" s="5" t="inlineStr"/>
      <c r="G1775" s="8">
        <f>IF($B1775="","",VLOOKUP($B1775,Jogos!$A$2:$K$105,9,FALSE))</f>
        <v/>
      </c>
      <c r="H1775" s="8">
        <f>IF($B1775="","",VLOOKUP($B1775,Jogos!$A$2:$K$105,11,FALSE))</f>
        <v/>
      </c>
      <c r="I1775" s="5">
        <f>IF(OR($A1775="", $B1775="", $E1775="", $F1775="", $G1775="", $H1775=""), "",IF(AND($E1775=$G1775, $F1775=$H1775), 3, IF(SIGN($E1775-$F1775)=SIGN($G1775-$H1775), 1, 0))))</f>
        <v/>
      </c>
    </row>
    <row r="1776">
      <c r="A1776" s="5" t="inlineStr"/>
      <c r="B1776" s="5" t="inlineStr"/>
      <c r="C1776" s="5">
        <f>IF($B1776="","",VLOOKUP($B1776,Jogos!$A$2:$K$105,8,FALSE))</f>
        <v/>
      </c>
      <c r="D1776" s="5">
        <f>IF($B1776="","",VLOOKUP($B1776,Jogos!$A$2:$K$105,10,FALSE))</f>
        <v/>
      </c>
      <c r="E1776" s="5" t="inlineStr"/>
      <c r="F1776" s="5" t="inlineStr"/>
      <c r="G1776" s="8">
        <f>IF($B1776="","",VLOOKUP($B1776,Jogos!$A$2:$K$105,9,FALSE))</f>
        <v/>
      </c>
      <c r="H1776" s="8">
        <f>IF($B1776="","",VLOOKUP($B1776,Jogos!$A$2:$K$105,11,FALSE))</f>
        <v/>
      </c>
      <c r="I1776" s="5">
        <f>IF(OR($A1776="", $B1776="", $E1776="", $F1776="", $G1776="", $H1776=""), "",IF(AND($E1776=$G1776, $F1776=$H1776), 3, IF(SIGN($E1776-$F1776)=SIGN($G1776-$H1776), 1, 0))))</f>
        <v/>
      </c>
    </row>
    <row r="1777">
      <c r="A1777" s="5" t="inlineStr"/>
      <c r="B1777" s="5" t="inlineStr"/>
      <c r="C1777" s="5">
        <f>IF($B1777="","",VLOOKUP($B1777,Jogos!$A$2:$K$105,8,FALSE))</f>
        <v/>
      </c>
      <c r="D1777" s="5">
        <f>IF($B1777="","",VLOOKUP($B1777,Jogos!$A$2:$K$105,10,FALSE))</f>
        <v/>
      </c>
      <c r="E1777" s="5" t="inlineStr"/>
      <c r="F1777" s="5" t="inlineStr"/>
      <c r="G1777" s="8">
        <f>IF($B1777="","",VLOOKUP($B1777,Jogos!$A$2:$K$105,9,FALSE))</f>
        <v/>
      </c>
      <c r="H1777" s="8">
        <f>IF($B1777="","",VLOOKUP($B1777,Jogos!$A$2:$K$105,11,FALSE))</f>
        <v/>
      </c>
      <c r="I1777" s="5">
        <f>IF(OR($A1777="", $B1777="", $E1777="", $F1777="", $G1777="", $H1777=""), "",IF(AND($E1777=$G1777, $F1777=$H1777), 3, IF(SIGN($E1777-$F1777)=SIGN($G1777-$H1777), 1, 0))))</f>
        <v/>
      </c>
    </row>
    <row r="1778">
      <c r="A1778" s="5" t="inlineStr"/>
      <c r="B1778" s="5" t="inlineStr"/>
      <c r="C1778" s="5">
        <f>IF($B1778="","",VLOOKUP($B1778,Jogos!$A$2:$K$105,8,FALSE))</f>
        <v/>
      </c>
      <c r="D1778" s="5">
        <f>IF($B1778="","",VLOOKUP($B1778,Jogos!$A$2:$K$105,10,FALSE))</f>
        <v/>
      </c>
      <c r="E1778" s="5" t="inlineStr"/>
      <c r="F1778" s="5" t="inlineStr"/>
      <c r="G1778" s="8">
        <f>IF($B1778="","",VLOOKUP($B1778,Jogos!$A$2:$K$105,9,FALSE))</f>
        <v/>
      </c>
      <c r="H1778" s="8">
        <f>IF($B1778="","",VLOOKUP($B1778,Jogos!$A$2:$K$105,11,FALSE))</f>
        <v/>
      </c>
      <c r="I1778" s="5">
        <f>IF(OR($A1778="", $B1778="", $E1778="", $F1778="", $G1778="", $H1778=""), "",IF(AND($E1778=$G1778, $F1778=$H1778), 3, IF(SIGN($E1778-$F1778)=SIGN($G1778-$H1778), 1, 0))))</f>
        <v/>
      </c>
    </row>
    <row r="1779">
      <c r="A1779" s="5" t="inlineStr"/>
      <c r="B1779" s="5" t="inlineStr"/>
      <c r="C1779" s="5">
        <f>IF($B1779="","",VLOOKUP($B1779,Jogos!$A$2:$K$105,8,FALSE))</f>
        <v/>
      </c>
      <c r="D1779" s="5">
        <f>IF($B1779="","",VLOOKUP($B1779,Jogos!$A$2:$K$105,10,FALSE))</f>
        <v/>
      </c>
      <c r="E1779" s="5" t="inlineStr"/>
      <c r="F1779" s="5" t="inlineStr"/>
      <c r="G1779" s="8">
        <f>IF($B1779="","",VLOOKUP($B1779,Jogos!$A$2:$K$105,9,FALSE))</f>
        <v/>
      </c>
      <c r="H1779" s="8">
        <f>IF($B1779="","",VLOOKUP($B1779,Jogos!$A$2:$K$105,11,FALSE))</f>
        <v/>
      </c>
      <c r="I1779" s="5">
        <f>IF(OR($A1779="", $B1779="", $E1779="", $F1779="", $G1779="", $H1779=""), "",IF(AND($E1779=$G1779, $F1779=$H1779), 3, IF(SIGN($E1779-$F1779)=SIGN($G1779-$H1779), 1, 0))))</f>
        <v/>
      </c>
    </row>
    <row r="1780">
      <c r="A1780" s="5" t="inlineStr"/>
      <c r="B1780" s="5" t="inlineStr"/>
      <c r="C1780" s="5">
        <f>IF($B1780="","",VLOOKUP($B1780,Jogos!$A$2:$K$105,8,FALSE))</f>
        <v/>
      </c>
      <c r="D1780" s="5">
        <f>IF($B1780="","",VLOOKUP($B1780,Jogos!$A$2:$K$105,10,FALSE))</f>
        <v/>
      </c>
      <c r="E1780" s="5" t="inlineStr"/>
      <c r="F1780" s="5" t="inlineStr"/>
      <c r="G1780" s="8">
        <f>IF($B1780="","",VLOOKUP($B1780,Jogos!$A$2:$K$105,9,FALSE))</f>
        <v/>
      </c>
      <c r="H1780" s="8">
        <f>IF($B1780="","",VLOOKUP($B1780,Jogos!$A$2:$K$105,11,FALSE))</f>
        <v/>
      </c>
      <c r="I1780" s="5">
        <f>IF(OR($A1780="", $B1780="", $E1780="", $F1780="", $G1780="", $H1780=""), "",IF(AND($E1780=$G1780, $F1780=$H1780), 3, IF(SIGN($E1780-$F1780)=SIGN($G1780-$H1780), 1, 0))))</f>
        <v/>
      </c>
    </row>
    <row r="1781">
      <c r="A1781" s="5" t="inlineStr"/>
      <c r="B1781" s="5" t="inlineStr"/>
      <c r="C1781" s="5">
        <f>IF($B1781="","",VLOOKUP($B1781,Jogos!$A$2:$K$105,8,FALSE))</f>
        <v/>
      </c>
      <c r="D1781" s="5">
        <f>IF($B1781="","",VLOOKUP($B1781,Jogos!$A$2:$K$105,10,FALSE))</f>
        <v/>
      </c>
      <c r="E1781" s="5" t="inlineStr"/>
      <c r="F1781" s="5" t="inlineStr"/>
      <c r="G1781" s="8">
        <f>IF($B1781="","",VLOOKUP($B1781,Jogos!$A$2:$K$105,9,FALSE))</f>
        <v/>
      </c>
      <c r="H1781" s="8">
        <f>IF($B1781="","",VLOOKUP($B1781,Jogos!$A$2:$K$105,11,FALSE))</f>
        <v/>
      </c>
      <c r="I1781" s="5">
        <f>IF(OR($A1781="", $B1781="", $E1781="", $F1781="", $G1781="", $H1781=""), "",IF(AND($E1781=$G1781, $F1781=$H1781), 3, IF(SIGN($E1781-$F1781)=SIGN($G1781-$H1781), 1, 0))))</f>
        <v/>
      </c>
    </row>
    <row r="1782">
      <c r="A1782" s="5" t="inlineStr"/>
      <c r="B1782" s="5" t="inlineStr"/>
      <c r="C1782" s="5">
        <f>IF($B1782="","",VLOOKUP($B1782,Jogos!$A$2:$K$105,8,FALSE))</f>
        <v/>
      </c>
      <c r="D1782" s="5">
        <f>IF($B1782="","",VLOOKUP($B1782,Jogos!$A$2:$K$105,10,FALSE))</f>
        <v/>
      </c>
      <c r="E1782" s="5" t="inlineStr"/>
      <c r="F1782" s="5" t="inlineStr"/>
      <c r="G1782" s="8">
        <f>IF($B1782="","",VLOOKUP($B1782,Jogos!$A$2:$K$105,9,FALSE))</f>
        <v/>
      </c>
      <c r="H1782" s="8">
        <f>IF($B1782="","",VLOOKUP($B1782,Jogos!$A$2:$K$105,11,FALSE))</f>
        <v/>
      </c>
      <c r="I1782" s="5">
        <f>IF(OR($A1782="", $B1782="", $E1782="", $F1782="", $G1782="", $H1782=""), "",IF(AND($E1782=$G1782, $F1782=$H1782), 3, IF(SIGN($E1782-$F1782)=SIGN($G1782-$H1782), 1, 0))))</f>
        <v/>
      </c>
    </row>
    <row r="1783">
      <c r="A1783" s="5" t="inlineStr"/>
      <c r="B1783" s="5" t="inlineStr"/>
      <c r="C1783" s="5">
        <f>IF($B1783="","",VLOOKUP($B1783,Jogos!$A$2:$K$105,8,FALSE))</f>
        <v/>
      </c>
      <c r="D1783" s="5">
        <f>IF($B1783="","",VLOOKUP($B1783,Jogos!$A$2:$K$105,10,FALSE))</f>
        <v/>
      </c>
      <c r="E1783" s="5" t="inlineStr"/>
      <c r="F1783" s="5" t="inlineStr"/>
      <c r="G1783" s="8">
        <f>IF($B1783="","",VLOOKUP($B1783,Jogos!$A$2:$K$105,9,FALSE))</f>
        <v/>
      </c>
      <c r="H1783" s="8">
        <f>IF($B1783="","",VLOOKUP($B1783,Jogos!$A$2:$K$105,11,FALSE))</f>
        <v/>
      </c>
      <c r="I1783" s="5">
        <f>IF(OR($A1783="", $B1783="", $E1783="", $F1783="", $G1783="", $H1783=""), "",IF(AND($E1783=$G1783, $F1783=$H1783), 3, IF(SIGN($E1783-$F1783)=SIGN($G1783-$H1783), 1, 0))))</f>
        <v/>
      </c>
    </row>
    <row r="1784">
      <c r="A1784" s="5" t="inlineStr"/>
      <c r="B1784" s="5" t="inlineStr"/>
      <c r="C1784" s="5">
        <f>IF($B1784="","",VLOOKUP($B1784,Jogos!$A$2:$K$105,8,FALSE))</f>
        <v/>
      </c>
      <c r="D1784" s="5">
        <f>IF($B1784="","",VLOOKUP($B1784,Jogos!$A$2:$K$105,10,FALSE))</f>
        <v/>
      </c>
      <c r="E1784" s="5" t="inlineStr"/>
      <c r="F1784" s="5" t="inlineStr"/>
      <c r="G1784" s="8">
        <f>IF($B1784="","",VLOOKUP($B1784,Jogos!$A$2:$K$105,9,FALSE))</f>
        <v/>
      </c>
      <c r="H1784" s="8">
        <f>IF($B1784="","",VLOOKUP($B1784,Jogos!$A$2:$K$105,11,FALSE))</f>
        <v/>
      </c>
      <c r="I1784" s="5">
        <f>IF(OR($A1784="", $B1784="", $E1784="", $F1784="", $G1784="", $H1784=""), "",IF(AND($E1784=$G1784, $F1784=$H1784), 3, IF(SIGN($E1784-$F1784)=SIGN($G1784-$H1784), 1, 0))))</f>
        <v/>
      </c>
    </row>
    <row r="1785">
      <c r="A1785" s="5" t="inlineStr"/>
      <c r="B1785" s="5" t="inlineStr"/>
      <c r="C1785" s="5">
        <f>IF($B1785="","",VLOOKUP($B1785,Jogos!$A$2:$K$105,8,FALSE))</f>
        <v/>
      </c>
      <c r="D1785" s="5">
        <f>IF($B1785="","",VLOOKUP($B1785,Jogos!$A$2:$K$105,10,FALSE))</f>
        <v/>
      </c>
      <c r="E1785" s="5" t="inlineStr"/>
      <c r="F1785" s="5" t="inlineStr"/>
      <c r="G1785" s="8">
        <f>IF($B1785="","",VLOOKUP($B1785,Jogos!$A$2:$K$105,9,FALSE))</f>
        <v/>
      </c>
      <c r="H1785" s="8">
        <f>IF($B1785="","",VLOOKUP($B1785,Jogos!$A$2:$K$105,11,FALSE))</f>
        <v/>
      </c>
      <c r="I1785" s="5">
        <f>IF(OR($A1785="", $B1785="", $E1785="", $F1785="", $G1785="", $H1785=""), "",IF(AND($E1785=$G1785, $F1785=$H1785), 3, IF(SIGN($E1785-$F1785)=SIGN($G1785-$H1785), 1, 0))))</f>
        <v/>
      </c>
    </row>
    <row r="1786">
      <c r="A1786" s="5" t="inlineStr"/>
      <c r="B1786" s="5" t="inlineStr"/>
      <c r="C1786" s="5">
        <f>IF($B1786="","",VLOOKUP($B1786,Jogos!$A$2:$K$105,8,FALSE))</f>
        <v/>
      </c>
      <c r="D1786" s="5">
        <f>IF($B1786="","",VLOOKUP($B1786,Jogos!$A$2:$K$105,10,FALSE))</f>
        <v/>
      </c>
      <c r="E1786" s="5" t="inlineStr"/>
      <c r="F1786" s="5" t="inlineStr"/>
      <c r="G1786" s="8">
        <f>IF($B1786="","",VLOOKUP($B1786,Jogos!$A$2:$K$105,9,FALSE))</f>
        <v/>
      </c>
      <c r="H1786" s="8">
        <f>IF($B1786="","",VLOOKUP($B1786,Jogos!$A$2:$K$105,11,FALSE))</f>
        <v/>
      </c>
      <c r="I1786" s="5">
        <f>IF(OR($A1786="", $B1786="", $E1786="", $F1786="", $G1786="", $H1786=""), "",IF(AND($E1786=$G1786, $F1786=$H1786), 3, IF(SIGN($E1786-$F1786)=SIGN($G1786-$H1786), 1, 0))))</f>
        <v/>
      </c>
    </row>
    <row r="1787">
      <c r="A1787" s="5" t="inlineStr"/>
      <c r="B1787" s="5" t="inlineStr"/>
      <c r="C1787" s="5">
        <f>IF($B1787="","",VLOOKUP($B1787,Jogos!$A$2:$K$105,8,FALSE))</f>
        <v/>
      </c>
      <c r="D1787" s="5">
        <f>IF($B1787="","",VLOOKUP($B1787,Jogos!$A$2:$K$105,10,FALSE))</f>
        <v/>
      </c>
      <c r="E1787" s="5" t="inlineStr"/>
      <c r="F1787" s="5" t="inlineStr"/>
      <c r="G1787" s="8">
        <f>IF($B1787="","",VLOOKUP($B1787,Jogos!$A$2:$K$105,9,FALSE))</f>
        <v/>
      </c>
      <c r="H1787" s="8">
        <f>IF($B1787="","",VLOOKUP($B1787,Jogos!$A$2:$K$105,11,FALSE))</f>
        <v/>
      </c>
      <c r="I1787" s="5">
        <f>IF(OR($A1787="", $B1787="", $E1787="", $F1787="", $G1787="", $H1787=""), "",IF(AND($E1787=$G1787, $F1787=$H1787), 3, IF(SIGN($E1787-$F1787)=SIGN($G1787-$H1787), 1, 0))))</f>
        <v/>
      </c>
    </row>
    <row r="1788">
      <c r="A1788" s="5" t="inlineStr"/>
      <c r="B1788" s="5" t="inlineStr"/>
      <c r="C1788" s="5">
        <f>IF($B1788="","",VLOOKUP($B1788,Jogos!$A$2:$K$105,8,FALSE))</f>
        <v/>
      </c>
      <c r="D1788" s="5">
        <f>IF($B1788="","",VLOOKUP($B1788,Jogos!$A$2:$K$105,10,FALSE))</f>
        <v/>
      </c>
      <c r="E1788" s="5" t="inlineStr"/>
      <c r="F1788" s="5" t="inlineStr"/>
      <c r="G1788" s="8">
        <f>IF($B1788="","",VLOOKUP($B1788,Jogos!$A$2:$K$105,9,FALSE))</f>
        <v/>
      </c>
      <c r="H1788" s="8">
        <f>IF($B1788="","",VLOOKUP($B1788,Jogos!$A$2:$K$105,11,FALSE))</f>
        <v/>
      </c>
      <c r="I1788" s="5">
        <f>IF(OR($A1788="", $B1788="", $E1788="", $F1788="", $G1788="", $H1788=""), "",IF(AND($E1788=$G1788, $F1788=$H1788), 3, IF(SIGN($E1788-$F1788)=SIGN($G1788-$H1788), 1, 0))))</f>
        <v/>
      </c>
    </row>
    <row r="1789">
      <c r="A1789" s="5" t="inlineStr"/>
      <c r="B1789" s="5" t="inlineStr"/>
      <c r="C1789" s="5">
        <f>IF($B1789="","",VLOOKUP($B1789,Jogos!$A$2:$K$105,8,FALSE))</f>
        <v/>
      </c>
      <c r="D1789" s="5">
        <f>IF($B1789="","",VLOOKUP($B1789,Jogos!$A$2:$K$105,10,FALSE))</f>
        <v/>
      </c>
      <c r="E1789" s="5" t="inlineStr"/>
      <c r="F1789" s="5" t="inlineStr"/>
      <c r="G1789" s="8">
        <f>IF($B1789="","",VLOOKUP($B1789,Jogos!$A$2:$K$105,9,FALSE))</f>
        <v/>
      </c>
      <c r="H1789" s="8">
        <f>IF($B1789="","",VLOOKUP($B1789,Jogos!$A$2:$K$105,11,FALSE))</f>
        <v/>
      </c>
      <c r="I1789" s="5">
        <f>IF(OR($A1789="", $B1789="", $E1789="", $F1789="", $G1789="", $H1789=""), "",IF(AND($E1789=$G1789, $F1789=$H1789), 3, IF(SIGN($E1789-$F1789)=SIGN($G1789-$H1789), 1, 0))))</f>
        <v/>
      </c>
    </row>
    <row r="1790">
      <c r="A1790" s="5" t="inlineStr"/>
      <c r="B1790" s="5" t="inlineStr"/>
      <c r="C1790" s="5">
        <f>IF($B1790="","",VLOOKUP($B1790,Jogos!$A$2:$K$105,8,FALSE))</f>
        <v/>
      </c>
      <c r="D1790" s="5">
        <f>IF($B1790="","",VLOOKUP($B1790,Jogos!$A$2:$K$105,10,FALSE))</f>
        <v/>
      </c>
      <c r="E1790" s="5" t="inlineStr"/>
      <c r="F1790" s="5" t="inlineStr"/>
      <c r="G1790" s="8">
        <f>IF($B1790="","",VLOOKUP($B1790,Jogos!$A$2:$K$105,9,FALSE))</f>
        <v/>
      </c>
      <c r="H1790" s="8">
        <f>IF($B1790="","",VLOOKUP($B1790,Jogos!$A$2:$K$105,11,FALSE))</f>
        <v/>
      </c>
      <c r="I1790" s="5">
        <f>IF(OR($A1790="", $B1790="", $E1790="", $F1790="", $G1790="", $H1790=""), "",IF(AND($E1790=$G1790, $F1790=$H1790), 3, IF(SIGN($E1790-$F1790)=SIGN($G1790-$H1790), 1, 0))))</f>
        <v/>
      </c>
    </row>
    <row r="1791">
      <c r="A1791" s="5" t="inlineStr"/>
      <c r="B1791" s="5" t="inlineStr"/>
      <c r="C1791" s="5">
        <f>IF($B1791="","",VLOOKUP($B1791,Jogos!$A$2:$K$105,8,FALSE))</f>
        <v/>
      </c>
      <c r="D1791" s="5">
        <f>IF($B1791="","",VLOOKUP($B1791,Jogos!$A$2:$K$105,10,FALSE))</f>
        <v/>
      </c>
      <c r="E1791" s="5" t="inlineStr"/>
      <c r="F1791" s="5" t="inlineStr"/>
      <c r="G1791" s="8">
        <f>IF($B1791="","",VLOOKUP($B1791,Jogos!$A$2:$K$105,9,FALSE))</f>
        <v/>
      </c>
      <c r="H1791" s="8">
        <f>IF($B1791="","",VLOOKUP($B1791,Jogos!$A$2:$K$105,11,FALSE))</f>
        <v/>
      </c>
      <c r="I1791" s="5">
        <f>IF(OR($A1791="", $B1791="", $E1791="", $F1791="", $G1791="", $H1791=""), "",IF(AND($E1791=$G1791, $F1791=$H1791), 3, IF(SIGN($E1791-$F1791)=SIGN($G1791-$H1791), 1, 0))))</f>
        <v/>
      </c>
    </row>
    <row r="1792">
      <c r="A1792" s="5" t="inlineStr"/>
      <c r="B1792" s="5" t="inlineStr"/>
      <c r="C1792" s="5">
        <f>IF($B1792="","",VLOOKUP($B1792,Jogos!$A$2:$K$105,8,FALSE))</f>
        <v/>
      </c>
      <c r="D1792" s="5">
        <f>IF($B1792="","",VLOOKUP($B1792,Jogos!$A$2:$K$105,10,FALSE))</f>
        <v/>
      </c>
      <c r="E1792" s="5" t="inlineStr"/>
      <c r="F1792" s="5" t="inlineStr"/>
      <c r="G1792" s="8">
        <f>IF($B1792="","",VLOOKUP($B1792,Jogos!$A$2:$K$105,9,FALSE))</f>
        <v/>
      </c>
      <c r="H1792" s="8">
        <f>IF($B1792="","",VLOOKUP($B1792,Jogos!$A$2:$K$105,11,FALSE))</f>
        <v/>
      </c>
      <c r="I1792" s="5">
        <f>IF(OR($A1792="", $B1792="", $E1792="", $F1792="", $G1792="", $H1792=""), "",IF(AND($E1792=$G1792, $F1792=$H1792), 3, IF(SIGN($E1792-$F1792)=SIGN($G1792-$H1792), 1, 0))))</f>
        <v/>
      </c>
    </row>
    <row r="1793">
      <c r="A1793" s="5" t="inlineStr"/>
      <c r="B1793" s="5" t="inlineStr"/>
      <c r="C1793" s="5">
        <f>IF($B1793="","",VLOOKUP($B1793,Jogos!$A$2:$K$105,8,FALSE))</f>
        <v/>
      </c>
      <c r="D1793" s="5">
        <f>IF($B1793="","",VLOOKUP($B1793,Jogos!$A$2:$K$105,10,FALSE))</f>
        <v/>
      </c>
      <c r="E1793" s="5" t="inlineStr"/>
      <c r="F1793" s="5" t="inlineStr"/>
      <c r="G1793" s="8">
        <f>IF($B1793="","",VLOOKUP($B1793,Jogos!$A$2:$K$105,9,FALSE))</f>
        <v/>
      </c>
      <c r="H1793" s="8">
        <f>IF($B1793="","",VLOOKUP($B1793,Jogos!$A$2:$K$105,11,FALSE))</f>
        <v/>
      </c>
      <c r="I1793" s="5">
        <f>IF(OR($A1793="", $B1793="", $E1793="", $F1793="", $G1793="", $H1793=""), "",IF(AND($E1793=$G1793, $F1793=$H1793), 3, IF(SIGN($E1793-$F1793)=SIGN($G1793-$H1793), 1, 0))))</f>
        <v/>
      </c>
    </row>
    <row r="1794">
      <c r="A1794" s="5" t="inlineStr"/>
      <c r="B1794" s="5" t="inlineStr"/>
      <c r="C1794" s="5">
        <f>IF($B1794="","",VLOOKUP($B1794,Jogos!$A$2:$K$105,8,FALSE))</f>
        <v/>
      </c>
      <c r="D1794" s="5">
        <f>IF($B1794="","",VLOOKUP($B1794,Jogos!$A$2:$K$105,10,FALSE))</f>
        <v/>
      </c>
      <c r="E1794" s="5" t="inlineStr"/>
      <c r="F1794" s="5" t="inlineStr"/>
      <c r="G1794" s="8">
        <f>IF($B1794="","",VLOOKUP($B1794,Jogos!$A$2:$K$105,9,FALSE))</f>
        <v/>
      </c>
      <c r="H1794" s="8">
        <f>IF($B1794="","",VLOOKUP($B1794,Jogos!$A$2:$K$105,11,FALSE))</f>
        <v/>
      </c>
      <c r="I1794" s="5">
        <f>IF(OR($A1794="", $B1794="", $E1794="", $F1794="", $G1794="", $H1794=""), "",IF(AND($E1794=$G1794, $F1794=$H1794), 3, IF(SIGN($E1794-$F1794)=SIGN($G1794-$H1794), 1, 0))))</f>
        <v/>
      </c>
    </row>
    <row r="1795">
      <c r="A1795" s="5" t="inlineStr"/>
      <c r="B1795" s="5" t="inlineStr"/>
      <c r="C1795" s="5">
        <f>IF($B1795="","",VLOOKUP($B1795,Jogos!$A$2:$K$105,8,FALSE))</f>
        <v/>
      </c>
      <c r="D1795" s="5">
        <f>IF($B1795="","",VLOOKUP($B1795,Jogos!$A$2:$K$105,10,FALSE))</f>
        <v/>
      </c>
      <c r="E1795" s="5" t="inlineStr"/>
      <c r="F1795" s="5" t="inlineStr"/>
      <c r="G1795" s="8">
        <f>IF($B1795="","",VLOOKUP($B1795,Jogos!$A$2:$K$105,9,FALSE))</f>
        <v/>
      </c>
      <c r="H1795" s="8">
        <f>IF($B1795="","",VLOOKUP($B1795,Jogos!$A$2:$K$105,11,FALSE))</f>
        <v/>
      </c>
      <c r="I1795" s="5">
        <f>IF(OR($A1795="", $B1795="", $E1795="", $F1795="", $G1795="", $H1795=""), "",IF(AND($E1795=$G1795, $F1795=$H1795), 3, IF(SIGN($E1795-$F1795)=SIGN($G1795-$H1795), 1, 0))))</f>
        <v/>
      </c>
    </row>
    <row r="1796">
      <c r="A1796" s="5" t="inlineStr"/>
      <c r="B1796" s="5" t="inlineStr"/>
      <c r="C1796" s="5">
        <f>IF($B1796="","",VLOOKUP($B1796,Jogos!$A$2:$K$105,8,FALSE))</f>
        <v/>
      </c>
      <c r="D1796" s="5">
        <f>IF($B1796="","",VLOOKUP($B1796,Jogos!$A$2:$K$105,10,FALSE))</f>
        <v/>
      </c>
      <c r="E1796" s="5" t="inlineStr"/>
      <c r="F1796" s="5" t="inlineStr"/>
      <c r="G1796" s="8">
        <f>IF($B1796="","",VLOOKUP($B1796,Jogos!$A$2:$K$105,9,FALSE))</f>
        <v/>
      </c>
      <c r="H1796" s="8">
        <f>IF($B1796="","",VLOOKUP($B1796,Jogos!$A$2:$K$105,11,FALSE))</f>
        <v/>
      </c>
      <c r="I1796" s="5">
        <f>IF(OR($A1796="", $B1796="", $E1796="", $F1796="", $G1796="", $H1796=""), "",IF(AND($E1796=$G1796, $F1796=$H1796), 3, IF(SIGN($E1796-$F1796)=SIGN($G1796-$H1796), 1, 0))))</f>
        <v/>
      </c>
    </row>
    <row r="1797">
      <c r="A1797" s="5" t="inlineStr"/>
      <c r="B1797" s="5" t="inlineStr"/>
      <c r="C1797" s="5">
        <f>IF($B1797="","",VLOOKUP($B1797,Jogos!$A$2:$K$105,8,FALSE))</f>
        <v/>
      </c>
      <c r="D1797" s="5">
        <f>IF($B1797="","",VLOOKUP($B1797,Jogos!$A$2:$K$105,10,FALSE))</f>
        <v/>
      </c>
      <c r="E1797" s="5" t="inlineStr"/>
      <c r="F1797" s="5" t="inlineStr"/>
      <c r="G1797" s="8">
        <f>IF($B1797="","",VLOOKUP($B1797,Jogos!$A$2:$K$105,9,FALSE))</f>
        <v/>
      </c>
      <c r="H1797" s="8">
        <f>IF($B1797="","",VLOOKUP($B1797,Jogos!$A$2:$K$105,11,FALSE))</f>
        <v/>
      </c>
      <c r="I1797" s="5">
        <f>IF(OR($A1797="", $B1797="", $E1797="", $F1797="", $G1797="", $H1797=""), "",IF(AND($E1797=$G1797, $F1797=$H1797), 3, IF(SIGN($E1797-$F1797)=SIGN($G1797-$H1797), 1, 0))))</f>
        <v/>
      </c>
    </row>
    <row r="1798">
      <c r="A1798" s="5" t="inlineStr"/>
      <c r="B1798" s="5" t="inlineStr"/>
      <c r="C1798" s="5">
        <f>IF($B1798="","",VLOOKUP($B1798,Jogos!$A$2:$K$105,8,FALSE))</f>
        <v/>
      </c>
      <c r="D1798" s="5">
        <f>IF($B1798="","",VLOOKUP($B1798,Jogos!$A$2:$K$105,10,FALSE))</f>
        <v/>
      </c>
      <c r="E1798" s="5" t="inlineStr"/>
      <c r="F1798" s="5" t="inlineStr"/>
      <c r="G1798" s="8">
        <f>IF($B1798="","",VLOOKUP($B1798,Jogos!$A$2:$K$105,9,FALSE))</f>
        <v/>
      </c>
      <c r="H1798" s="8">
        <f>IF($B1798="","",VLOOKUP($B1798,Jogos!$A$2:$K$105,11,FALSE))</f>
        <v/>
      </c>
      <c r="I1798" s="5">
        <f>IF(OR($A1798="", $B1798="", $E1798="", $F1798="", $G1798="", $H1798=""), "",IF(AND($E1798=$G1798, $F1798=$H1798), 3, IF(SIGN($E1798-$F1798)=SIGN($G1798-$H1798), 1, 0))))</f>
        <v/>
      </c>
    </row>
    <row r="1799">
      <c r="A1799" s="5" t="inlineStr"/>
      <c r="B1799" s="5" t="inlineStr"/>
      <c r="C1799" s="5">
        <f>IF($B1799="","",VLOOKUP($B1799,Jogos!$A$2:$K$105,8,FALSE))</f>
        <v/>
      </c>
      <c r="D1799" s="5">
        <f>IF($B1799="","",VLOOKUP($B1799,Jogos!$A$2:$K$105,10,FALSE))</f>
        <v/>
      </c>
      <c r="E1799" s="5" t="inlineStr"/>
      <c r="F1799" s="5" t="inlineStr"/>
      <c r="G1799" s="8">
        <f>IF($B1799="","",VLOOKUP($B1799,Jogos!$A$2:$K$105,9,FALSE))</f>
        <v/>
      </c>
      <c r="H1799" s="8">
        <f>IF($B1799="","",VLOOKUP($B1799,Jogos!$A$2:$K$105,11,FALSE))</f>
        <v/>
      </c>
      <c r="I1799" s="5">
        <f>IF(OR($A1799="", $B1799="", $E1799="", $F1799="", $G1799="", $H1799=""), "",IF(AND($E1799=$G1799, $F1799=$H1799), 3, IF(SIGN($E1799-$F1799)=SIGN($G1799-$H1799), 1, 0))))</f>
        <v/>
      </c>
    </row>
    <row r="1800">
      <c r="A1800" s="5" t="inlineStr"/>
      <c r="B1800" s="5" t="inlineStr"/>
      <c r="C1800" s="5">
        <f>IF($B1800="","",VLOOKUP($B1800,Jogos!$A$2:$K$105,8,FALSE))</f>
        <v/>
      </c>
      <c r="D1800" s="5">
        <f>IF($B1800="","",VLOOKUP($B1800,Jogos!$A$2:$K$105,10,FALSE))</f>
        <v/>
      </c>
      <c r="E1800" s="5" t="inlineStr"/>
      <c r="F1800" s="5" t="inlineStr"/>
      <c r="G1800" s="8">
        <f>IF($B1800="","",VLOOKUP($B1800,Jogos!$A$2:$K$105,9,FALSE))</f>
        <v/>
      </c>
      <c r="H1800" s="8">
        <f>IF($B1800="","",VLOOKUP($B1800,Jogos!$A$2:$K$105,11,FALSE))</f>
        <v/>
      </c>
      <c r="I1800" s="5">
        <f>IF(OR($A1800="", $B1800="", $E1800="", $F1800="", $G1800="", $H1800=""), "",IF(AND($E1800=$G1800, $F1800=$H1800), 3, IF(SIGN($E1800-$F1800)=SIGN($G1800-$H1800), 1, 0))))</f>
        <v/>
      </c>
    </row>
    <row r="1801">
      <c r="A1801" s="5" t="inlineStr"/>
      <c r="B1801" s="5" t="inlineStr"/>
      <c r="C1801" s="5">
        <f>IF($B1801="","",VLOOKUP($B1801,Jogos!$A$2:$K$105,8,FALSE))</f>
        <v/>
      </c>
      <c r="D1801" s="5">
        <f>IF($B1801="","",VLOOKUP($B1801,Jogos!$A$2:$K$105,10,FALSE))</f>
        <v/>
      </c>
      <c r="E1801" s="5" t="inlineStr"/>
      <c r="F1801" s="5" t="inlineStr"/>
      <c r="G1801" s="8">
        <f>IF($B1801="","",VLOOKUP($B1801,Jogos!$A$2:$K$105,9,FALSE))</f>
        <v/>
      </c>
      <c r="H1801" s="8">
        <f>IF($B1801="","",VLOOKUP($B1801,Jogos!$A$2:$K$105,11,FALSE))</f>
        <v/>
      </c>
      <c r="I1801" s="5">
        <f>IF(OR($A1801="", $B1801="", $E1801="", $F1801="", $G1801="", $H1801=""), "",IF(AND($E1801=$G1801, $F1801=$H1801), 3, IF(SIGN($E1801-$F1801)=SIGN($G1801-$H1801), 1, 0))))</f>
        <v/>
      </c>
    </row>
    <row r="1802">
      <c r="A1802" s="5" t="inlineStr"/>
      <c r="B1802" s="5" t="inlineStr"/>
      <c r="C1802" s="5">
        <f>IF($B1802="","",VLOOKUP($B1802,Jogos!$A$2:$K$105,8,FALSE))</f>
        <v/>
      </c>
      <c r="D1802" s="5">
        <f>IF($B1802="","",VLOOKUP($B1802,Jogos!$A$2:$K$105,10,FALSE))</f>
        <v/>
      </c>
      <c r="E1802" s="5" t="inlineStr"/>
      <c r="F1802" s="5" t="inlineStr"/>
      <c r="G1802" s="8">
        <f>IF($B1802="","",VLOOKUP($B1802,Jogos!$A$2:$K$105,9,FALSE))</f>
        <v/>
      </c>
      <c r="H1802" s="8">
        <f>IF($B1802="","",VLOOKUP($B1802,Jogos!$A$2:$K$105,11,FALSE))</f>
        <v/>
      </c>
      <c r="I1802" s="5">
        <f>IF(OR($A1802="", $B1802="", $E1802="", $F1802="", $G1802="", $H1802=""), "",IF(AND($E1802=$G1802, $F1802=$H1802), 3, IF(SIGN($E1802-$F1802)=SIGN($G1802-$H1802), 1, 0))))</f>
        <v/>
      </c>
    </row>
    <row r="1803">
      <c r="A1803" s="5" t="inlineStr"/>
      <c r="B1803" s="5" t="inlineStr"/>
      <c r="C1803" s="5">
        <f>IF($B1803="","",VLOOKUP($B1803,Jogos!$A$2:$K$105,8,FALSE))</f>
        <v/>
      </c>
      <c r="D1803" s="5">
        <f>IF($B1803="","",VLOOKUP($B1803,Jogos!$A$2:$K$105,10,FALSE))</f>
        <v/>
      </c>
      <c r="E1803" s="5" t="inlineStr"/>
      <c r="F1803" s="5" t="inlineStr"/>
      <c r="G1803" s="8">
        <f>IF($B1803="","",VLOOKUP($B1803,Jogos!$A$2:$K$105,9,FALSE))</f>
        <v/>
      </c>
      <c r="H1803" s="8">
        <f>IF($B1803="","",VLOOKUP($B1803,Jogos!$A$2:$K$105,11,FALSE))</f>
        <v/>
      </c>
      <c r="I1803" s="5">
        <f>IF(OR($A1803="", $B1803="", $E1803="", $F1803="", $G1803="", $H1803=""), "",IF(AND($E1803=$G1803, $F1803=$H1803), 3, IF(SIGN($E1803-$F1803)=SIGN($G1803-$H1803), 1, 0))))</f>
        <v/>
      </c>
    </row>
    <row r="1804">
      <c r="A1804" s="5" t="inlineStr"/>
      <c r="B1804" s="5" t="inlineStr"/>
      <c r="C1804" s="5">
        <f>IF($B1804="","",VLOOKUP($B1804,Jogos!$A$2:$K$105,8,FALSE))</f>
        <v/>
      </c>
      <c r="D1804" s="5">
        <f>IF($B1804="","",VLOOKUP($B1804,Jogos!$A$2:$K$105,10,FALSE))</f>
        <v/>
      </c>
      <c r="E1804" s="5" t="inlineStr"/>
      <c r="F1804" s="5" t="inlineStr"/>
      <c r="G1804" s="8">
        <f>IF($B1804="","",VLOOKUP($B1804,Jogos!$A$2:$K$105,9,FALSE))</f>
        <v/>
      </c>
      <c r="H1804" s="8">
        <f>IF($B1804="","",VLOOKUP($B1804,Jogos!$A$2:$K$105,11,FALSE))</f>
        <v/>
      </c>
      <c r="I1804" s="5">
        <f>IF(OR($A1804="", $B1804="", $E1804="", $F1804="", $G1804="", $H1804=""), "",IF(AND($E1804=$G1804, $F1804=$H1804), 3, IF(SIGN($E1804-$F1804)=SIGN($G1804-$H1804), 1, 0))))</f>
        <v/>
      </c>
    </row>
    <row r="1805">
      <c r="A1805" s="5" t="inlineStr"/>
      <c r="B1805" s="5" t="inlineStr"/>
      <c r="C1805" s="5">
        <f>IF($B1805="","",VLOOKUP($B1805,Jogos!$A$2:$K$105,8,FALSE))</f>
        <v/>
      </c>
      <c r="D1805" s="5">
        <f>IF($B1805="","",VLOOKUP($B1805,Jogos!$A$2:$K$105,10,FALSE))</f>
        <v/>
      </c>
      <c r="E1805" s="5" t="inlineStr"/>
      <c r="F1805" s="5" t="inlineStr"/>
      <c r="G1805" s="8">
        <f>IF($B1805="","",VLOOKUP($B1805,Jogos!$A$2:$K$105,9,FALSE))</f>
        <v/>
      </c>
      <c r="H1805" s="8">
        <f>IF($B1805="","",VLOOKUP($B1805,Jogos!$A$2:$K$105,11,FALSE))</f>
        <v/>
      </c>
      <c r="I1805" s="5">
        <f>IF(OR($A1805="", $B1805="", $E1805="", $F1805="", $G1805="", $H1805=""), "",IF(AND($E1805=$G1805, $F1805=$H1805), 3, IF(SIGN($E1805-$F1805)=SIGN($G1805-$H1805), 1, 0))))</f>
        <v/>
      </c>
    </row>
    <row r="1806">
      <c r="A1806" s="5" t="inlineStr"/>
      <c r="B1806" s="5" t="inlineStr"/>
      <c r="C1806" s="5">
        <f>IF($B1806="","",VLOOKUP($B1806,Jogos!$A$2:$K$105,8,FALSE))</f>
        <v/>
      </c>
      <c r="D1806" s="5">
        <f>IF($B1806="","",VLOOKUP($B1806,Jogos!$A$2:$K$105,10,FALSE))</f>
        <v/>
      </c>
      <c r="E1806" s="5" t="inlineStr"/>
      <c r="F1806" s="5" t="inlineStr"/>
      <c r="G1806" s="8">
        <f>IF($B1806="","",VLOOKUP($B1806,Jogos!$A$2:$K$105,9,FALSE))</f>
        <v/>
      </c>
      <c r="H1806" s="8">
        <f>IF($B1806="","",VLOOKUP($B1806,Jogos!$A$2:$K$105,11,FALSE))</f>
        <v/>
      </c>
      <c r="I1806" s="5">
        <f>IF(OR($A1806="", $B1806="", $E1806="", $F1806="", $G1806="", $H1806=""), "",IF(AND($E1806=$G1806, $F1806=$H1806), 3, IF(SIGN($E1806-$F1806)=SIGN($G1806-$H1806), 1, 0))))</f>
        <v/>
      </c>
    </row>
    <row r="1807">
      <c r="A1807" s="5" t="inlineStr"/>
      <c r="B1807" s="5" t="inlineStr"/>
      <c r="C1807" s="5">
        <f>IF($B1807="","",VLOOKUP($B1807,Jogos!$A$2:$K$105,8,FALSE))</f>
        <v/>
      </c>
      <c r="D1807" s="5">
        <f>IF($B1807="","",VLOOKUP($B1807,Jogos!$A$2:$K$105,10,FALSE))</f>
        <v/>
      </c>
      <c r="E1807" s="5" t="inlineStr"/>
      <c r="F1807" s="5" t="inlineStr"/>
      <c r="G1807" s="8">
        <f>IF($B1807="","",VLOOKUP($B1807,Jogos!$A$2:$K$105,9,FALSE))</f>
        <v/>
      </c>
      <c r="H1807" s="8">
        <f>IF($B1807="","",VLOOKUP($B1807,Jogos!$A$2:$K$105,11,FALSE))</f>
        <v/>
      </c>
      <c r="I1807" s="5">
        <f>IF(OR($A1807="", $B1807="", $E1807="", $F1807="", $G1807="", $H1807=""), "",IF(AND($E1807=$G1807, $F1807=$H1807), 3, IF(SIGN($E1807-$F1807)=SIGN($G1807-$H1807), 1, 0))))</f>
        <v/>
      </c>
    </row>
    <row r="1808">
      <c r="A1808" s="5" t="inlineStr"/>
      <c r="B1808" s="5" t="inlineStr"/>
      <c r="C1808" s="5">
        <f>IF($B1808="","",VLOOKUP($B1808,Jogos!$A$2:$K$105,8,FALSE))</f>
        <v/>
      </c>
      <c r="D1808" s="5">
        <f>IF($B1808="","",VLOOKUP($B1808,Jogos!$A$2:$K$105,10,FALSE))</f>
        <v/>
      </c>
      <c r="E1808" s="5" t="inlineStr"/>
      <c r="F1808" s="5" t="inlineStr"/>
      <c r="G1808" s="8">
        <f>IF($B1808="","",VLOOKUP($B1808,Jogos!$A$2:$K$105,9,FALSE))</f>
        <v/>
      </c>
      <c r="H1808" s="8">
        <f>IF($B1808="","",VLOOKUP($B1808,Jogos!$A$2:$K$105,11,FALSE))</f>
        <v/>
      </c>
      <c r="I1808" s="5">
        <f>IF(OR($A1808="", $B1808="", $E1808="", $F1808="", $G1808="", $H1808=""), "",IF(AND($E1808=$G1808, $F1808=$H1808), 3, IF(SIGN($E1808-$F1808)=SIGN($G1808-$H1808), 1, 0))))</f>
        <v/>
      </c>
    </row>
    <row r="1809">
      <c r="A1809" s="5" t="inlineStr"/>
      <c r="B1809" s="5" t="inlineStr"/>
      <c r="C1809" s="5">
        <f>IF($B1809="","",VLOOKUP($B1809,Jogos!$A$2:$K$105,8,FALSE))</f>
        <v/>
      </c>
      <c r="D1809" s="5">
        <f>IF($B1809="","",VLOOKUP($B1809,Jogos!$A$2:$K$105,10,FALSE))</f>
        <v/>
      </c>
      <c r="E1809" s="5" t="inlineStr"/>
      <c r="F1809" s="5" t="inlineStr"/>
      <c r="G1809" s="8">
        <f>IF($B1809="","",VLOOKUP($B1809,Jogos!$A$2:$K$105,9,FALSE))</f>
        <v/>
      </c>
      <c r="H1809" s="8">
        <f>IF($B1809="","",VLOOKUP($B1809,Jogos!$A$2:$K$105,11,FALSE))</f>
        <v/>
      </c>
      <c r="I1809" s="5">
        <f>IF(OR($A1809="", $B1809="", $E1809="", $F1809="", $G1809="", $H1809=""), "",IF(AND($E1809=$G1809, $F1809=$H1809), 3, IF(SIGN($E1809-$F1809)=SIGN($G1809-$H1809), 1, 0))))</f>
        <v/>
      </c>
    </row>
    <row r="1810">
      <c r="A1810" s="5" t="inlineStr"/>
      <c r="B1810" s="5" t="inlineStr"/>
      <c r="C1810" s="5">
        <f>IF($B1810="","",VLOOKUP($B1810,Jogos!$A$2:$K$105,8,FALSE))</f>
        <v/>
      </c>
      <c r="D1810" s="5">
        <f>IF($B1810="","",VLOOKUP($B1810,Jogos!$A$2:$K$105,10,FALSE))</f>
        <v/>
      </c>
      <c r="E1810" s="5" t="inlineStr"/>
      <c r="F1810" s="5" t="inlineStr"/>
      <c r="G1810" s="8">
        <f>IF($B1810="","",VLOOKUP($B1810,Jogos!$A$2:$K$105,9,FALSE))</f>
        <v/>
      </c>
      <c r="H1810" s="8">
        <f>IF($B1810="","",VLOOKUP($B1810,Jogos!$A$2:$K$105,11,FALSE))</f>
        <v/>
      </c>
      <c r="I1810" s="5">
        <f>IF(OR($A1810="", $B1810="", $E1810="", $F1810="", $G1810="", $H1810=""), "",IF(AND($E1810=$G1810, $F1810=$H1810), 3, IF(SIGN($E1810-$F1810)=SIGN($G1810-$H1810), 1, 0))))</f>
        <v/>
      </c>
    </row>
    <row r="1811">
      <c r="A1811" s="5" t="inlineStr"/>
      <c r="B1811" s="5" t="inlineStr"/>
      <c r="C1811" s="5">
        <f>IF($B1811="","",VLOOKUP($B1811,Jogos!$A$2:$K$105,8,FALSE))</f>
        <v/>
      </c>
      <c r="D1811" s="5">
        <f>IF($B1811="","",VLOOKUP($B1811,Jogos!$A$2:$K$105,10,FALSE))</f>
        <v/>
      </c>
      <c r="E1811" s="5" t="inlineStr"/>
      <c r="F1811" s="5" t="inlineStr"/>
      <c r="G1811" s="8">
        <f>IF($B1811="","",VLOOKUP($B1811,Jogos!$A$2:$K$105,9,FALSE))</f>
        <v/>
      </c>
      <c r="H1811" s="8">
        <f>IF($B1811="","",VLOOKUP($B1811,Jogos!$A$2:$K$105,11,FALSE))</f>
        <v/>
      </c>
      <c r="I1811" s="5">
        <f>IF(OR($A1811="", $B1811="", $E1811="", $F1811="", $G1811="", $H1811=""), "",IF(AND($E1811=$G1811, $F1811=$H1811), 3, IF(SIGN($E1811-$F1811)=SIGN($G1811-$H1811), 1, 0))))</f>
        <v/>
      </c>
    </row>
    <row r="1812">
      <c r="A1812" s="5" t="inlineStr"/>
      <c r="B1812" s="5" t="inlineStr"/>
      <c r="C1812" s="5">
        <f>IF($B1812="","",VLOOKUP($B1812,Jogos!$A$2:$K$105,8,FALSE))</f>
        <v/>
      </c>
      <c r="D1812" s="5">
        <f>IF($B1812="","",VLOOKUP($B1812,Jogos!$A$2:$K$105,10,FALSE))</f>
        <v/>
      </c>
      <c r="E1812" s="5" t="inlineStr"/>
      <c r="F1812" s="5" t="inlineStr"/>
      <c r="G1812" s="8">
        <f>IF($B1812="","",VLOOKUP($B1812,Jogos!$A$2:$K$105,9,FALSE))</f>
        <v/>
      </c>
      <c r="H1812" s="8">
        <f>IF($B1812="","",VLOOKUP($B1812,Jogos!$A$2:$K$105,11,FALSE))</f>
        <v/>
      </c>
      <c r="I1812" s="5">
        <f>IF(OR($A1812="", $B1812="", $E1812="", $F1812="", $G1812="", $H1812=""), "",IF(AND($E1812=$G1812, $F1812=$H1812), 3, IF(SIGN($E1812-$F1812)=SIGN($G1812-$H1812), 1, 0))))</f>
        <v/>
      </c>
    </row>
    <row r="1813">
      <c r="A1813" s="5" t="inlineStr"/>
      <c r="B1813" s="5" t="inlineStr"/>
      <c r="C1813" s="5">
        <f>IF($B1813="","",VLOOKUP($B1813,Jogos!$A$2:$K$105,8,FALSE))</f>
        <v/>
      </c>
      <c r="D1813" s="5">
        <f>IF($B1813="","",VLOOKUP($B1813,Jogos!$A$2:$K$105,10,FALSE))</f>
        <v/>
      </c>
      <c r="E1813" s="5" t="inlineStr"/>
      <c r="F1813" s="5" t="inlineStr"/>
      <c r="G1813" s="8">
        <f>IF($B1813="","",VLOOKUP($B1813,Jogos!$A$2:$K$105,9,FALSE))</f>
        <v/>
      </c>
      <c r="H1813" s="8">
        <f>IF($B1813="","",VLOOKUP($B1813,Jogos!$A$2:$K$105,11,FALSE))</f>
        <v/>
      </c>
      <c r="I1813" s="5">
        <f>IF(OR($A1813="", $B1813="", $E1813="", $F1813="", $G1813="", $H1813=""), "",IF(AND($E1813=$G1813, $F1813=$H1813), 3, IF(SIGN($E1813-$F1813)=SIGN($G1813-$H1813), 1, 0))))</f>
        <v/>
      </c>
    </row>
    <row r="1814">
      <c r="A1814" s="5" t="inlineStr"/>
      <c r="B1814" s="5" t="inlineStr"/>
      <c r="C1814" s="5">
        <f>IF($B1814="","",VLOOKUP($B1814,Jogos!$A$2:$K$105,8,FALSE))</f>
        <v/>
      </c>
      <c r="D1814" s="5">
        <f>IF($B1814="","",VLOOKUP($B1814,Jogos!$A$2:$K$105,10,FALSE))</f>
        <v/>
      </c>
      <c r="E1814" s="5" t="inlineStr"/>
      <c r="F1814" s="5" t="inlineStr"/>
      <c r="G1814" s="8">
        <f>IF($B1814="","",VLOOKUP($B1814,Jogos!$A$2:$K$105,9,FALSE))</f>
        <v/>
      </c>
      <c r="H1814" s="8">
        <f>IF($B1814="","",VLOOKUP($B1814,Jogos!$A$2:$K$105,11,FALSE))</f>
        <v/>
      </c>
      <c r="I1814" s="5">
        <f>IF(OR($A1814="", $B1814="", $E1814="", $F1814="", $G1814="", $H1814=""), "",IF(AND($E1814=$G1814, $F1814=$H1814), 3, IF(SIGN($E1814-$F1814)=SIGN($G1814-$H1814), 1, 0))))</f>
        <v/>
      </c>
    </row>
    <row r="1815">
      <c r="A1815" s="5" t="inlineStr"/>
      <c r="B1815" s="5" t="inlineStr"/>
      <c r="C1815" s="5">
        <f>IF($B1815="","",VLOOKUP($B1815,Jogos!$A$2:$K$105,8,FALSE))</f>
        <v/>
      </c>
      <c r="D1815" s="5">
        <f>IF($B1815="","",VLOOKUP($B1815,Jogos!$A$2:$K$105,10,FALSE))</f>
        <v/>
      </c>
      <c r="E1815" s="5" t="inlineStr"/>
      <c r="F1815" s="5" t="inlineStr"/>
      <c r="G1815" s="8">
        <f>IF($B1815="","",VLOOKUP($B1815,Jogos!$A$2:$K$105,9,FALSE))</f>
        <v/>
      </c>
      <c r="H1815" s="8">
        <f>IF($B1815="","",VLOOKUP($B1815,Jogos!$A$2:$K$105,11,FALSE))</f>
        <v/>
      </c>
      <c r="I1815" s="5">
        <f>IF(OR($A1815="", $B1815="", $E1815="", $F1815="", $G1815="", $H1815=""), "",IF(AND($E1815=$G1815, $F1815=$H1815), 3, IF(SIGN($E1815-$F1815)=SIGN($G1815-$H1815), 1, 0))))</f>
        <v/>
      </c>
    </row>
    <row r="1816">
      <c r="A1816" s="5" t="inlineStr"/>
      <c r="B1816" s="5" t="inlineStr"/>
      <c r="C1816" s="5">
        <f>IF($B1816="","",VLOOKUP($B1816,Jogos!$A$2:$K$105,8,FALSE))</f>
        <v/>
      </c>
      <c r="D1816" s="5">
        <f>IF($B1816="","",VLOOKUP($B1816,Jogos!$A$2:$K$105,10,FALSE))</f>
        <v/>
      </c>
      <c r="E1816" s="5" t="inlineStr"/>
      <c r="F1816" s="5" t="inlineStr"/>
      <c r="G1816" s="8">
        <f>IF($B1816="","",VLOOKUP($B1816,Jogos!$A$2:$K$105,9,FALSE))</f>
        <v/>
      </c>
      <c r="H1816" s="8">
        <f>IF($B1816="","",VLOOKUP($B1816,Jogos!$A$2:$K$105,11,FALSE))</f>
        <v/>
      </c>
      <c r="I1816" s="5">
        <f>IF(OR($A1816="", $B1816="", $E1816="", $F1816="", $G1816="", $H1816=""), "",IF(AND($E1816=$G1816, $F1816=$H1816), 3, IF(SIGN($E1816-$F1816)=SIGN($G1816-$H1816), 1, 0))))</f>
        <v/>
      </c>
    </row>
    <row r="1817">
      <c r="A1817" s="5" t="inlineStr"/>
      <c r="B1817" s="5" t="inlineStr"/>
      <c r="C1817" s="5">
        <f>IF($B1817="","",VLOOKUP($B1817,Jogos!$A$2:$K$105,8,FALSE))</f>
        <v/>
      </c>
      <c r="D1817" s="5">
        <f>IF($B1817="","",VLOOKUP($B1817,Jogos!$A$2:$K$105,10,FALSE))</f>
        <v/>
      </c>
      <c r="E1817" s="5" t="inlineStr"/>
      <c r="F1817" s="5" t="inlineStr"/>
      <c r="G1817" s="8">
        <f>IF($B1817="","",VLOOKUP($B1817,Jogos!$A$2:$K$105,9,FALSE))</f>
        <v/>
      </c>
      <c r="H1817" s="8">
        <f>IF($B1817="","",VLOOKUP($B1817,Jogos!$A$2:$K$105,11,FALSE))</f>
        <v/>
      </c>
      <c r="I1817" s="5">
        <f>IF(OR($A1817="", $B1817="", $E1817="", $F1817="", $G1817="", $H1817=""), "",IF(AND($E1817=$G1817, $F1817=$H1817), 3, IF(SIGN($E1817-$F1817)=SIGN($G1817-$H1817), 1, 0))))</f>
        <v/>
      </c>
    </row>
    <row r="1818">
      <c r="A1818" s="5" t="inlineStr"/>
      <c r="B1818" s="5" t="inlineStr"/>
      <c r="C1818" s="5">
        <f>IF($B1818="","",VLOOKUP($B1818,Jogos!$A$2:$K$105,8,FALSE))</f>
        <v/>
      </c>
      <c r="D1818" s="5">
        <f>IF($B1818="","",VLOOKUP($B1818,Jogos!$A$2:$K$105,10,FALSE))</f>
        <v/>
      </c>
      <c r="E1818" s="5" t="inlineStr"/>
      <c r="F1818" s="5" t="inlineStr"/>
      <c r="G1818" s="8">
        <f>IF($B1818="","",VLOOKUP($B1818,Jogos!$A$2:$K$105,9,FALSE))</f>
        <v/>
      </c>
      <c r="H1818" s="8">
        <f>IF($B1818="","",VLOOKUP($B1818,Jogos!$A$2:$K$105,11,FALSE))</f>
        <v/>
      </c>
      <c r="I1818" s="5">
        <f>IF(OR($A1818="", $B1818="", $E1818="", $F1818="", $G1818="", $H1818=""), "",IF(AND($E1818=$G1818, $F1818=$H1818), 3, IF(SIGN($E1818-$F1818)=SIGN($G1818-$H1818), 1, 0))))</f>
        <v/>
      </c>
    </row>
    <row r="1819">
      <c r="A1819" s="5" t="inlineStr"/>
      <c r="B1819" s="5" t="inlineStr"/>
      <c r="C1819" s="5">
        <f>IF($B1819="","",VLOOKUP($B1819,Jogos!$A$2:$K$105,8,FALSE))</f>
        <v/>
      </c>
      <c r="D1819" s="5">
        <f>IF($B1819="","",VLOOKUP($B1819,Jogos!$A$2:$K$105,10,FALSE))</f>
        <v/>
      </c>
      <c r="E1819" s="5" t="inlineStr"/>
      <c r="F1819" s="5" t="inlineStr"/>
      <c r="G1819" s="8">
        <f>IF($B1819="","",VLOOKUP($B1819,Jogos!$A$2:$K$105,9,FALSE))</f>
        <v/>
      </c>
      <c r="H1819" s="8">
        <f>IF($B1819="","",VLOOKUP($B1819,Jogos!$A$2:$K$105,11,FALSE))</f>
        <v/>
      </c>
      <c r="I1819" s="5">
        <f>IF(OR($A1819="", $B1819="", $E1819="", $F1819="", $G1819="", $H1819=""), "",IF(AND($E1819=$G1819, $F1819=$H1819), 3, IF(SIGN($E1819-$F1819)=SIGN($G1819-$H1819), 1, 0))))</f>
        <v/>
      </c>
    </row>
    <row r="1820">
      <c r="A1820" s="5" t="inlineStr"/>
      <c r="B1820" s="5" t="inlineStr"/>
      <c r="C1820" s="5">
        <f>IF($B1820="","",VLOOKUP($B1820,Jogos!$A$2:$K$105,8,FALSE))</f>
        <v/>
      </c>
      <c r="D1820" s="5">
        <f>IF($B1820="","",VLOOKUP($B1820,Jogos!$A$2:$K$105,10,FALSE))</f>
        <v/>
      </c>
      <c r="E1820" s="5" t="inlineStr"/>
      <c r="F1820" s="5" t="inlineStr"/>
      <c r="G1820" s="8">
        <f>IF($B1820="","",VLOOKUP($B1820,Jogos!$A$2:$K$105,9,FALSE))</f>
        <v/>
      </c>
      <c r="H1820" s="8">
        <f>IF($B1820="","",VLOOKUP($B1820,Jogos!$A$2:$K$105,11,FALSE))</f>
        <v/>
      </c>
      <c r="I1820" s="5">
        <f>IF(OR($A1820="", $B1820="", $E1820="", $F1820="", $G1820="", $H1820=""), "",IF(AND($E1820=$G1820, $F1820=$H1820), 3, IF(SIGN($E1820-$F1820)=SIGN($G1820-$H1820), 1, 0))))</f>
        <v/>
      </c>
    </row>
    <row r="1821">
      <c r="A1821" s="5" t="inlineStr"/>
      <c r="B1821" s="5" t="inlineStr"/>
      <c r="C1821" s="5">
        <f>IF($B1821="","",VLOOKUP($B1821,Jogos!$A$2:$K$105,8,FALSE))</f>
        <v/>
      </c>
      <c r="D1821" s="5">
        <f>IF($B1821="","",VLOOKUP($B1821,Jogos!$A$2:$K$105,10,FALSE))</f>
        <v/>
      </c>
      <c r="E1821" s="5" t="inlineStr"/>
      <c r="F1821" s="5" t="inlineStr"/>
      <c r="G1821" s="8">
        <f>IF($B1821="","",VLOOKUP($B1821,Jogos!$A$2:$K$105,9,FALSE))</f>
        <v/>
      </c>
      <c r="H1821" s="8">
        <f>IF($B1821="","",VLOOKUP($B1821,Jogos!$A$2:$K$105,11,FALSE))</f>
        <v/>
      </c>
      <c r="I1821" s="5">
        <f>IF(OR($A1821="", $B1821="", $E1821="", $F1821="", $G1821="", $H1821=""), "",IF(AND($E1821=$G1821, $F1821=$H1821), 3, IF(SIGN($E1821-$F1821)=SIGN($G1821-$H1821), 1, 0))))</f>
        <v/>
      </c>
    </row>
    <row r="1822">
      <c r="A1822" s="5" t="inlineStr"/>
      <c r="B1822" s="5" t="inlineStr"/>
      <c r="C1822" s="5">
        <f>IF($B1822="","",VLOOKUP($B1822,Jogos!$A$2:$K$105,8,FALSE))</f>
        <v/>
      </c>
      <c r="D1822" s="5">
        <f>IF($B1822="","",VLOOKUP($B1822,Jogos!$A$2:$K$105,10,FALSE))</f>
        <v/>
      </c>
      <c r="E1822" s="5" t="inlineStr"/>
      <c r="F1822" s="5" t="inlineStr"/>
      <c r="G1822" s="8">
        <f>IF($B1822="","",VLOOKUP($B1822,Jogos!$A$2:$K$105,9,FALSE))</f>
        <v/>
      </c>
      <c r="H1822" s="8">
        <f>IF($B1822="","",VLOOKUP($B1822,Jogos!$A$2:$K$105,11,FALSE))</f>
        <v/>
      </c>
      <c r="I1822" s="5">
        <f>IF(OR($A1822="", $B1822="", $E1822="", $F1822="", $G1822="", $H1822=""), "",IF(AND($E1822=$G1822, $F1822=$H1822), 3, IF(SIGN($E1822-$F1822)=SIGN($G1822-$H1822), 1, 0))))</f>
        <v/>
      </c>
    </row>
    <row r="1823">
      <c r="A1823" s="5" t="inlineStr"/>
      <c r="B1823" s="5" t="inlineStr"/>
      <c r="C1823" s="5">
        <f>IF($B1823="","",VLOOKUP($B1823,Jogos!$A$2:$K$105,8,FALSE))</f>
        <v/>
      </c>
      <c r="D1823" s="5">
        <f>IF($B1823="","",VLOOKUP($B1823,Jogos!$A$2:$K$105,10,FALSE))</f>
        <v/>
      </c>
      <c r="E1823" s="5" t="inlineStr"/>
      <c r="F1823" s="5" t="inlineStr"/>
      <c r="G1823" s="8">
        <f>IF($B1823="","",VLOOKUP($B1823,Jogos!$A$2:$K$105,9,FALSE))</f>
        <v/>
      </c>
      <c r="H1823" s="8">
        <f>IF($B1823="","",VLOOKUP($B1823,Jogos!$A$2:$K$105,11,FALSE))</f>
        <v/>
      </c>
      <c r="I1823" s="5">
        <f>IF(OR($A1823="", $B1823="", $E1823="", $F1823="", $G1823="", $H1823=""), "",IF(AND($E1823=$G1823, $F1823=$H1823), 3, IF(SIGN($E1823-$F1823)=SIGN($G1823-$H1823), 1, 0))))</f>
        <v/>
      </c>
    </row>
    <row r="1824">
      <c r="A1824" s="5" t="inlineStr"/>
      <c r="B1824" s="5" t="inlineStr"/>
      <c r="C1824" s="5">
        <f>IF($B1824="","",VLOOKUP($B1824,Jogos!$A$2:$K$105,8,FALSE))</f>
        <v/>
      </c>
      <c r="D1824" s="5">
        <f>IF($B1824="","",VLOOKUP($B1824,Jogos!$A$2:$K$105,10,FALSE))</f>
        <v/>
      </c>
      <c r="E1824" s="5" t="inlineStr"/>
      <c r="F1824" s="5" t="inlineStr"/>
      <c r="G1824" s="8">
        <f>IF($B1824="","",VLOOKUP($B1824,Jogos!$A$2:$K$105,9,FALSE))</f>
        <v/>
      </c>
      <c r="H1824" s="8">
        <f>IF($B1824="","",VLOOKUP($B1824,Jogos!$A$2:$K$105,11,FALSE))</f>
        <v/>
      </c>
      <c r="I1824" s="5">
        <f>IF(OR($A1824="", $B1824="", $E1824="", $F1824="", $G1824="", $H1824=""), "",IF(AND($E1824=$G1824, $F1824=$H1824), 3, IF(SIGN($E1824-$F1824)=SIGN($G1824-$H1824), 1, 0))))</f>
        <v/>
      </c>
    </row>
    <row r="1825">
      <c r="A1825" s="5" t="inlineStr"/>
      <c r="B1825" s="5" t="inlineStr"/>
      <c r="C1825" s="5">
        <f>IF($B1825="","",VLOOKUP($B1825,Jogos!$A$2:$K$105,8,FALSE))</f>
        <v/>
      </c>
      <c r="D1825" s="5">
        <f>IF($B1825="","",VLOOKUP($B1825,Jogos!$A$2:$K$105,10,FALSE))</f>
        <v/>
      </c>
      <c r="E1825" s="5" t="inlineStr"/>
      <c r="F1825" s="5" t="inlineStr"/>
      <c r="G1825" s="8">
        <f>IF($B1825="","",VLOOKUP($B1825,Jogos!$A$2:$K$105,9,FALSE))</f>
        <v/>
      </c>
      <c r="H1825" s="8">
        <f>IF($B1825="","",VLOOKUP($B1825,Jogos!$A$2:$K$105,11,FALSE))</f>
        <v/>
      </c>
      <c r="I1825" s="5">
        <f>IF(OR($A1825="", $B1825="", $E1825="", $F1825="", $G1825="", $H1825=""), "",IF(AND($E1825=$G1825, $F1825=$H1825), 3, IF(SIGN($E1825-$F1825)=SIGN($G1825-$H1825), 1, 0))))</f>
        <v/>
      </c>
    </row>
    <row r="1826">
      <c r="A1826" s="5" t="inlineStr"/>
      <c r="B1826" s="5" t="inlineStr"/>
      <c r="C1826" s="5">
        <f>IF($B1826="","",VLOOKUP($B1826,Jogos!$A$2:$K$105,8,FALSE))</f>
        <v/>
      </c>
      <c r="D1826" s="5">
        <f>IF($B1826="","",VLOOKUP($B1826,Jogos!$A$2:$K$105,10,FALSE))</f>
        <v/>
      </c>
      <c r="E1826" s="5" t="inlineStr"/>
      <c r="F1826" s="5" t="inlineStr"/>
      <c r="G1826" s="8">
        <f>IF($B1826="","",VLOOKUP($B1826,Jogos!$A$2:$K$105,9,FALSE))</f>
        <v/>
      </c>
      <c r="H1826" s="8">
        <f>IF($B1826="","",VLOOKUP($B1826,Jogos!$A$2:$K$105,11,FALSE))</f>
        <v/>
      </c>
      <c r="I1826" s="5">
        <f>IF(OR($A1826="", $B1826="", $E1826="", $F1826="", $G1826="", $H1826=""), "",IF(AND($E1826=$G1826, $F1826=$H1826), 3, IF(SIGN($E1826-$F1826)=SIGN($G1826-$H1826), 1, 0))))</f>
        <v/>
      </c>
    </row>
    <row r="1827">
      <c r="A1827" s="5" t="inlineStr"/>
      <c r="B1827" s="5" t="inlineStr"/>
      <c r="C1827" s="5">
        <f>IF($B1827="","",VLOOKUP($B1827,Jogos!$A$2:$K$105,8,FALSE))</f>
        <v/>
      </c>
      <c r="D1827" s="5">
        <f>IF($B1827="","",VLOOKUP($B1827,Jogos!$A$2:$K$105,10,FALSE))</f>
        <v/>
      </c>
      <c r="E1827" s="5" t="inlineStr"/>
      <c r="F1827" s="5" t="inlineStr"/>
      <c r="G1827" s="8">
        <f>IF($B1827="","",VLOOKUP($B1827,Jogos!$A$2:$K$105,9,FALSE))</f>
        <v/>
      </c>
      <c r="H1827" s="8">
        <f>IF($B1827="","",VLOOKUP($B1827,Jogos!$A$2:$K$105,11,FALSE))</f>
        <v/>
      </c>
      <c r="I1827" s="5">
        <f>IF(OR($A1827="", $B1827="", $E1827="", $F1827="", $G1827="", $H1827=""), "",IF(AND($E1827=$G1827, $F1827=$H1827), 3, IF(SIGN($E1827-$F1827)=SIGN($G1827-$H1827), 1, 0))))</f>
        <v/>
      </c>
    </row>
    <row r="1828">
      <c r="A1828" s="5" t="inlineStr"/>
      <c r="B1828" s="5" t="inlineStr"/>
      <c r="C1828" s="5">
        <f>IF($B1828="","",VLOOKUP($B1828,Jogos!$A$2:$K$105,8,FALSE))</f>
        <v/>
      </c>
      <c r="D1828" s="5">
        <f>IF($B1828="","",VLOOKUP($B1828,Jogos!$A$2:$K$105,10,FALSE))</f>
        <v/>
      </c>
      <c r="E1828" s="5" t="inlineStr"/>
      <c r="F1828" s="5" t="inlineStr"/>
      <c r="G1828" s="8">
        <f>IF($B1828="","",VLOOKUP($B1828,Jogos!$A$2:$K$105,9,FALSE))</f>
        <v/>
      </c>
      <c r="H1828" s="8">
        <f>IF($B1828="","",VLOOKUP($B1828,Jogos!$A$2:$K$105,11,FALSE))</f>
        <v/>
      </c>
      <c r="I1828" s="5">
        <f>IF(OR($A1828="", $B1828="", $E1828="", $F1828="", $G1828="", $H1828=""), "",IF(AND($E1828=$G1828, $F1828=$H1828), 3, IF(SIGN($E1828-$F1828)=SIGN($G1828-$H1828), 1, 0))))</f>
        <v/>
      </c>
    </row>
    <row r="1829">
      <c r="A1829" s="5" t="inlineStr"/>
      <c r="B1829" s="5" t="inlineStr"/>
      <c r="C1829" s="5">
        <f>IF($B1829="","",VLOOKUP($B1829,Jogos!$A$2:$K$105,8,FALSE))</f>
        <v/>
      </c>
      <c r="D1829" s="5">
        <f>IF($B1829="","",VLOOKUP($B1829,Jogos!$A$2:$K$105,10,FALSE))</f>
        <v/>
      </c>
      <c r="E1829" s="5" t="inlineStr"/>
      <c r="F1829" s="5" t="inlineStr"/>
      <c r="G1829" s="8">
        <f>IF($B1829="","",VLOOKUP($B1829,Jogos!$A$2:$K$105,9,FALSE))</f>
        <v/>
      </c>
      <c r="H1829" s="8">
        <f>IF($B1829="","",VLOOKUP($B1829,Jogos!$A$2:$K$105,11,FALSE))</f>
        <v/>
      </c>
      <c r="I1829" s="5">
        <f>IF(OR($A1829="", $B1829="", $E1829="", $F1829="", $G1829="", $H1829=""), "",IF(AND($E1829=$G1829, $F1829=$H1829), 3, IF(SIGN($E1829-$F1829)=SIGN($G1829-$H1829), 1, 0))))</f>
        <v/>
      </c>
    </row>
    <row r="1830">
      <c r="A1830" s="5" t="inlineStr"/>
      <c r="B1830" s="5" t="inlineStr"/>
      <c r="C1830" s="5">
        <f>IF($B1830="","",VLOOKUP($B1830,Jogos!$A$2:$K$105,8,FALSE))</f>
        <v/>
      </c>
      <c r="D1830" s="5">
        <f>IF($B1830="","",VLOOKUP($B1830,Jogos!$A$2:$K$105,10,FALSE))</f>
        <v/>
      </c>
      <c r="E1830" s="5" t="inlineStr"/>
      <c r="F1830" s="5" t="inlineStr"/>
      <c r="G1830" s="8">
        <f>IF($B1830="","",VLOOKUP($B1830,Jogos!$A$2:$K$105,9,FALSE))</f>
        <v/>
      </c>
      <c r="H1830" s="8">
        <f>IF($B1830="","",VLOOKUP($B1830,Jogos!$A$2:$K$105,11,FALSE))</f>
        <v/>
      </c>
      <c r="I1830" s="5">
        <f>IF(OR($A1830="", $B1830="", $E1830="", $F1830="", $G1830="", $H1830=""), "",IF(AND($E1830=$G1830, $F1830=$H1830), 3, IF(SIGN($E1830-$F1830)=SIGN($G1830-$H1830), 1, 0))))</f>
        <v/>
      </c>
    </row>
    <row r="1831">
      <c r="A1831" s="5" t="inlineStr"/>
      <c r="B1831" s="5" t="inlineStr"/>
      <c r="C1831" s="5">
        <f>IF($B1831="","",VLOOKUP($B1831,Jogos!$A$2:$K$105,8,FALSE))</f>
        <v/>
      </c>
      <c r="D1831" s="5">
        <f>IF($B1831="","",VLOOKUP($B1831,Jogos!$A$2:$K$105,10,FALSE))</f>
        <v/>
      </c>
      <c r="E1831" s="5" t="inlineStr"/>
      <c r="F1831" s="5" t="inlineStr"/>
      <c r="G1831" s="8">
        <f>IF($B1831="","",VLOOKUP($B1831,Jogos!$A$2:$K$105,9,FALSE))</f>
        <v/>
      </c>
      <c r="H1831" s="8">
        <f>IF($B1831="","",VLOOKUP($B1831,Jogos!$A$2:$K$105,11,FALSE))</f>
        <v/>
      </c>
      <c r="I1831" s="5">
        <f>IF(OR($A1831="", $B1831="", $E1831="", $F1831="", $G1831="", $H1831=""), "",IF(AND($E1831=$G1831, $F1831=$H1831), 3, IF(SIGN($E1831-$F1831)=SIGN($G1831-$H1831), 1, 0))))</f>
        <v/>
      </c>
    </row>
    <row r="1832">
      <c r="A1832" s="5" t="inlineStr"/>
      <c r="B1832" s="5" t="inlineStr"/>
      <c r="C1832" s="5">
        <f>IF($B1832="","",VLOOKUP($B1832,Jogos!$A$2:$K$105,8,FALSE))</f>
        <v/>
      </c>
      <c r="D1832" s="5">
        <f>IF($B1832="","",VLOOKUP($B1832,Jogos!$A$2:$K$105,10,FALSE))</f>
        <v/>
      </c>
      <c r="E1832" s="5" t="inlineStr"/>
      <c r="F1832" s="5" t="inlineStr"/>
      <c r="G1832" s="8">
        <f>IF($B1832="","",VLOOKUP($B1832,Jogos!$A$2:$K$105,9,FALSE))</f>
        <v/>
      </c>
      <c r="H1832" s="8">
        <f>IF($B1832="","",VLOOKUP($B1832,Jogos!$A$2:$K$105,11,FALSE))</f>
        <v/>
      </c>
      <c r="I1832" s="5">
        <f>IF(OR($A1832="", $B1832="", $E1832="", $F1832="", $G1832="", $H1832=""), "",IF(AND($E1832=$G1832, $F1832=$H1832), 3, IF(SIGN($E1832-$F1832)=SIGN($G1832-$H1832), 1, 0))))</f>
        <v/>
      </c>
    </row>
    <row r="1833">
      <c r="A1833" s="5" t="inlineStr"/>
      <c r="B1833" s="5" t="inlineStr"/>
      <c r="C1833" s="5">
        <f>IF($B1833="","",VLOOKUP($B1833,Jogos!$A$2:$K$105,8,FALSE))</f>
        <v/>
      </c>
      <c r="D1833" s="5">
        <f>IF($B1833="","",VLOOKUP($B1833,Jogos!$A$2:$K$105,10,FALSE))</f>
        <v/>
      </c>
      <c r="E1833" s="5" t="inlineStr"/>
      <c r="F1833" s="5" t="inlineStr"/>
      <c r="G1833" s="8">
        <f>IF($B1833="","",VLOOKUP($B1833,Jogos!$A$2:$K$105,9,FALSE))</f>
        <v/>
      </c>
      <c r="H1833" s="8">
        <f>IF($B1833="","",VLOOKUP($B1833,Jogos!$A$2:$K$105,11,FALSE))</f>
        <v/>
      </c>
      <c r="I1833" s="5">
        <f>IF(OR($A1833="", $B1833="", $E1833="", $F1833="", $G1833="", $H1833=""), "",IF(AND($E1833=$G1833, $F1833=$H1833), 3, IF(SIGN($E1833-$F1833)=SIGN($G1833-$H1833), 1, 0))))</f>
        <v/>
      </c>
    </row>
    <row r="1834">
      <c r="A1834" s="5" t="inlineStr"/>
      <c r="B1834" s="5" t="inlineStr"/>
      <c r="C1834" s="5">
        <f>IF($B1834="","",VLOOKUP($B1834,Jogos!$A$2:$K$105,8,FALSE))</f>
        <v/>
      </c>
      <c r="D1834" s="5">
        <f>IF($B1834="","",VLOOKUP($B1834,Jogos!$A$2:$K$105,10,FALSE))</f>
        <v/>
      </c>
      <c r="E1834" s="5" t="inlineStr"/>
      <c r="F1834" s="5" t="inlineStr"/>
      <c r="G1834" s="8">
        <f>IF($B1834="","",VLOOKUP($B1834,Jogos!$A$2:$K$105,9,FALSE))</f>
        <v/>
      </c>
      <c r="H1834" s="8">
        <f>IF($B1834="","",VLOOKUP($B1834,Jogos!$A$2:$K$105,11,FALSE))</f>
        <v/>
      </c>
      <c r="I1834" s="5">
        <f>IF(OR($A1834="", $B1834="", $E1834="", $F1834="", $G1834="", $H1834=""), "",IF(AND($E1834=$G1834, $F1834=$H1834), 3, IF(SIGN($E1834-$F1834)=SIGN($G1834-$H1834), 1, 0))))</f>
        <v/>
      </c>
    </row>
    <row r="1835">
      <c r="A1835" s="5" t="inlineStr"/>
      <c r="B1835" s="5" t="inlineStr"/>
      <c r="C1835" s="5">
        <f>IF($B1835="","",VLOOKUP($B1835,Jogos!$A$2:$K$105,8,FALSE))</f>
        <v/>
      </c>
      <c r="D1835" s="5">
        <f>IF($B1835="","",VLOOKUP($B1835,Jogos!$A$2:$K$105,10,FALSE))</f>
        <v/>
      </c>
      <c r="E1835" s="5" t="inlineStr"/>
      <c r="F1835" s="5" t="inlineStr"/>
      <c r="G1835" s="8">
        <f>IF($B1835="","",VLOOKUP($B1835,Jogos!$A$2:$K$105,9,FALSE))</f>
        <v/>
      </c>
      <c r="H1835" s="8">
        <f>IF($B1835="","",VLOOKUP($B1835,Jogos!$A$2:$K$105,11,FALSE))</f>
        <v/>
      </c>
      <c r="I1835" s="5">
        <f>IF(OR($A1835="", $B1835="", $E1835="", $F1835="", $G1835="", $H1835=""), "",IF(AND($E1835=$G1835, $F1835=$H1835), 3, IF(SIGN($E1835-$F1835)=SIGN($G1835-$H1835), 1, 0))))</f>
        <v/>
      </c>
    </row>
    <row r="1836">
      <c r="A1836" s="5" t="inlineStr"/>
      <c r="B1836" s="5" t="inlineStr"/>
      <c r="C1836" s="5">
        <f>IF($B1836="","",VLOOKUP($B1836,Jogos!$A$2:$K$105,8,FALSE))</f>
        <v/>
      </c>
      <c r="D1836" s="5">
        <f>IF($B1836="","",VLOOKUP($B1836,Jogos!$A$2:$K$105,10,FALSE))</f>
        <v/>
      </c>
      <c r="E1836" s="5" t="inlineStr"/>
      <c r="F1836" s="5" t="inlineStr"/>
      <c r="G1836" s="8">
        <f>IF($B1836="","",VLOOKUP($B1836,Jogos!$A$2:$K$105,9,FALSE))</f>
        <v/>
      </c>
      <c r="H1836" s="8">
        <f>IF($B1836="","",VLOOKUP($B1836,Jogos!$A$2:$K$105,11,FALSE))</f>
        <v/>
      </c>
      <c r="I1836" s="5">
        <f>IF(OR($A1836="", $B1836="", $E1836="", $F1836="", $G1836="", $H1836=""), "",IF(AND($E1836=$G1836, $F1836=$H1836), 3, IF(SIGN($E1836-$F1836)=SIGN($G1836-$H1836), 1, 0))))</f>
        <v/>
      </c>
    </row>
    <row r="1837">
      <c r="A1837" s="5" t="inlineStr"/>
      <c r="B1837" s="5" t="inlineStr"/>
      <c r="C1837" s="5">
        <f>IF($B1837="","",VLOOKUP($B1837,Jogos!$A$2:$K$105,8,FALSE))</f>
        <v/>
      </c>
      <c r="D1837" s="5">
        <f>IF($B1837="","",VLOOKUP($B1837,Jogos!$A$2:$K$105,10,FALSE))</f>
        <v/>
      </c>
      <c r="E1837" s="5" t="inlineStr"/>
      <c r="F1837" s="5" t="inlineStr"/>
      <c r="G1837" s="8">
        <f>IF($B1837="","",VLOOKUP($B1837,Jogos!$A$2:$K$105,9,FALSE))</f>
        <v/>
      </c>
      <c r="H1837" s="8">
        <f>IF($B1837="","",VLOOKUP($B1837,Jogos!$A$2:$K$105,11,FALSE))</f>
        <v/>
      </c>
      <c r="I1837" s="5">
        <f>IF(OR($A1837="", $B1837="", $E1837="", $F1837="", $G1837="", $H1837=""), "",IF(AND($E1837=$G1837, $F1837=$H1837), 3, IF(SIGN($E1837-$F1837)=SIGN($G1837-$H1837), 1, 0))))</f>
        <v/>
      </c>
    </row>
    <row r="1838">
      <c r="A1838" s="5" t="inlineStr"/>
      <c r="B1838" s="5" t="inlineStr"/>
      <c r="C1838" s="5">
        <f>IF($B1838="","",VLOOKUP($B1838,Jogos!$A$2:$K$105,8,FALSE))</f>
        <v/>
      </c>
      <c r="D1838" s="5">
        <f>IF($B1838="","",VLOOKUP($B1838,Jogos!$A$2:$K$105,10,FALSE))</f>
        <v/>
      </c>
      <c r="E1838" s="5" t="inlineStr"/>
      <c r="F1838" s="5" t="inlineStr"/>
      <c r="G1838" s="8">
        <f>IF($B1838="","",VLOOKUP($B1838,Jogos!$A$2:$K$105,9,FALSE))</f>
        <v/>
      </c>
      <c r="H1838" s="8">
        <f>IF($B1838="","",VLOOKUP($B1838,Jogos!$A$2:$K$105,11,FALSE))</f>
        <v/>
      </c>
      <c r="I1838" s="5">
        <f>IF(OR($A1838="", $B1838="", $E1838="", $F1838="", $G1838="", $H1838=""), "",IF(AND($E1838=$G1838, $F1838=$H1838), 3, IF(SIGN($E1838-$F1838)=SIGN($G1838-$H1838), 1, 0))))</f>
        <v/>
      </c>
    </row>
    <row r="1839">
      <c r="A1839" s="5" t="inlineStr"/>
      <c r="B1839" s="5" t="inlineStr"/>
      <c r="C1839" s="5">
        <f>IF($B1839="","",VLOOKUP($B1839,Jogos!$A$2:$K$105,8,FALSE))</f>
        <v/>
      </c>
      <c r="D1839" s="5">
        <f>IF($B1839="","",VLOOKUP($B1839,Jogos!$A$2:$K$105,10,FALSE))</f>
        <v/>
      </c>
      <c r="E1839" s="5" t="inlineStr"/>
      <c r="F1839" s="5" t="inlineStr"/>
      <c r="G1839" s="8">
        <f>IF($B1839="","",VLOOKUP($B1839,Jogos!$A$2:$K$105,9,FALSE))</f>
        <v/>
      </c>
      <c r="H1839" s="8">
        <f>IF($B1839="","",VLOOKUP($B1839,Jogos!$A$2:$K$105,11,FALSE))</f>
        <v/>
      </c>
      <c r="I1839" s="5">
        <f>IF(OR($A1839="", $B1839="", $E1839="", $F1839="", $G1839="", $H1839=""), "",IF(AND($E1839=$G1839, $F1839=$H1839), 3, IF(SIGN($E1839-$F1839)=SIGN($G1839-$H1839), 1, 0))))</f>
        <v/>
      </c>
    </row>
    <row r="1840">
      <c r="A1840" s="5" t="inlineStr"/>
      <c r="B1840" s="5" t="inlineStr"/>
      <c r="C1840" s="5">
        <f>IF($B1840="","",VLOOKUP($B1840,Jogos!$A$2:$K$105,8,FALSE))</f>
        <v/>
      </c>
      <c r="D1840" s="5">
        <f>IF($B1840="","",VLOOKUP($B1840,Jogos!$A$2:$K$105,10,FALSE))</f>
        <v/>
      </c>
      <c r="E1840" s="5" t="inlineStr"/>
      <c r="F1840" s="5" t="inlineStr"/>
      <c r="G1840" s="8">
        <f>IF($B1840="","",VLOOKUP($B1840,Jogos!$A$2:$K$105,9,FALSE))</f>
        <v/>
      </c>
      <c r="H1840" s="8">
        <f>IF($B1840="","",VLOOKUP($B1840,Jogos!$A$2:$K$105,11,FALSE))</f>
        <v/>
      </c>
      <c r="I1840" s="5">
        <f>IF(OR($A1840="", $B1840="", $E1840="", $F1840="", $G1840="", $H1840=""), "",IF(AND($E1840=$G1840, $F1840=$H1840), 3, IF(SIGN($E1840-$F1840)=SIGN($G1840-$H1840), 1, 0))))</f>
        <v/>
      </c>
    </row>
    <row r="1841">
      <c r="A1841" s="5" t="inlineStr"/>
      <c r="B1841" s="5" t="inlineStr"/>
      <c r="C1841" s="5">
        <f>IF($B1841="","",VLOOKUP($B1841,Jogos!$A$2:$K$105,8,FALSE))</f>
        <v/>
      </c>
      <c r="D1841" s="5">
        <f>IF($B1841="","",VLOOKUP($B1841,Jogos!$A$2:$K$105,10,FALSE))</f>
        <v/>
      </c>
      <c r="E1841" s="5" t="inlineStr"/>
      <c r="F1841" s="5" t="inlineStr"/>
      <c r="G1841" s="8">
        <f>IF($B1841="","",VLOOKUP($B1841,Jogos!$A$2:$K$105,9,FALSE))</f>
        <v/>
      </c>
      <c r="H1841" s="8">
        <f>IF($B1841="","",VLOOKUP($B1841,Jogos!$A$2:$K$105,11,FALSE))</f>
        <v/>
      </c>
      <c r="I1841" s="5">
        <f>IF(OR($A1841="", $B1841="", $E1841="", $F1841="", $G1841="", $H1841=""), "",IF(AND($E1841=$G1841, $F1841=$H1841), 3, IF(SIGN($E1841-$F1841)=SIGN($G1841-$H1841), 1, 0))))</f>
        <v/>
      </c>
    </row>
    <row r="1842">
      <c r="A1842" s="5" t="inlineStr"/>
      <c r="B1842" s="5" t="inlineStr"/>
      <c r="C1842" s="5">
        <f>IF($B1842="","",VLOOKUP($B1842,Jogos!$A$2:$K$105,8,FALSE))</f>
        <v/>
      </c>
      <c r="D1842" s="5">
        <f>IF($B1842="","",VLOOKUP($B1842,Jogos!$A$2:$K$105,10,FALSE))</f>
        <v/>
      </c>
      <c r="E1842" s="5" t="inlineStr"/>
      <c r="F1842" s="5" t="inlineStr"/>
      <c r="G1842" s="8">
        <f>IF($B1842="","",VLOOKUP($B1842,Jogos!$A$2:$K$105,9,FALSE))</f>
        <v/>
      </c>
      <c r="H1842" s="8">
        <f>IF($B1842="","",VLOOKUP($B1842,Jogos!$A$2:$K$105,11,FALSE))</f>
        <v/>
      </c>
      <c r="I1842" s="5">
        <f>IF(OR($A1842="", $B1842="", $E1842="", $F1842="", $G1842="", $H1842=""), "",IF(AND($E1842=$G1842, $F1842=$H1842), 3, IF(SIGN($E1842-$F1842)=SIGN($G1842-$H1842), 1, 0))))</f>
        <v/>
      </c>
    </row>
    <row r="1843">
      <c r="A1843" s="5" t="inlineStr"/>
      <c r="B1843" s="5" t="inlineStr"/>
      <c r="C1843" s="5">
        <f>IF($B1843="","",VLOOKUP($B1843,Jogos!$A$2:$K$105,8,FALSE))</f>
        <v/>
      </c>
      <c r="D1843" s="5">
        <f>IF($B1843="","",VLOOKUP($B1843,Jogos!$A$2:$K$105,10,FALSE))</f>
        <v/>
      </c>
      <c r="E1843" s="5" t="inlineStr"/>
      <c r="F1843" s="5" t="inlineStr"/>
      <c r="G1843" s="8">
        <f>IF($B1843="","",VLOOKUP($B1843,Jogos!$A$2:$K$105,9,FALSE))</f>
        <v/>
      </c>
      <c r="H1843" s="8">
        <f>IF($B1843="","",VLOOKUP($B1843,Jogos!$A$2:$K$105,11,FALSE))</f>
        <v/>
      </c>
      <c r="I1843" s="5">
        <f>IF(OR($A1843="", $B1843="", $E1843="", $F1843="", $G1843="", $H1843=""), "",IF(AND($E1843=$G1843, $F1843=$H1843), 3, IF(SIGN($E1843-$F1843)=SIGN($G1843-$H1843), 1, 0))))</f>
        <v/>
      </c>
    </row>
    <row r="1844">
      <c r="A1844" s="5" t="inlineStr"/>
      <c r="B1844" s="5" t="inlineStr"/>
      <c r="C1844" s="5">
        <f>IF($B1844="","",VLOOKUP($B1844,Jogos!$A$2:$K$105,8,FALSE))</f>
        <v/>
      </c>
      <c r="D1844" s="5">
        <f>IF($B1844="","",VLOOKUP($B1844,Jogos!$A$2:$K$105,10,FALSE))</f>
        <v/>
      </c>
      <c r="E1844" s="5" t="inlineStr"/>
      <c r="F1844" s="5" t="inlineStr"/>
      <c r="G1844" s="8">
        <f>IF($B1844="","",VLOOKUP($B1844,Jogos!$A$2:$K$105,9,FALSE))</f>
        <v/>
      </c>
      <c r="H1844" s="8">
        <f>IF($B1844="","",VLOOKUP($B1844,Jogos!$A$2:$K$105,11,FALSE))</f>
        <v/>
      </c>
      <c r="I1844" s="5">
        <f>IF(OR($A1844="", $B1844="", $E1844="", $F1844="", $G1844="", $H1844=""), "",IF(AND($E1844=$G1844, $F1844=$H1844), 3, IF(SIGN($E1844-$F1844)=SIGN($G1844-$H1844), 1, 0))))</f>
        <v/>
      </c>
    </row>
    <row r="1845">
      <c r="A1845" s="5" t="inlineStr"/>
      <c r="B1845" s="5" t="inlineStr"/>
      <c r="C1845" s="5">
        <f>IF($B1845="","",VLOOKUP($B1845,Jogos!$A$2:$K$105,8,FALSE))</f>
        <v/>
      </c>
      <c r="D1845" s="5">
        <f>IF($B1845="","",VLOOKUP($B1845,Jogos!$A$2:$K$105,10,FALSE))</f>
        <v/>
      </c>
      <c r="E1845" s="5" t="inlineStr"/>
      <c r="F1845" s="5" t="inlineStr"/>
      <c r="G1845" s="8">
        <f>IF($B1845="","",VLOOKUP($B1845,Jogos!$A$2:$K$105,9,FALSE))</f>
        <v/>
      </c>
      <c r="H1845" s="8">
        <f>IF($B1845="","",VLOOKUP($B1845,Jogos!$A$2:$K$105,11,FALSE))</f>
        <v/>
      </c>
      <c r="I1845" s="5">
        <f>IF(OR($A1845="", $B1845="", $E1845="", $F1845="", $G1845="", $H1845=""), "",IF(AND($E1845=$G1845, $F1845=$H1845), 3, IF(SIGN($E1845-$F1845)=SIGN($G1845-$H1845), 1, 0))))</f>
        <v/>
      </c>
    </row>
    <row r="1846">
      <c r="A1846" s="5" t="inlineStr"/>
      <c r="B1846" s="5" t="inlineStr"/>
      <c r="C1846" s="5">
        <f>IF($B1846="","",VLOOKUP($B1846,Jogos!$A$2:$K$105,8,FALSE))</f>
        <v/>
      </c>
      <c r="D1846" s="5">
        <f>IF($B1846="","",VLOOKUP($B1846,Jogos!$A$2:$K$105,10,FALSE))</f>
        <v/>
      </c>
      <c r="E1846" s="5" t="inlineStr"/>
      <c r="F1846" s="5" t="inlineStr"/>
      <c r="G1846" s="8">
        <f>IF($B1846="","",VLOOKUP($B1846,Jogos!$A$2:$K$105,9,FALSE))</f>
        <v/>
      </c>
      <c r="H1846" s="8">
        <f>IF($B1846="","",VLOOKUP($B1846,Jogos!$A$2:$K$105,11,FALSE))</f>
        <v/>
      </c>
      <c r="I1846" s="5">
        <f>IF(OR($A1846="", $B1846="", $E1846="", $F1846="", $G1846="", $H1846=""), "",IF(AND($E1846=$G1846, $F1846=$H1846), 3, IF(SIGN($E1846-$F1846)=SIGN($G1846-$H1846), 1, 0))))</f>
        <v/>
      </c>
    </row>
    <row r="1847">
      <c r="A1847" s="5" t="inlineStr"/>
      <c r="B1847" s="5" t="inlineStr"/>
      <c r="C1847" s="5">
        <f>IF($B1847="","",VLOOKUP($B1847,Jogos!$A$2:$K$105,8,FALSE))</f>
        <v/>
      </c>
      <c r="D1847" s="5">
        <f>IF($B1847="","",VLOOKUP($B1847,Jogos!$A$2:$K$105,10,FALSE))</f>
        <v/>
      </c>
      <c r="E1847" s="5" t="inlineStr"/>
      <c r="F1847" s="5" t="inlineStr"/>
      <c r="G1847" s="8">
        <f>IF($B1847="","",VLOOKUP($B1847,Jogos!$A$2:$K$105,9,FALSE))</f>
        <v/>
      </c>
      <c r="H1847" s="8">
        <f>IF($B1847="","",VLOOKUP($B1847,Jogos!$A$2:$K$105,11,FALSE))</f>
        <v/>
      </c>
      <c r="I1847" s="5">
        <f>IF(OR($A1847="", $B1847="", $E1847="", $F1847="", $G1847="", $H1847=""), "",IF(AND($E1847=$G1847, $F1847=$H1847), 3, IF(SIGN($E1847-$F1847)=SIGN($G1847-$H1847), 1, 0))))</f>
        <v/>
      </c>
    </row>
    <row r="1848">
      <c r="A1848" s="5" t="inlineStr"/>
      <c r="B1848" s="5" t="inlineStr"/>
      <c r="C1848" s="5">
        <f>IF($B1848="","",VLOOKUP($B1848,Jogos!$A$2:$K$105,8,FALSE))</f>
        <v/>
      </c>
      <c r="D1848" s="5">
        <f>IF($B1848="","",VLOOKUP($B1848,Jogos!$A$2:$K$105,10,FALSE))</f>
        <v/>
      </c>
      <c r="E1848" s="5" t="inlineStr"/>
      <c r="F1848" s="5" t="inlineStr"/>
      <c r="G1848" s="8">
        <f>IF($B1848="","",VLOOKUP($B1848,Jogos!$A$2:$K$105,9,FALSE))</f>
        <v/>
      </c>
      <c r="H1848" s="8">
        <f>IF($B1848="","",VLOOKUP($B1848,Jogos!$A$2:$K$105,11,FALSE))</f>
        <v/>
      </c>
      <c r="I1848" s="5">
        <f>IF(OR($A1848="", $B1848="", $E1848="", $F1848="", $G1848="", $H1848=""), "",IF(AND($E1848=$G1848, $F1848=$H1848), 3, IF(SIGN($E1848-$F1848)=SIGN($G1848-$H1848), 1, 0))))</f>
        <v/>
      </c>
    </row>
    <row r="1849">
      <c r="A1849" s="5" t="inlineStr"/>
      <c r="B1849" s="5" t="inlineStr"/>
      <c r="C1849" s="5">
        <f>IF($B1849="","",VLOOKUP($B1849,Jogos!$A$2:$K$105,8,FALSE))</f>
        <v/>
      </c>
      <c r="D1849" s="5">
        <f>IF($B1849="","",VLOOKUP($B1849,Jogos!$A$2:$K$105,10,FALSE))</f>
        <v/>
      </c>
      <c r="E1849" s="5" t="inlineStr"/>
      <c r="F1849" s="5" t="inlineStr"/>
      <c r="G1849" s="8">
        <f>IF($B1849="","",VLOOKUP($B1849,Jogos!$A$2:$K$105,9,FALSE))</f>
        <v/>
      </c>
      <c r="H1849" s="8">
        <f>IF($B1849="","",VLOOKUP($B1849,Jogos!$A$2:$K$105,11,FALSE))</f>
        <v/>
      </c>
      <c r="I1849" s="5">
        <f>IF(OR($A1849="", $B1849="", $E1849="", $F1849="", $G1849="", $H1849=""), "",IF(AND($E1849=$G1849, $F1849=$H1849), 3, IF(SIGN($E1849-$F1849)=SIGN($G1849-$H1849), 1, 0))))</f>
        <v/>
      </c>
    </row>
    <row r="1850">
      <c r="A1850" s="5" t="inlineStr"/>
      <c r="B1850" s="5" t="inlineStr"/>
      <c r="C1850" s="5">
        <f>IF($B1850="","",VLOOKUP($B1850,Jogos!$A$2:$K$105,8,FALSE))</f>
        <v/>
      </c>
      <c r="D1850" s="5">
        <f>IF($B1850="","",VLOOKUP($B1850,Jogos!$A$2:$K$105,10,FALSE))</f>
        <v/>
      </c>
      <c r="E1850" s="5" t="inlineStr"/>
      <c r="F1850" s="5" t="inlineStr"/>
      <c r="G1850" s="8">
        <f>IF($B1850="","",VLOOKUP($B1850,Jogos!$A$2:$K$105,9,FALSE))</f>
        <v/>
      </c>
      <c r="H1850" s="8">
        <f>IF($B1850="","",VLOOKUP($B1850,Jogos!$A$2:$K$105,11,FALSE))</f>
        <v/>
      </c>
      <c r="I1850" s="5">
        <f>IF(OR($A1850="", $B1850="", $E1850="", $F1850="", $G1850="", $H1850=""), "",IF(AND($E1850=$G1850, $F1850=$H1850), 3, IF(SIGN($E1850-$F1850)=SIGN($G1850-$H1850), 1, 0))))</f>
        <v/>
      </c>
    </row>
    <row r="1851">
      <c r="A1851" s="5" t="inlineStr"/>
      <c r="B1851" s="5" t="inlineStr"/>
      <c r="C1851" s="5">
        <f>IF($B1851="","",VLOOKUP($B1851,Jogos!$A$2:$K$105,8,FALSE))</f>
        <v/>
      </c>
      <c r="D1851" s="5">
        <f>IF($B1851="","",VLOOKUP($B1851,Jogos!$A$2:$K$105,10,FALSE))</f>
        <v/>
      </c>
      <c r="E1851" s="5" t="inlineStr"/>
      <c r="F1851" s="5" t="inlineStr"/>
      <c r="G1851" s="8">
        <f>IF($B1851="","",VLOOKUP($B1851,Jogos!$A$2:$K$105,9,FALSE))</f>
        <v/>
      </c>
      <c r="H1851" s="8">
        <f>IF($B1851="","",VLOOKUP($B1851,Jogos!$A$2:$K$105,11,FALSE))</f>
        <v/>
      </c>
      <c r="I1851" s="5">
        <f>IF(OR($A1851="", $B1851="", $E1851="", $F1851="", $G1851="", $H1851=""), "",IF(AND($E1851=$G1851, $F1851=$H1851), 3, IF(SIGN($E1851-$F1851)=SIGN($G1851-$H1851), 1, 0))))</f>
        <v/>
      </c>
    </row>
    <row r="1852">
      <c r="A1852" s="5" t="inlineStr"/>
      <c r="B1852" s="5" t="inlineStr"/>
      <c r="C1852" s="5">
        <f>IF($B1852="","",VLOOKUP($B1852,Jogos!$A$2:$K$105,8,FALSE))</f>
        <v/>
      </c>
      <c r="D1852" s="5">
        <f>IF($B1852="","",VLOOKUP($B1852,Jogos!$A$2:$K$105,10,FALSE))</f>
        <v/>
      </c>
      <c r="E1852" s="5" t="inlineStr"/>
      <c r="F1852" s="5" t="inlineStr"/>
      <c r="G1852" s="8">
        <f>IF($B1852="","",VLOOKUP($B1852,Jogos!$A$2:$K$105,9,FALSE))</f>
        <v/>
      </c>
      <c r="H1852" s="8">
        <f>IF($B1852="","",VLOOKUP($B1852,Jogos!$A$2:$K$105,11,FALSE))</f>
        <v/>
      </c>
      <c r="I1852" s="5">
        <f>IF(OR($A1852="", $B1852="", $E1852="", $F1852="", $G1852="", $H1852=""), "",IF(AND($E1852=$G1852, $F1852=$H1852), 3, IF(SIGN($E1852-$F1852)=SIGN($G1852-$H1852), 1, 0))))</f>
        <v/>
      </c>
    </row>
    <row r="1853">
      <c r="A1853" s="5" t="inlineStr"/>
      <c r="B1853" s="5" t="inlineStr"/>
      <c r="C1853" s="5">
        <f>IF($B1853="","",VLOOKUP($B1853,Jogos!$A$2:$K$105,8,FALSE))</f>
        <v/>
      </c>
      <c r="D1853" s="5">
        <f>IF($B1853="","",VLOOKUP($B1853,Jogos!$A$2:$K$105,10,FALSE))</f>
        <v/>
      </c>
      <c r="E1853" s="5" t="inlineStr"/>
      <c r="F1853" s="5" t="inlineStr"/>
      <c r="G1853" s="8">
        <f>IF($B1853="","",VLOOKUP($B1853,Jogos!$A$2:$K$105,9,FALSE))</f>
        <v/>
      </c>
      <c r="H1853" s="8">
        <f>IF($B1853="","",VLOOKUP($B1853,Jogos!$A$2:$K$105,11,FALSE))</f>
        <v/>
      </c>
      <c r="I1853" s="5">
        <f>IF(OR($A1853="", $B1853="", $E1853="", $F1853="", $G1853="", $H1853=""), "",IF(AND($E1853=$G1853, $F1853=$H1853), 3, IF(SIGN($E1853-$F1853)=SIGN($G1853-$H1853), 1, 0))))</f>
        <v/>
      </c>
    </row>
    <row r="1854">
      <c r="A1854" s="5" t="inlineStr"/>
      <c r="B1854" s="5" t="inlineStr"/>
      <c r="C1854" s="5">
        <f>IF($B1854="","",VLOOKUP($B1854,Jogos!$A$2:$K$105,8,FALSE))</f>
        <v/>
      </c>
      <c r="D1854" s="5">
        <f>IF($B1854="","",VLOOKUP($B1854,Jogos!$A$2:$K$105,10,FALSE))</f>
        <v/>
      </c>
      <c r="E1854" s="5" t="inlineStr"/>
      <c r="F1854" s="5" t="inlineStr"/>
      <c r="G1854" s="8">
        <f>IF($B1854="","",VLOOKUP($B1854,Jogos!$A$2:$K$105,9,FALSE))</f>
        <v/>
      </c>
      <c r="H1854" s="8">
        <f>IF($B1854="","",VLOOKUP($B1854,Jogos!$A$2:$K$105,11,FALSE))</f>
        <v/>
      </c>
      <c r="I1854" s="5">
        <f>IF(OR($A1854="", $B1854="", $E1854="", $F1854="", $G1854="", $H1854=""), "",IF(AND($E1854=$G1854, $F1854=$H1854), 3, IF(SIGN($E1854-$F1854)=SIGN($G1854-$H1854), 1, 0))))</f>
        <v/>
      </c>
    </row>
    <row r="1855">
      <c r="A1855" s="5" t="inlineStr"/>
      <c r="B1855" s="5" t="inlineStr"/>
      <c r="C1855" s="5">
        <f>IF($B1855="","",VLOOKUP($B1855,Jogos!$A$2:$K$105,8,FALSE))</f>
        <v/>
      </c>
      <c r="D1855" s="5">
        <f>IF($B1855="","",VLOOKUP($B1855,Jogos!$A$2:$K$105,10,FALSE))</f>
        <v/>
      </c>
      <c r="E1855" s="5" t="inlineStr"/>
      <c r="F1855" s="5" t="inlineStr"/>
      <c r="G1855" s="8">
        <f>IF($B1855="","",VLOOKUP($B1855,Jogos!$A$2:$K$105,9,FALSE))</f>
        <v/>
      </c>
      <c r="H1855" s="8">
        <f>IF($B1855="","",VLOOKUP($B1855,Jogos!$A$2:$K$105,11,FALSE))</f>
        <v/>
      </c>
      <c r="I1855" s="5">
        <f>IF(OR($A1855="", $B1855="", $E1855="", $F1855="", $G1855="", $H1855=""), "",IF(AND($E1855=$G1855, $F1855=$H1855), 3, IF(SIGN($E1855-$F1855)=SIGN($G1855-$H1855), 1, 0))))</f>
        <v/>
      </c>
    </row>
    <row r="1856">
      <c r="A1856" s="5" t="inlineStr"/>
      <c r="B1856" s="5" t="inlineStr"/>
      <c r="C1856" s="5">
        <f>IF($B1856="","",VLOOKUP($B1856,Jogos!$A$2:$K$105,8,FALSE))</f>
        <v/>
      </c>
      <c r="D1856" s="5">
        <f>IF($B1856="","",VLOOKUP($B1856,Jogos!$A$2:$K$105,10,FALSE))</f>
        <v/>
      </c>
      <c r="E1856" s="5" t="inlineStr"/>
      <c r="F1856" s="5" t="inlineStr"/>
      <c r="G1856" s="8">
        <f>IF($B1856="","",VLOOKUP($B1856,Jogos!$A$2:$K$105,9,FALSE))</f>
        <v/>
      </c>
      <c r="H1856" s="8">
        <f>IF($B1856="","",VLOOKUP($B1856,Jogos!$A$2:$K$105,11,FALSE))</f>
        <v/>
      </c>
      <c r="I1856" s="5">
        <f>IF(OR($A1856="", $B1856="", $E1856="", $F1856="", $G1856="", $H1856=""), "",IF(AND($E1856=$G1856, $F1856=$H1856), 3, IF(SIGN($E1856-$F1856)=SIGN($G1856-$H1856), 1, 0))))</f>
        <v/>
      </c>
    </row>
    <row r="1857">
      <c r="A1857" s="5" t="inlineStr"/>
      <c r="B1857" s="5" t="inlineStr"/>
      <c r="C1857" s="5">
        <f>IF($B1857="","",VLOOKUP($B1857,Jogos!$A$2:$K$105,8,FALSE))</f>
        <v/>
      </c>
      <c r="D1857" s="5">
        <f>IF($B1857="","",VLOOKUP($B1857,Jogos!$A$2:$K$105,10,FALSE))</f>
        <v/>
      </c>
      <c r="E1857" s="5" t="inlineStr"/>
      <c r="F1857" s="5" t="inlineStr"/>
      <c r="G1857" s="8">
        <f>IF($B1857="","",VLOOKUP($B1857,Jogos!$A$2:$K$105,9,FALSE))</f>
        <v/>
      </c>
      <c r="H1857" s="8">
        <f>IF($B1857="","",VLOOKUP($B1857,Jogos!$A$2:$K$105,11,FALSE))</f>
        <v/>
      </c>
      <c r="I1857" s="5">
        <f>IF(OR($A1857="", $B1857="", $E1857="", $F1857="", $G1857="", $H1857=""), "",IF(AND($E1857=$G1857, $F1857=$H1857), 3, IF(SIGN($E1857-$F1857)=SIGN($G1857-$H1857), 1, 0))))</f>
        <v/>
      </c>
    </row>
    <row r="1858">
      <c r="A1858" s="5" t="inlineStr"/>
      <c r="B1858" s="5" t="inlineStr"/>
      <c r="C1858" s="5">
        <f>IF($B1858="","",VLOOKUP($B1858,Jogos!$A$2:$K$105,8,FALSE))</f>
        <v/>
      </c>
      <c r="D1858" s="5">
        <f>IF($B1858="","",VLOOKUP($B1858,Jogos!$A$2:$K$105,10,FALSE))</f>
        <v/>
      </c>
      <c r="E1858" s="5" t="inlineStr"/>
      <c r="F1858" s="5" t="inlineStr"/>
      <c r="G1858" s="8">
        <f>IF($B1858="","",VLOOKUP($B1858,Jogos!$A$2:$K$105,9,FALSE))</f>
        <v/>
      </c>
      <c r="H1858" s="8">
        <f>IF($B1858="","",VLOOKUP($B1858,Jogos!$A$2:$K$105,11,FALSE))</f>
        <v/>
      </c>
      <c r="I1858" s="5">
        <f>IF(OR($A1858="", $B1858="", $E1858="", $F1858="", $G1858="", $H1858=""), "",IF(AND($E1858=$G1858, $F1858=$H1858), 3, IF(SIGN($E1858-$F1858)=SIGN($G1858-$H1858), 1, 0))))</f>
        <v/>
      </c>
    </row>
    <row r="1859">
      <c r="A1859" s="5" t="inlineStr"/>
      <c r="B1859" s="5" t="inlineStr"/>
      <c r="C1859" s="5">
        <f>IF($B1859="","",VLOOKUP($B1859,Jogos!$A$2:$K$105,8,FALSE))</f>
        <v/>
      </c>
      <c r="D1859" s="5">
        <f>IF($B1859="","",VLOOKUP($B1859,Jogos!$A$2:$K$105,10,FALSE))</f>
        <v/>
      </c>
      <c r="E1859" s="5" t="inlineStr"/>
      <c r="F1859" s="5" t="inlineStr"/>
      <c r="G1859" s="8">
        <f>IF($B1859="","",VLOOKUP($B1859,Jogos!$A$2:$K$105,9,FALSE))</f>
        <v/>
      </c>
      <c r="H1859" s="8">
        <f>IF($B1859="","",VLOOKUP($B1859,Jogos!$A$2:$K$105,11,FALSE))</f>
        <v/>
      </c>
      <c r="I1859" s="5">
        <f>IF(OR($A1859="", $B1859="", $E1859="", $F1859="", $G1859="", $H1859=""), "",IF(AND($E1859=$G1859, $F1859=$H1859), 3, IF(SIGN($E1859-$F1859)=SIGN($G1859-$H1859), 1, 0))))</f>
        <v/>
      </c>
    </row>
    <row r="1860">
      <c r="A1860" s="5" t="inlineStr"/>
      <c r="B1860" s="5" t="inlineStr"/>
      <c r="C1860" s="5">
        <f>IF($B1860="","",VLOOKUP($B1860,Jogos!$A$2:$K$105,8,FALSE))</f>
        <v/>
      </c>
      <c r="D1860" s="5">
        <f>IF($B1860="","",VLOOKUP($B1860,Jogos!$A$2:$K$105,10,FALSE))</f>
        <v/>
      </c>
      <c r="E1860" s="5" t="inlineStr"/>
      <c r="F1860" s="5" t="inlineStr"/>
      <c r="G1860" s="8">
        <f>IF($B1860="","",VLOOKUP($B1860,Jogos!$A$2:$K$105,9,FALSE))</f>
        <v/>
      </c>
      <c r="H1860" s="8">
        <f>IF($B1860="","",VLOOKUP($B1860,Jogos!$A$2:$K$105,11,FALSE))</f>
        <v/>
      </c>
      <c r="I1860" s="5">
        <f>IF(OR($A1860="", $B1860="", $E1860="", $F1860="", $G1860="", $H1860=""), "",IF(AND($E1860=$G1860, $F1860=$H1860), 3, IF(SIGN($E1860-$F1860)=SIGN($G1860-$H1860), 1, 0))))</f>
        <v/>
      </c>
    </row>
    <row r="1861">
      <c r="A1861" s="5" t="inlineStr"/>
      <c r="B1861" s="5" t="inlineStr"/>
      <c r="C1861" s="5">
        <f>IF($B1861="","",VLOOKUP($B1861,Jogos!$A$2:$K$105,8,FALSE))</f>
        <v/>
      </c>
      <c r="D1861" s="5">
        <f>IF($B1861="","",VLOOKUP($B1861,Jogos!$A$2:$K$105,10,FALSE))</f>
        <v/>
      </c>
      <c r="E1861" s="5" t="inlineStr"/>
      <c r="F1861" s="5" t="inlineStr"/>
      <c r="G1861" s="8">
        <f>IF($B1861="","",VLOOKUP($B1861,Jogos!$A$2:$K$105,9,FALSE))</f>
        <v/>
      </c>
      <c r="H1861" s="8">
        <f>IF($B1861="","",VLOOKUP($B1861,Jogos!$A$2:$K$105,11,FALSE))</f>
        <v/>
      </c>
      <c r="I1861" s="5">
        <f>IF(OR($A1861="", $B1861="", $E1861="", $F1861="", $G1861="", $H1861=""), "",IF(AND($E1861=$G1861, $F1861=$H1861), 3, IF(SIGN($E1861-$F1861)=SIGN($G1861-$H1861), 1, 0))))</f>
        <v/>
      </c>
    </row>
    <row r="1862">
      <c r="A1862" s="5" t="inlineStr"/>
      <c r="B1862" s="5" t="inlineStr"/>
      <c r="C1862" s="5">
        <f>IF($B1862="","",VLOOKUP($B1862,Jogos!$A$2:$K$105,8,FALSE))</f>
        <v/>
      </c>
      <c r="D1862" s="5">
        <f>IF($B1862="","",VLOOKUP($B1862,Jogos!$A$2:$K$105,10,FALSE))</f>
        <v/>
      </c>
      <c r="E1862" s="5" t="inlineStr"/>
      <c r="F1862" s="5" t="inlineStr"/>
      <c r="G1862" s="8">
        <f>IF($B1862="","",VLOOKUP($B1862,Jogos!$A$2:$K$105,9,FALSE))</f>
        <v/>
      </c>
      <c r="H1862" s="8">
        <f>IF($B1862="","",VLOOKUP($B1862,Jogos!$A$2:$K$105,11,FALSE))</f>
        <v/>
      </c>
      <c r="I1862" s="5">
        <f>IF(OR($A1862="", $B1862="", $E1862="", $F1862="", $G1862="", $H1862=""), "",IF(AND($E1862=$G1862, $F1862=$H1862), 3, IF(SIGN($E1862-$F1862)=SIGN($G1862-$H1862), 1, 0))))</f>
        <v/>
      </c>
    </row>
    <row r="1863">
      <c r="A1863" s="5" t="inlineStr"/>
      <c r="B1863" s="5" t="inlineStr"/>
      <c r="C1863" s="5">
        <f>IF($B1863="","",VLOOKUP($B1863,Jogos!$A$2:$K$105,8,FALSE))</f>
        <v/>
      </c>
      <c r="D1863" s="5">
        <f>IF($B1863="","",VLOOKUP($B1863,Jogos!$A$2:$K$105,10,FALSE))</f>
        <v/>
      </c>
      <c r="E1863" s="5" t="inlineStr"/>
      <c r="F1863" s="5" t="inlineStr"/>
      <c r="G1863" s="8">
        <f>IF($B1863="","",VLOOKUP($B1863,Jogos!$A$2:$K$105,9,FALSE))</f>
        <v/>
      </c>
      <c r="H1863" s="8">
        <f>IF($B1863="","",VLOOKUP($B1863,Jogos!$A$2:$K$105,11,FALSE))</f>
        <v/>
      </c>
      <c r="I1863" s="5">
        <f>IF(OR($A1863="", $B1863="", $E1863="", $F1863="", $G1863="", $H1863=""), "",IF(AND($E1863=$G1863, $F1863=$H1863), 3, IF(SIGN($E1863-$F1863)=SIGN($G1863-$H1863), 1, 0))))</f>
        <v/>
      </c>
    </row>
    <row r="1864">
      <c r="A1864" s="5" t="inlineStr"/>
      <c r="B1864" s="5" t="inlineStr"/>
      <c r="C1864" s="5">
        <f>IF($B1864="","",VLOOKUP($B1864,Jogos!$A$2:$K$105,8,FALSE))</f>
        <v/>
      </c>
      <c r="D1864" s="5">
        <f>IF($B1864="","",VLOOKUP($B1864,Jogos!$A$2:$K$105,10,FALSE))</f>
        <v/>
      </c>
      <c r="E1864" s="5" t="inlineStr"/>
      <c r="F1864" s="5" t="inlineStr"/>
      <c r="G1864" s="8">
        <f>IF($B1864="","",VLOOKUP($B1864,Jogos!$A$2:$K$105,9,FALSE))</f>
        <v/>
      </c>
      <c r="H1864" s="8">
        <f>IF($B1864="","",VLOOKUP($B1864,Jogos!$A$2:$K$105,11,FALSE))</f>
        <v/>
      </c>
      <c r="I1864" s="5">
        <f>IF(OR($A1864="", $B1864="", $E1864="", $F1864="", $G1864="", $H1864=""), "",IF(AND($E1864=$G1864, $F1864=$H1864), 3, IF(SIGN($E1864-$F1864)=SIGN($G1864-$H1864), 1, 0))))</f>
        <v/>
      </c>
    </row>
    <row r="1865">
      <c r="A1865" s="5" t="inlineStr"/>
      <c r="B1865" s="5" t="inlineStr"/>
      <c r="C1865" s="5">
        <f>IF($B1865="","",VLOOKUP($B1865,Jogos!$A$2:$K$105,8,FALSE))</f>
        <v/>
      </c>
      <c r="D1865" s="5">
        <f>IF($B1865="","",VLOOKUP($B1865,Jogos!$A$2:$K$105,10,FALSE))</f>
        <v/>
      </c>
      <c r="E1865" s="5" t="inlineStr"/>
      <c r="F1865" s="5" t="inlineStr"/>
      <c r="G1865" s="8">
        <f>IF($B1865="","",VLOOKUP($B1865,Jogos!$A$2:$K$105,9,FALSE))</f>
        <v/>
      </c>
      <c r="H1865" s="8">
        <f>IF($B1865="","",VLOOKUP($B1865,Jogos!$A$2:$K$105,11,FALSE))</f>
        <v/>
      </c>
      <c r="I1865" s="5">
        <f>IF(OR($A1865="", $B1865="", $E1865="", $F1865="", $G1865="", $H1865=""), "",IF(AND($E1865=$G1865, $F1865=$H1865), 3, IF(SIGN($E1865-$F1865)=SIGN($G1865-$H1865), 1, 0))))</f>
        <v/>
      </c>
    </row>
    <row r="1866">
      <c r="A1866" s="5" t="inlineStr"/>
      <c r="B1866" s="5" t="inlineStr"/>
      <c r="C1866" s="5">
        <f>IF($B1866="","",VLOOKUP($B1866,Jogos!$A$2:$K$105,8,FALSE))</f>
        <v/>
      </c>
      <c r="D1866" s="5">
        <f>IF($B1866="","",VLOOKUP($B1866,Jogos!$A$2:$K$105,10,FALSE))</f>
        <v/>
      </c>
      <c r="E1866" s="5" t="inlineStr"/>
      <c r="F1866" s="5" t="inlineStr"/>
      <c r="G1866" s="8">
        <f>IF($B1866="","",VLOOKUP($B1866,Jogos!$A$2:$K$105,9,FALSE))</f>
        <v/>
      </c>
      <c r="H1866" s="8">
        <f>IF($B1866="","",VLOOKUP($B1866,Jogos!$A$2:$K$105,11,FALSE))</f>
        <v/>
      </c>
      <c r="I1866" s="5">
        <f>IF(OR($A1866="", $B1866="", $E1866="", $F1866="", $G1866="", $H1866=""), "",IF(AND($E1866=$G1866, $F1866=$H1866), 3, IF(SIGN($E1866-$F1866)=SIGN($G1866-$H1866), 1, 0))))</f>
        <v/>
      </c>
    </row>
    <row r="1867">
      <c r="A1867" s="5" t="inlineStr"/>
      <c r="B1867" s="5" t="inlineStr"/>
      <c r="C1867" s="5">
        <f>IF($B1867="","",VLOOKUP($B1867,Jogos!$A$2:$K$105,8,FALSE))</f>
        <v/>
      </c>
      <c r="D1867" s="5">
        <f>IF($B1867="","",VLOOKUP($B1867,Jogos!$A$2:$K$105,10,FALSE))</f>
        <v/>
      </c>
      <c r="E1867" s="5" t="inlineStr"/>
      <c r="F1867" s="5" t="inlineStr"/>
      <c r="G1867" s="8">
        <f>IF($B1867="","",VLOOKUP($B1867,Jogos!$A$2:$K$105,9,FALSE))</f>
        <v/>
      </c>
      <c r="H1867" s="8">
        <f>IF($B1867="","",VLOOKUP($B1867,Jogos!$A$2:$K$105,11,FALSE))</f>
        <v/>
      </c>
      <c r="I1867" s="5">
        <f>IF(OR($A1867="", $B1867="", $E1867="", $F1867="", $G1867="", $H1867=""), "",IF(AND($E1867=$G1867, $F1867=$H1867), 3, IF(SIGN($E1867-$F1867)=SIGN($G1867-$H1867), 1, 0))))</f>
        <v/>
      </c>
    </row>
    <row r="1868">
      <c r="A1868" s="5" t="inlineStr"/>
      <c r="B1868" s="5" t="inlineStr"/>
      <c r="C1868" s="5">
        <f>IF($B1868="","",VLOOKUP($B1868,Jogos!$A$2:$K$105,8,FALSE))</f>
        <v/>
      </c>
      <c r="D1868" s="5">
        <f>IF($B1868="","",VLOOKUP($B1868,Jogos!$A$2:$K$105,10,FALSE))</f>
        <v/>
      </c>
      <c r="E1868" s="5" t="inlineStr"/>
      <c r="F1868" s="5" t="inlineStr"/>
      <c r="G1868" s="8">
        <f>IF($B1868="","",VLOOKUP($B1868,Jogos!$A$2:$K$105,9,FALSE))</f>
        <v/>
      </c>
      <c r="H1868" s="8">
        <f>IF($B1868="","",VLOOKUP($B1868,Jogos!$A$2:$K$105,11,FALSE))</f>
        <v/>
      </c>
      <c r="I1868" s="5">
        <f>IF(OR($A1868="", $B1868="", $E1868="", $F1868="", $G1868="", $H1868=""), "",IF(AND($E1868=$G1868, $F1868=$H1868), 3, IF(SIGN($E1868-$F1868)=SIGN($G1868-$H1868), 1, 0))))</f>
        <v/>
      </c>
    </row>
    <row r="1869">
      <c r="A1869" s="5" t="inlineStr"/>
      <c r="B1869" s="5" t="inlineStr"/>
      <c r="C1869" s="5">
        <f>IF($B1869="","",VLOOKUP($B1869,Jogos!$A$2:$K$105,8,FALSE))</f>
        <v/>
      </c>
      <c r="D1869" s="5">
        <f>IF($B1869="","",VLOOKUP($B1869,Jogos!$A$2:$K$105,10,FALSE))</f>
        <v/>
      </c>
      <c r="E1869" s="5" t="inlineStr"/>
      <c r="F1869" s="5" t="inlineStr"/>
      <c r="G1869" s="8">
        <f>IF($B1869="","",VLOOKUP($B1869,Jogos!$A$2:$K$105,9,FALSE))</f>
        <v/>
      </c>
      <c r="H1869" s="8">
        <f>IF($B1869="","",VLOOKUP($B1869,Jogos!$A$2:$K$105,11,FALSE))</f>
        <v/>
      </c>
      <c r="I1869" s="5">
        <f>IF(OR($A1869="", $B1869="", $E1869="", $F1869="", $G1869="", $H1869=""), "",IF(AND($E1869=$G1869, $F1869=$H1869), 3, IF(SIGN($E1869-$F1869)=SIGN($G1869-$H1869), 1, 0))))</f>
        <v/>
      </c>
    </row>
    <row r="1870">
      <c r="A1870" s="5" t="inlineStr"/>
      <c r="B1870" s="5" t="inlineStr"/>
      <c r="C1870" s="5">
        <f>IF($B1870="","",VLOOKUP($B1870,Jogos!$A$2:$K$105,8,FALSE))</f>
        <v/>
      </c>
      <c r="D1870" s="5">
        <f>IF($B1870="","",VLOOKUP($B1870,Jogos!$A$2:$K$105,10,FALSE))</f>
        <v/>
      </c>
      <c r="E1870" s="5" t="inlineStr"/>
      <c r="F1870" s="5" t="inlineStr"/>
      <c r="G1870" s="8">
        <f>IF($B1870="","",VLOOKUP($B1870,Jogos!$A$2:$K$105,9,FALSE))</f>
        <v/>
      </c>
      <c r="H1870" s="8">
        <f>IF($B1870="","",VLOOKUP($B1870,Jogos!$A$2:$K$105,11,FALSE))</f>
        <v/>
      </c>
      <c r="I1870" s="5">
        <f>IF(OR($A1870="", $B1870="", $E1870="", $F1870="", $G1870="", $H1870=""), "",IF(AND($E1870=$G1870, $F1870=$H1870), 3, IF(SIGN($E1870-$F1870)=SIGN($G1870-$H1870), 1, 0))))</f>
        <v/>
      </c>
    </row>
    <row r="1871">
      <c r="A1871" s="5" t="inlineStr"/>
      <c r="B1871" s="5" t="inlineStr"/>
      <c r="C1871" s="5">
        <f>IF($B1871="","",VLOOKUP($B1871,Jogos!$A$2:$K$105,8,FALSE))</f>
        <v/>
      </c>
      <c r="D1871" s="5">
        <f>IF($B1871="","",VLOOKUP($B1871,Jogos!$A$2:$K$105,10,FALSE))</f>
        <v/>
      </c>
      <c r="E1871" s="5" t="inlineStr"/>
      <c r="F1871" s="5" t="inlineStr"/>
      <c r="G1871" s="8">
        <f>IF($B1871="","",VLOOKUP($B1871,Jogos!$A$2:$K$105,9,FALSE))</f>
        <v/>
      </c>
      <c r="H1871" s="8">
        <f>IF($B1871="","",VLOOKUP($B1871,Jogos!$A$2:$K$105,11,FALSE))</f>
        <v/>
      </c>
      <c r="I1871" s="5">
        <f>IF(OR($A1871="", $B1871="", $E1871="", $F1871="", $G1871="", $H1871=""), "",IF(AND($E1871=$G1871, $F1871=$H1871), 3, IF(SIGN($E1871-$F1871)=SIGN($G1871-$H1871), 1, 0))))</f>
        <v/>
      </c>
    </row>
    <row r="1872">
      <c r="A1872" s="5" t="inlineStr"/>
      <c r="B1872" s="5" t="inlineStr"/>
      <c r="C1872" s="5">
        <f>IF($B1872="","",VLOOKUP($B1872,Jogos!$A$2:$K$105,8,FALSE))</f>
        <v/>
      </c>
      <c r="D1872" s="5">
        <f>IF($B1872="","",VLOOKUP($B1872,Jogos!$A$2:$K$105,10,FALSE))</f>
        <v/>
      </c>
      <c r="E1872" s="5" t="inlineStr"/>
      <c r="F1872" s="5" t="inlineStr"/>
      <c r="G1872" s="8">
        <f>IF($B1872="","",VLOOKUP($B1872,Jogos!$A$2:$K$105,9,FALSE))</f>
        <v/>
      </c>
      <c r="H1872" s="8">
        <f>IF($B1872="","",VLOOKUP($B1872,Jogos!$A$2:$K$105,11,FALSE))</f>
        <v/>
      </c>
      <c r="I1872" s="5">
        <f>IF(OR($A1872="", $B1872="", $E1872="", $F1872="", $G1872="", $H1872=""), "",IF(AND($E1872=$G1872, $F1872=$H1872), 3, IF(SIGN($E1872-$F1872)=SIGN($G1872-$H1872), 1, 0))))</f>
        <v/>
      </c>
    </row>
    <row r="1873">
      <c r="A1873" s="5" t="inlineStr"/>
      <c r="B1873" s="5" t="inlineStr"/>
      <c r="C1873" s="5">
        <f>IF($B1873="","",VLOOKUP($B1873,Jogos!$A$2:$K$105,8,FALSE))</f>
        <v/>
      </c>
      <c r="D1873" s="5">
        <f>IF($B1873="","",VLOOKUP($B1873,Jogos!$A$2:$K$105,10,FALSE))</f>
        <v/>
      </c>
      <c r="E1873" s="5" t="inlineStr"/>
      <c r="F1873" s="5" t="inlineStr"/>
      <c r="G1873" s="8">
        <f>IF($B1873="","",VLOOKUP($B1873,Jogos!$A$2:$K$105,9,FALSE))</f>
        <v/>
      </c>
      <c r="H1873" s="8">
        <f>IF($B1873="","",VLOOKUP($B1873,Jogos!$A$2:$K$105,11,FALSE))</f>
        <v/>
      </c>
      <c r="I1873" s="5">
        <f>IF(OR($A1873="", $B1873="", $E1873="", $F1873="", $G1873="", $H1873=""), "",IF(AND($E1873=$G1873, $F1873=$H1873), 3, IF(SIGN($E1873-$F1873)=SIGN($G1873-$H1873), 1, 0))))</f>
        <v/>
      </c>
    </row>
    <row r="1874">
      <c r="A1874" s="5" t="inlineStr"/>
      <c r="B1874" s="5" t="inlineStr"/>
      <c r="C1874" s="5">
        <f>IF($B1874="","",VLOOKUP($B1874,Jogos!$A$2:$K$105,8,FALSE))</f>
        <v/>
      </c>
      <c r="D1874" s="5">
        <f>IF($B1874="","",VLOOKUP($B1874,Jogos!$A$2:$K$105,10,FALSE))</f>
        <v/>
      </c>
      <c r="E1874" s="5" t="inlineStr"/>
      <c r="F1874" s="5" t="inlineStr"/>
      <c r="G1874" s="8">
        <f>IF($B1874="","",VLOOKUP($B1874,Jogos!$A$2:$K$105,9,FALSE))</f>
        <v/>
      </c>
      <c r="H1874" s="8">
        <f>IF($B1874="","",VLOOKUP($B1874,Jogos!$A$2:$K$105,11,FALSE))</f>
        <v/>
      </c>
      <c r="I1874" s="5">
        <f>IF(OR($A1874="", $B1874="", $E1874="", $F1874="", $G1874="", $H1874=""), "",IF(AND($E1874=$G1874, $F1874=$H1874), 3, IF(SIGN($E1874-$F1874)=SIGN($G1874-$H1874), 1, 0))))</f>
        <v/>
      </c>
    </row>
    <row r="1875">
      <c r="A1875" s="5" t="inlineStr"/>
      <c r="B1875" s="5" t="inlineStr"/>
      <c r="C1875" s="5">
        <f>IF($B1875="","",VLOOKUP($B1875,Jogos!$A$2:$K$105,8,FALSE))</f>
        <v/>
      </c>
      <c r="D1875" s="5">
        <f>IF($B1875="","",VLOOKUP($B1875,Jogos!$A$2:$K$105,10,FALSE))</f>
        <v/>
      </c>
      <c r="E1875" s="5" t="inlineStr"/>
      <c r="F1875" s="5" t="inlineStr"/>
      <c r="G1875" s="8">
        <f>IF($B1875="","",VLOOKUP($B1875,Jogos!$A$2:$K$105,9,FALSE))</f>
        <v/>
      </c>
      <c r="H1875" s="8">
        <f>IF($B1875="","",VLOOKUP($B1875,Jogos!$A$2:$K$105,11,FALSE))</f>
        <v/>
      </c>
      <c r="I1875" s="5">
        <f>IF(OR($A1875="", $B1875="", $E1875="", $F1875="", $G1875="", $H1875=""), "",IF(AND($E1875=$G1875, $F1875=$H1875), 3, IF(SIGN($E1875-$F1875)=SIGN($G1875-$H1875), 1, 0))))</f>
        <v/>
      </c>
    </row>
    <row r="1876">
      <c r="A1876" s="5" t="inlineStr"/>
      <c r="B1876" s="5" t="inlineStr"/>
      <c r="C1876" s="5">
        <f>IF($B1876="","",VLOOKUP($B1876,Jogos!$A$2:$K$105,8,FALSE))</f>
        <v/>
      </c>
      <c r="D1876" s="5">
        <f>IF($B1876="","",VLOOKUP($B1876,Jogos!$A$2:$K$105,10,FALSE))</f>
        <v/>
      </c>
      <c r="E1876" s="5" t="inlineStr"/>
      <c r="F1876" s="5" t="inlineStr"/>
      <c r="G1876" s="8">
        <f>IF($B1876="","",VLOOKUP($B1876,Jogos!$A$2:$K$105,9,FALSE))</f>
        <v/>
      </c>
      <c r="H1876" s="8">
        <f>IF($B1876="","",VLOOKUP($B1876,Jogos!$A$2:$K$105,11,FALSE))</f>
        <v/>
      </c>
      <c r="I1876" s="5">
        <f>IF(OR($A1876="", $B1876="", $E1876="", $F1876="", $G1876="", $H1876=""), "",IF(AND($E1876=$G1876, $F1876=$H1876), 3, IF(SIGN($E1876-$F1876)=SIGN($G1876-$H1876), 1, 0))))</f>
        <v/>
      </c>
    </row>
    <row r="1877">
      <c r="A1877" s="5" t="inlineStr"/>
      <c r="B1877" s="5" t="inlineStr"/>
      <c r="C1877" s="5">
        <f>IF($B1877="","",VLOOKUP($B1877,Jogos!$A$2:$K$105,8,FALSE))</f>
        <v/>
      </c>
      <c r="D1877" s="5">
        <f>IF($B1877="","",VLOOKUP($B1877,Jogos!$A$2:$K$105,10,FALSE))</f>
        <v/>
      </c>
      <c r="E1877" s="5" t="inlineStr"/>
      <c r="F1877" s="5" t="inlineStr"/>
      <c r="G1877" s="8">
        <f>IF($B1877="","",VLOOKUP($B1877,Jogos!$A$2:$K$105,9,FALSE))</f>
        <v/>
      </c>
      <c r="H1877" s="8">
        <f>IF($B1877="","",VLOOKUP($B1877,Jogos!$A$2:$K$105,11,FALSE))</f>
        <v/>
      </c>
      <c r="I1877" s="5">
        <f>IF(OR($A1877="", $B1877="", $E1877="", $F1877="", $G1877="", $H1877=""), "",IF(AND($E1877=$G1877, $F1877=$H1877), 3, IF(SIGN($E1877-$F1877)=SIGN($G1877-$H1877), 1, 0))))</f>
        <v/>
      </c>
    </row>
    <row r="1878">
      <c r="A1878" s="5" t="inlineStr"/>
      <c r="B1878" s="5" t="inlineStr"/>
      <c r="C1878" s="5">
        <f>IF($B1878="","",VLOOKUP($B1878,Jogos!$A$2:$K$105,8,FALSE))</f>
        <v/>
      </c>
      <c r="D1878" s="5">
        <f>IF($B1878="","",VLOOKUP($B1878,Jogos!$A$2:$K$105,10,FALSE))</f>
        <v/>
      </c>
      <c r="E1878" s="5" t="inlineStr"/>
      <c r="F1878" s="5" t="inlineStr"/>
      <c r="G1878" s="8">
        <f>IF($B1878="","",VLOOKUP($B1878,Jogos!$A$2:$K$105,9,FALSE))</f>
        <v/>
      </c>
      <c r="H1878" s="8">
        <f>IF($B1878="","",VLOOKUP($B1878,Jogos!$A$2:$K$105,11,FALSE))</f>
        <v/>
      </c>
      <c r="I1878" s="5">
        <f>IF(OR($A1878="", $B1878="", $E1878="", $F1878="", $G1878="", $H1878=""), "",IF(AND($E1878=$G1878, $F1878=$H1878), 3, IF(SIGN($E1878-$F1878)=SIGN($G1878-$H1878), 1, 0))))</f>
        <v/>
      </c>
    </row>
    <row r="1879">
      <c r="A1879" s="5" t="inlineStr"/>
      <c r="B1879" s="5" t="inlineStr"/>
      <c r="C1879" s="5">
        <f>IF($B1879="","",VLOOKUP($B1879,Jogos!$A$2:$K$105,8,FALSE))</f>
        <v/>
      </c>
      <c r="D1879" s="5">
        <f>IF($B1879="","",VLOOKUP($B1879,Jogos!$A$2:$K$105,10,FALSE))</f>
        <v/>
      </c>
      <c r="E1879" s="5" t="inlineStr"/>
      <c r="F1879" s="5" t="inlineStr"/>
      <c r="G1879" s="8">
        <f>IF($B1879="","",VLOOKUP($B1879,Jogos!$A$2:$K$105,9,FALSE))</f>
        <v/>
      </c>
      <c r="H1879" s="8">
        <f>IF($B1879="","",VLOOKUP($B1879,Jogos!$A$2:$K$105,11,FALSE))</f>
        <v/>
      </c>
      <c r="I1879" s="5">
        <f>IF(OR($A1879="", $B1879="", $E1879="", $F1879="", $G1879="", $H1879=""), "",IF(AND($E1879=$G1879, $F1879=$H1879), 3, IF(SIGN($E1879-$F1879)=SIGN($G1879-$H1879), 1, 0))))</f>
        <v/>
      </c>
    </row>
    <row r="1880">
      <c r="A1880" s="5" t="inlineStr"/>
      <c r="B1880" s="5" t="inlineStr"/>
      <c r="C1880" s="5">
        <f>IF($B1880="","",VLOOKUP($B1880,Jogos!$A$2:$K$105,8,FALSE))</f>
        <v/>
      </c>
      <c r="D1880" s="5">
        <f>IF($B1880="","",VLOOKUP($B1880,Jogos!$A$2:$K$105,10,FALSE))</f>
        <v/>
      </c>
      <c r="E1880" s="5" t="inlineStr"/>
      <c r="F1880" s="5" t="inlineStr"/>
      <c r="G1880" s="8">
        <f>IF($B1880="","",VLOOKUP($B1880,Jogos!$A$2:$K$105,9,FALSE))</f>
        <v/>
      </c>
      <c r="H1880" s="8">
        <f>IF($B1880="","",VLOOKUP($B1880,Jogos!$A$2:$K$105,11,FALSE))</f>
        <v/>
      </c>
      <c r="I1880" s="5">
        <f>IF(OR($A1880="", $B1880="", $E1880="", $F1880="", $G1880="", $H1880=""), "",IF(AND($E1880=$G1880, $F1880=$H1880), 3, IF(SIGN($E1880-$F1880)=SIGN($G1880-$H1880), 1, 0))))</f>
        <v/>
      </c>
    </row>
    <row r="1881">
      <c r="A1881" s="5" t="inlineStr"/>
      <c r="B1881" s="5" t="inlineStr"/>
      <c r="C1881" s="5">
        <f>IF($B1881="","",VLOOKUP($B1881,Jogos!$A$2:$K$105,8,FALSE))</f>
        <v/>
      </c>
      <c r="D1881" s="5">
        <f>IF($B1881="","",VLOOKUP($B1881,Jogos!$A$2:$K$105,10,FALSE))</f>
        <v/>
      </c>
      <c r="E1881" s="5" t="inlineStr"/>
      <c r="F1881" s="5" t="inlineStr"/>
      <c r="G1881" s="8">
        <f>IF($B1881="","",VLOOKUP($B1881,Jogos!$A$2:$K$105,9,FALSE))</f>
        <v/>
      </c>
      <c r="H1881" s="8">
        <f>IF($B1881="","",VLOOKUP($B1881,Jogos!$A$2:$K$105,11,FALSE))</f>
        <v/>
      </c>
      <c r="I1881" s="5">
        <f>IF(OR($A1881="", $B1881="", $E1881="", $F1881="", $G1881="", $H1881=""), "",IF(AND($E1881=$G1881, $F1881=$H1881), 3, IF(SIGN($E1881-$F1881)=SIGN($G1881-$H1881), 1, 0))))</f>
        <v/>
      </c>
    </row>
    <row r="1882">
      <c r="A1882" s="5" t="inlineStr"/>
      <c r="B1882" s="5" t="inlineStr"/>
      <c r="C1882" s="5">
        <f>IF($B1882="","",VLOOKUP($B1882,Jogos!$A$2:$K$105,8,FALSE))</f>
        <v/>
      </c>
      <c r="D1882" s="5">
        <f>IF($B1882="","",VLOOKUP($B1882,Jogos!$A$2:$K$105,10,FALSE))</f>
        <v/>
      </c>
      <c r="E1882" s="5" t="inlineStr"/>
      <c r="F1882" s="5" t="inlineStr"/>
      <c r="G1882" s="8">
        <f>IF($B1882="","",VLOOKUP($B1882,Jogos!$A$2:$K$105,9,FALSE))</f>
        <v/>
      </c>
      <c r="H1882" s="8">
        <f>IF($B1882="","",VLOOKUP($B1882,Jogos!$A$2:$K$105,11,FALSE))</f>
        <v/>
      </c>
      <c r="I1882" s="5">
        <f>IF(OR($A1882="", $B1882="", $E1882="", $F1882="", $G1882="", $H1882=""), "",IF(AND($E1882=$G1882, $F1882=$H1882), 3, IF(SIGN($E1882-$F1882)=SIGN($G1882-$H1882), 1, 0))))</f>
        <v/>
      </c>
    </row>
    <row r="1883">
      <c r="A1883" s="5" t="inlineStr"/>
      <c r="B1883" s="5" t="inlineStr"/>
      <c r="C1883" s="5">
        <f>IF($B1883="","",VLOOKUP($B1883,Jogos!$A$2:$K$105,8,FALSE))</f>
        <v/>
      </c>
      <c r="D1883" s="5">
        <f>IF($B1883="","",VLOOKUP($B1883,Jogos!$A$2:$K$105,10,FALSE))</f>
        <v/>
      </c>
      <c r="E1883" s="5" t="inlineStr"/>
      <c r="F1883" s="5" t="inlineStr"/>
      <c r="G1883" s="8">
        <f>IF($B1883="","",VLOOKUP($B1883,Jogos!$A$2:$K$105,9,FALSE))</f>
        <v/>
      </c>
      <c r="H1883" s="8">
        <f>IF($B1883="","",VLOOKUP($B1883,Jogos!$A$2:$K$105,11,FALSE))</f>
        <v/>
      </c>
      <c r="I1883" s="5">
        <f>IF(OR($A1883="", $B1883="", $E1883="", $F1883="", $G1883="", $H1883=""), "",IF(AND($E1883=$G1883, $F1883=$H1883), 3, IF(SIGN($E1883-$F1883)=SIGN($G1883-$H1883), 1, 0))))</f>
        <v/>
      </c>
    </row>
    <row r="1884">
      <c r="A1884" s="5" t="inlineStr"/>
      <c r="B1884" s="5" t="inlineStr"/>
      <c r="C1884" s="5">
        <f>IF($B1884="","",VLOOKUP($B1884,Jogos!$A$2:$K$105,8,FALSE))</f>
        <v/>
      </c>
      <c r="D1884" s="5">
        <f>IF($B1884="","",VLOOKUP($B1884,Jogos!$A$2:$K$105,10,FALSE))</f>
        <v/>
      </c>
      <c r="E1884" s="5" t="inlineStr"/>
      <c r="F1884" s="5" t="inlineStr"/>
      <c r="G1884" s="8">
        <f>IF($B1884="","",VLOOKUP($B1884,Jogos!$A$2:$K$105,9,FALSE))</f>
        <v/>
      </c>
      <c r="H1884" s="8">
        <f>IF($B1884="","",VLOOKUP($B1884,Jogos!$A$2:$K$105,11,FALSE))</f>
        <v/>
      </c>
      <c r="I1884" s="5">
        <f>IF(OR($A1884="", $B1884="", $E1884="", $F1884="", $G1884="", $H1884=""), "",IF(AND($E1884=$G1884, $F1884=$H1884), 3, IF(SIGN($E1884-$F1884)=SIGN($G1884-$H1884), 1, 0))))</f>
        <v/>
      </c>
    </row>
    <row r="1885">
      <c r="A1885" s="5" t="inlineStr"/>
      <c r="B1885" s="5" t="inlineStr"/>
      <c r="C1885" s="5">
        <f>IF($B1885="","",VLOOKUP($B1885,Jogos!$A$2:$K$105,8,FALSE))</f>
        <v/>
      </c>
      <c r="D1885" s="5">
        <f>IF($B1885="","",VLOOKUP($B1885,Jogos!$A$2:$K$105,10,FALSE))</f>
        <v/>
      </c>
      <c r="E1885" s="5" t="inlineStr"/>
      <c r="F1885" s="5" t="inlineStr"/>
      <c r="G1885" s="8">
        <f>IF($B1885="","",VLOOKUP($B1885,Jogos!$A$2:$K$105,9,FALSE))</f>
        <v/>
      </c>
      <c r="H1885" s="8">
        <f>IF($B1885="","",VLOOKUP($B1885,Jogos!$A$2:$K$105,11,FALSE))</f>
        <v/>
      </c>
      <c r="I1885" s="5">
        <f>IF(OR($A1885="", $B1885="", $E1885="", $F1885="", $G1885="", $H1885=""), "",IF(AND($E1885=$G1885, $F1885=$H1885), 3, IF(SIGN($E1885-$F1885)=SIGN($G1885-$H1885), 1, 0))))</f>
        <v/>
      </c>
    </row>
    <row r="1886">
      <c r="A1886" s="5" t="inlineStr"/>
      <c r="B1886" s="5" t="inlineStr"/>
      <c r="C1886" s="5">
        <f>IF($B1886="","",VLOOKUP($B1886,Jogos!$A$2:$K$105,8,FALSE))</f>
        <v/>
      </c>
      <c r="D1886" s="5">
        <f>IF($B1886="","",VLOOKUP($B1886,Jogos!$A$2:$K$105,10,FALSE))</f>
        <v/>
      </c>
      <c r="E1886" s="5" t="inlineStr"/>
      <c r="F1886" s="5" t="inlineStr"/>
      <c r="G1886" s="8">
        <f>IF($B1886="","",VLOOKUP($B1886,Jogos!$A$2:$K$105,9,FALSE))</f>
        <v/>
      </c>
      <c r="H1886" s="8">
        <f>IF($B1886="","",VLOOKUP($B1886,Jogos!$A$2:$K$105,11,FALSE))</f>
        <v/>
      </c>
      <c r="I1886" s="5">
        <f>IF(OR($A1886="", $B1886="", $E1886="", $F1886="", $G1886="", $H1886=""), "",IF(AND($E1886=$G1886, $F1886=$H1886), 3, IF(SIGN($E1886-$F1886)=SIGN($G1886-$H1886), 1, 0))))</f>
        <v/>
      </c>
    </row>
    <row r="1887">
      <c r="A1887" s="5" t="inlineStr"/>
      <c r="B1887" s="5" t="inlineStr"/>
      <c r="C1887" s="5">
        <f>IF($B1887="","",VLOOKUP($B1887,Jogos!$A$2:$K$105,8,FALSE))</f>
        <v/>
      </c>
      <c r="D1887" s="5">
        <f>IF($B1887="","",VLOOKUP($B1887,Jogos!$A$2:$K$105,10,FALSE))</f>
        <v/>
      </c>
      <c r="E1887" s="5" t="inlineStr"/>
      <c r="F1887" s="5" t="inlineStr"/>
      <c r="G1887" s="8">
        <f>IF($B1887="","",VLOOKUP($B1887,Jogos!$A$2:$K$105,9,FALSE))</f>
        <v/>
      </c>
      <c r="H1887" s="8">
        <f>IF($B1887="","",VLOOKUP($B1887,Jogos!$A$2:$K$105,11,FALSE))</f>
        <v/>
      </c>
      <c r="I1887" s="5">
        <f>IF(OR($A1887="", $B1887="", $E1887="", $F1887="", $G1887="", $H1887=""), "",IF(AND($E1887=$G1887, $F1887=$H1887), 3, IF(SIGN($E1887-$F1887)=SIGN($G1887-$H1887), 1, 0))))</f>
        <v/>
      </c>
    </row>
    <row r="1888">
      <c r="A1888" s="5" t="inlineStr"/>
      <c r="B1888" s="5" t="inlineStr"/>
      <c r="C1888" s="5">
        <f>IF($B1888="","",VLOOKUP($B1888,Jogos!$A$2:$K$105,8,FALSE))</f>
        <v/>
      </c>
      <c r="D1888" s="5">
        <f>IF($B1888="","",VLOOKUP($B1888,Jogos!$A$2:$K$105,10,FALSE))</f>
        <v/>
      </c>
      <c r="E1888" s="5" t="inlineStr"/>
      <c r="F1888" s="5" t="inlineStr"/>
      <c r="G1888" s="8">
        <f>IF($B1888="","",VLOOKUP($B1888,Jogos!$A$2:$K$105,9,FALSE))</f>
        <v/>
      </c>
      <c r="H1888" s="8">
        <f>IF($B1888="","",VLOOKUP($B1888,Jogos!$A$2:$K$105,11,FALSE))</f>
        <v/>
      </c>
      <c r="I1888" s="5">
        <f>IF(OR($A1888="", $B1888="", $E1888="", $F1888="", $G1888="", $H1888=""), "",IF(AND($E1888=$G1888, $F1888=$H1888), 3, IF(SIGN($E1888-$F1888)=SIGN($G1888-$H1888), 1, 0))))</f>
        <v/>
      </c>
    </row>
    <row r="1889">
      <c r="A1889" s="5" t="inlineStr"/>
      <c r="B1889" s="5" t="inlineStr"/>
      <c r="C1889" s="5">
        <f>IF($B1889="","",VLOOKUP($B1889,Jogos!$A$2:$K$105,8,FALSE))</f>
        <v/>
      </c>
      <c r="D1889" s="5">
        <f>IF($B1889="","",VLOOKUP($B1889,Jogos!$A$2:$K$105,10,FALSE))</f>
        <v/>
      </c>
      <c r="E1889" s="5" t="inlineStr"/>
      <c r="F1889" s="5" t="inlineStr"/>
      <c r="G1889" s="8">
        <f>IF($B1889="","",VLOOKUP($B1889,Jogos!$A$2:$K$105,9,FALSE))</f>
        <v/>
      </c>
      <c r="H1889" s="8">
        <f>IF($B1889="","",VLOOKUP($B1889,Jogos!$A$2:$K$105,11,FALSE))</f>
        <v/>
      </c>
      <c r="I1889" s="5">
        <f>IF(OR($A1889="", $B1889="", $E1889="", $F1889="", $G1889="", $H1889=""), "",IF(AND($E1889=$G1889, $F1889=$H1889), 3, IF(SIGN($E1889-$F1889)=SIGN($G1889-$H1889), 1, 0))))</f>
        <v/>
      </c>
    </row>
    <row r="1890">
      <c r="A1890" s="5" t="inlineStr"/>
      <c r="B1890" s="5" t="inlineStr"/>
      <c r="C1890" s="5">
        <f>IF($B1890="","",VLOOKUP($B1890,Jogos!$A$2:$K$105,8,FALSE))</f>
        <v/>
      </c>
      <c r="D1890" s="5">
        <f>IF($B1890="","",VLOOKUP($B1890,Jogos!$A$2:$K$105,10,FALSE))</f>
        <v/>
      </c>
      <c r="E1890" s="5" t="inlineStr"/>
      <c r="F1890" s="5" t="inlineStr"/>
      <c r="G1890" s="8">
        <f>IF($B1890="","",VLOOKUP($B1890,Jogos!$A$2:$K$105,9,FALSE))</f>
        <v/>
      </c>
      <c r="H1890" s="8">
        <f>IF($B1890="","",VLOOKUP($B1890,Jogos!$A$2:$K$105,11,FALSE))</f>
        <v/>
      </c>
      <c r="I1890" s="5">
        <f>IF(OR($A1890="", $B1890="", $E1890="", $F1890="", $G1890="", $H1890=""), "",IF(AND($E1890=$G1890, $F1890=$H1890), 3, IF(SIGN($E1890-$F1890)=SIGN($G1890-$H1890), 1, 0))))</f>
        <v/>
      </c>
    </row>
    <row r="1891">
      <c r="A1891" s="5" t="inlineStr"/>
      <c r="B1891" s="5" t="inlineStr"/>
      <c r="C1891" s="5">
        <f>IF($B1891="","",VLOOKUP($B1891,Jogos!$A$2:$K$105,8,FALSE))</f>
        <v/>
      </c>
      <c r="D1891" s="5">
        <f>IF($B1891="","",VLOOKUP($B1891,Jogos!$A$2:$K$105,10,FALSE))</f>
        <v/>
      </c>
      <c r="E1891" s="5" t="inlineStr"/>
      <c r="F1891" s="5" t="inlineStr"/>
      <c r="G1891" s="8">
        <f>IF($B1891="","",VLOOKUP($B1891,Jogos!$A$2:$K$105,9,FALSE))</f>
        <v/>
      </c>
      <c r="H1891" s="8">
        <f>IF($B1891="","",VLOOKUP($B1891,Jogos!$A$2:$K$105,11,FALSE))</f>
        <v/>
      </c>
      <c r="I1891" s="5">
        <f>IF(OR($A1891="", $B1891="", $E1891="", $F1891="", $G1891="", $H1891=""), "",IF(AND($E1891=$G1891, $F1891=$H1891), 3, IF(SIGN($E1891-$F1891)=SIGN($G1891-$H1891), 1, 0))))</f>
        <v/>
      </c>
    </row>
    <row r="1892">
      <c r="A1892" s="5" t="inlineStr"/>
      <c r="B1892" s="5" t="inlineStr"/>
      <c r="C1892" s="5">
        <f>IF($B1892="","",VLOOKUP($B1892,Jogos!$A$2:$K$105,8,FALSE))</f>
        <v/>
      </c>
      <c r="D1892" s="5">
        <f>IF($B1892="","",VLOOKUP($B1892,Jogos!$A$2:$K$105,10,FALSE))</f>
        <v/>
      </c>
      <c r="E1892" s="5" t="inlineStr"/>
      <c r="F1892" s="5" t="inlineStr"/>
      <c r="G1892" s="8">
        <f>IF($B1892="","",VLOOKUP($B1892,Jogos!$A$2:$K$105,9,FALSE))</f>
        <v/>
      </c>
      <c r="H1892" s="8">
        <f>IF($B1892="","",VLOOKUP($B1892,Jogos!$A$2:$K$105,11,FALSE))</f>
        <v/>
      </c>
      <c r="I1892" s="5">
        <f>IF(OR($A1892="", $B1892="", $E1892="", $F1892="", $G1892="", $H1892=""), "",IF(AND($E1892=$G1892, $F1892=$H1892), 3, IF(SIGN($E1892-$F1892)=SIGN($G1892-$H1892), 1, 0))))</f>
        <v/>
      </c>
    </row>
    <row r="1893">
      <c r="A1893" s="5" t="inlineStr"/>
      <c r="B1893" s="5" t="inlineStr"/>
      <c r="C1893" s="5">
        <f>IF($B1893="","",VLOOKUP($B1893,Jogos!$A$2:$K$105,8,FALSE))</f>
        <v/>
      </c>
      <c r="D1893" s="5">
        <f>IF($B1893="","",VLOOKUP($B1893,Jogos!$A$2:$K$105,10,FALSE))</f>
        <v/>
      </c>
      <c r="E1893" s="5" t="inlineStr"/>
      <c r="F1893" s="5" t="inlineStr"/>
      <c r="G1893" s="8">
        <f>IF($B1893="","",VLOOKUP($B1893,Jogos!$A$2:$K$105,9,FALSE))</f>
        <v/>
      </c>
      <c r="H1893" s="8">
        <f>IF($B1893="","",VLOOKUP($B1893,Jogos!$A$2:$K$105,11,FALSE))</f>
        <v/>
      </c>
      <c r="I1893" s="5">
        <f>IF(OR($A1893="", $B1893="", $E1893="", $F1893="", $G1893="", $H1893=""), "",IF(AND($E1893=$G1893, $F1893=$H1893), 3, IF(SIGN($E1893-$F1893)=SIGN($G1893-$H1893), 1, 0))))</f>
        <v/>
      </c>
    </row>
    <row r="1894">
      <c r="A1894" s="5" t="inlineStr"/>
      <c r="B1894" s="5" t="inlineStr"/>
      <c r="C1894" s="5">
        <f>IF($B1894="","",VLOOKUP($B1894,Jogos!$A$2:$K$105,8,FALSE))</f>
        <v/>
      </c>
      <c r="D1894" s="5">
        <f>IF($B1894="","",VLOOKUP($B1894,Jogos!$A$2:$K$105,10,FALSE))</f>
        <v/>
      </c>
      <c r="E1894" s="5" t="inlineStr"/>
      <c r="F1894" s="5" t="inlineStr"/>
      <c r="G1894" s="8">
        <f>IF($B1894="","",VLOOKUP($B1894,Jogos!$A$2:$K$105,9,FALSE))</f>
        <v/>
      </c>
      <c r="H1894" s="8">
        <f>IF($B1894="","",VLOOKUP($B1894,Jogos!$A$2:$K$105,11,FALSE))</f>
        <v/>
      </c>
      <c r="I1894" s="5">
        <f>IF(OR($A1894="", $B1894="", $E1894="", $F1894="", $G1894="", $H1894=""), "",IF(AND($E1894=$G1894, $F1894=$H1894), 3, IF(SIGN($E1894-$F1894)=SIGN($G1894-$H1894), 1, 0))))</f>
        <v/>
      </c>
    </row>
    <row r="1895">
      <c r="A1895" s="5" t="inlineStr"/>
      <c r="B1895" s="5" t="inlineStr"/>
      <c r="C1895" s="5">
        <f>IF($B1895="","",VLOOKUP($B1895,Jogos!$A$2:$K$105,8,FALSE))</f>
        <v/>
      </c>
      <c r="D1895" s="5">
        <f>IF($B1895="","",VLOOKUP($B1895,Jogos!$A$2:$K$105,10,FALSE))</f>
        <v/>
      </c>
      <c r="E1895" s="5" t="inlineStr"/>
      <c r="F1895" s="5" t="inlineStr"/>
      <c r="G1895" s="8">
        <f>IF($B1895="","",VLOOKUP($B1895,Jogos!$A$2:$K$105,9,FALSE))</f>
        <v/>
      </c>
      <c r="H1895" s="8">
        <f>IF($B1895="","",VLOOKUP($B1895,Jogos!$A$2:$K$105,11,FALSE))</f>
        <v/>
      </c>
      <c r="I1895" s="5">
        <f>IF(OR($A1895="", $B1895="", $E1895="", $F1895="", $G1895="", $H1895=""), "",IF(AND($E1895=$G1895, $F1895=$H1895), 3, IF(SIGN($E1895-$F1895)=SIGN($G1895-$H1895), 1, 0))))</f>
        <v/>
      </c>
    </row>
    <row r="1896">
      <c r="A1896" s="5" t="inlineStr"/>
      <c r="B1896" s="5" t="inlineStr"/>
      <c r="C1896" s="5">
        <f>IF($B1896="","",VLOOKUP($B1896,Jogos!$A$2:$K$105,8,FALSE))</f>
        <v/>
      </c>
      <c r="D1896" s="5">
        <f>IF($B1896="","",VLOOKUP($B1896,Jogos!$A$2:$K$105,10,FALSE))</f>
        <v/>
      </c>
      <c r="E1896" s="5" t="inlineStr"/>
      <c r="F1896" s="5" t="inlineStr"/>
      <c r="G1896" s="8">
        <f>IF($B1896="","",VLOOKUP($B1896,Jogos!$A$2:$K$105,9,FALSE))</f>
        <v/>
      </c>
      <c r="H1896" s="8">
        <f>IF($B1896="","",VLOOKUP($B1896,Jogos!$A$2:$K$105,11,FALSE))</f>
        <v/>
      </c>
      <c r="I1896" s="5">
        <f>IF(OR($A1896="", $B1896="", $E1896="", $F1896="", $G1896="", $H1896=""), "",IF(AND($E1896=$G1896, $F1896=$H1896), 3, IF(SIGN($E1896-$F1896)=SIGN($G1896-$H1896), 1, 0))))</f>
        <v/>
      </c>
    </row>
    <row r="1897">
      <c r="A1897" s="5" t="inlineStr"/>
      <c r="B1897" s="5" t="inlineStr"/>
      <c r="C1897" s="5">
        <f>IF($B1897="","",VLOOKUP($B1897,Jogos!$A$2:$K$105,8,FALSE))</f>
        <v/>
      </c>
      <c r="D1897" s="5">
        <f>IF($B1897="","",VLOOKUP($B1897,Jogos!$A$2:$K$105,10,FALSE))</f>
        <v/>
      </c>
      <c r="E1897" s="5" t="inlineStr"/>
      <c r="F1897" s="5" t="inlineStr"/>
      <c r="G1897" s="8">
        <f>IF($B1897="","",VLOOKUP($B1897,Jogos!$A$2:$K$105,9,FALSE))</f>
        <v/>
      </c>
      <c r="H1897" s="8">
        <f>IF($B1897="","",VLOOKUP($B1897,Jogos!$A$2:$K$105,11,FALSE))</f>
        <v/>
      </c>
      <c r="I1897" s="5">
        <f>IF(OR($A1897="", $B1897="", $E1897="", $F1897="", $G1897="", $H1897=""), "",IF(AND($E1897=$G1897, $F1897=$H1897), 3, IF(SIGN($E1897-$F1897)=SIGN($G1897-$H1897), 1, 0))))</f>
        <v/>
      </c>
    </row>
    <row r="1898">
      <c r="A1898" s="5" t="inlineStr"/>
      <c r="B1898" s="5" t="inlineStr"/>
      <c r="C1898" s="5">
        <f>IF($B1898="","",VLOOKUP($B1898,Jogos!$A$2:$K$105,8,FALSE))</f>
        <v/>
      </c>
      <c r="D1898" s="5">
        <f>IF($B1898="","",VLOOKUP($B1898,Jogos!$A$2:$K$105,10,FALSE))</f>
        <v/>
      </c>
      <c r="E1898" s="5" t="inlineStr"/>
      <c r="F1898" s="5" t="inlineStr"/>
      <c r="G1898" s="8">
        <f>IF($B1898="","",VLOOKUP($B1898,Jogos!$A$2:$K$105,9,FALSE))</f>
        <v/>
      </c>
      <c r="H1898" s="8">
        <f>IF($B1898="","",VLOOKUP($B1898,Jogos!$A$2:$K$105,11,FALSE))</f>
        <v/>
      </c>
      <c r="I1898" s="5">
        <f>IF(OR($A1898="", $B1898="", $E1898="", $F1898="", $G1898="", $H1898=""), "",IF(AND($E1898=$G1898, $F1898=$H1898), 3, IF(SIGN($E1898-$F1898)=SIGN($G1898-$H1898), 1, 0))))</f>
        <v/>
      </c>
    </row>
    <row r="1899">
      <c r="A1899" s="5" t="inlineStr"/>
      <c r="B1899" s="5" t="inlineStr"/>
      <c r="C1899" s="5">
        <f>IF($B1899="","",VLOOKUP($B1899,Jogos!$A$2:$K$105,8,FALSE))</f>
        <v/>
      </c>
      <c r="D1899" s="5">
        <f>IF($B1899="","",VLOOKUP($B1899,Jogos!$A$2:$K$105,10,FALSE))</f>
        <v/>
      </c>
      <c r="E1899" s="5" t="inlineStr"/>
      <c r="F1899" s="5" t="inlineStr"/>
      <c r="G1899" s="8">
        <f>IF($B1899="","",VLOOKUP($B1899,Jogos!$A$2:$K$105,9,FALSE))</f>
        <v/>
      </c>
      <c r="H1899" s="8">
        <f>IF($B1899="","",VLOOKUP($B1899,Jogos!$A$2:$K$105,11,FALSE))</f>
        <v/>
      </c>
      <c r="I1899" s="5">
        <f>IF(OR($A1899="", $B1899="", $E1899="", $F1899="", $G1899="", $H1899=""), "",IF(AND($E1899=$G1899, $F1899=$H1899), 3, IF(SIGN($E1899-$F1899)=SIGN($G1899-$H1899), 1, 0))))</f>
        <v/>
      </c>
    </row>
    <row r="1900">
      <c r="A1900" s="5" t="inlineStr"/>
      <c r="B1900" s="5" t="inlineStr"/>
      <c r="C1900" s="5">
        <f>IF($B1900="","",VLOOKUP($B1900,Jogos!$A$2:$K$105,8,FALSE))</f>
        <v/>
      </c>
      <c r="D1900" s="5">
        <f>IF($B1900="","",VLOOKUP($B1900,Jogos!$A$2:$K$105,10,FALSE))</f>
        <v/>
      </c>
      <c r="E1900" s="5" t="inlineStr"/>
      <c r="F1900" s="5" t="inlineStr"/>
      <c r="G1900" s="8">
        <f>IF($B1900="","",VLOOKUP($B1900,Jogos!$A$2:$K$105,9,FALSE))</f>
        <v/>
      </c>
      <c r="H1900" s="8">
        <f>IF($B1900="","",VLOOKUP($B1900,Jogos!$A$2:$K$105,11,FALSE))</f>
        <v/>
      </c>
      <c r="I1900" s="5">
        <f>IF(OR($A1900="", $B1900="", $E1900="", $F1900="", $G1900="", $H1900=""), "",IF(AND($E1900=$G1900, $F1900=$H1900), 3, IF(SIGN($E1900-$F1900)=SIGN($G1900-$H1900), 1, 0))))</f>
        <v/>
      </c>
    </row>
    <row r="1901">
      <c r="A1901" s="5" t="inlineStr"/>
      <c r="B1901" s="5" t="inlineStr"/>
      <c r="C1901" s="5">
        <f>IF($B1901="","",VLOOKUP($B1901,Jogos!$A$2:$K$105,8,FALSE))</f>
        <v/>
      </c>
      <c r="D1901" s="5">
        <f>IF($B1901="","",VLOOKUP($B1901,Jogos!$A$2:$K$105,10,FALSE))</f>
        <v/>
      </c>
      <c r="E1901" s="5" t="inlineStr"/>
      <c r="F1901" s="5" t="inlineStr"/>
      <c r="G1901" s="8">
        <f>IF($B1901="","",VLOOKUP($B1901,Jogos!$A$2:$K$105,9,FALSE))</f>
        <v/>
      </c>
      <c r="H1901" s="8">
        <f>IF($B1901="","",VLOOKUP($B1901,Jogos!$A$2:$K$105,11,FALSE))</f>
        <v/>
      </c>
      <c r="I1901" s="5">
        <f>IF(OR($A1901="", $B1901="", $E1901="", $F1901="", $G1901="", $H1901=""), "",IF(AND($E1901=$G1901, $F1901=$H1901), 3, IF(SIGN($E1901-$F1901)=SIGN($G1901-$H1901), 1, 0))))</f>
        <v/>
      </c>
    </row>
    <row r="1902">
      <c r="A1902" s="5" t="inlineStr"/>
      <c r="B1902" s="5" t="inlineStr"/>
      <c r="C1902" s="5">
        <f>IF($B1902="","",VLOOKUP($B1902,Jogos!$A$2:$K$105,8,FALSE))</f>
        <v/>
      </c>
      <c r="D1902" s="5">
        <f>IF($B1902="","",VLOOKUP($B1902,Jogos!$A$2:$K$105,10,FALSE))</f>
        <v/>
      </c>
      <c r="E1902" s="5" t="inlineStr"/>
      <c r="F1902" s="5" t="inlineStr"/>
      <c r="G1902" s="8">
        <f>IF($B1902="","",VLOOKUP($B1902,Jogos!$A$2:$K$105,9,FALSE))</f>
        <v/>
      </c>
      <c r="H1902" s="8">
        <f>IF($B1902="","",VLOOKUP($B1902,Jogos!$A$2:$K$105,11,FALSE))</f>
        <v/>
      </c>
      <c r="I1902" s="5">
        <f>IF(OR($A1902="", $B1902="", $E1902="", $F1902="", $G1902="", $H1902=""), "",IF(AND($E1902=$G1902, $F1902=$H1902), 3, IF(SIGN($E1902-$F1902)=SIGN($G1902-$H1902), 1, 0))))</f>
        <v/>
      </c>
    </row>
    <row r="1903">
      <c r="A1903" s="5" t="inlineStr"/>
      <c r="B1903" s="5" t="inlineStr"/>
      <c r="C1903" s="5">
        <f>IF($B1903="","",VLOOKUP($B1903,Jogos!$A$2:$K$105,8,FALSE))</f>
        <v/>
      </c>
      <c r="D1903" s="5">
        <f>IF($B1903="","",VLOOKUP($B1903,Jogos!$A$2:$K$105,10,FALSE))</f>
        <v/>
      </c>
      <c r="E1903" s="5" t="inlineStr"/>
      <c r="F1903" s="5" t="inlineStr"/>
      <c r="G1903" s="8">
        <f>IF($B1903="","",VLOOKUP($B1903,Jogos!$A$2:$K$105,9,FALSE))</f>
        <v/>
      </c>
      <c r="H1903" s="8">
        <f>IF($B1903="","",VLOOKUP($B1903,Jogos!$A$2:$K$105,11,FALSE))</f>
        <v/>
      </c>
      <c r="I1903" s="5">
        <f>IF(OR($A1903="", $B1903="", $E1903="", $F1903="", $G1903="", $H1903=""), "",IF(AND($E1903=$G1903, $F1903=$H1903), 3, IF(SIGN($E1903-$F1903)=SIGN($G1903-$H1903), 1, 0))))</f>
        <v/>
      </c>
    </row>
    <row r="1904">
      <c r="A1904" s="5" t="inlineStr"/>
      <c r="B1904" s="5" t="inlineStr"/>
      <c r="C1904" s="5">
        <f>IF($B1904="","",VLOOKUP($B1904,Jogos!$A$2:$K$105,8,FALSE))</f>
        <v/>
      </c>
      <c r="D1904" s="5">
        <f>IF($B1904="","",VLOOKUP($B1904,Jogos!$A$2:$K$105,10,FALSE))</f>
        <v/>
      </c>
      <c r="E1904" s="5" t="inlineStr"/>
      <c r="F1904" s="5" t="inlineStr"/>
      <c r="G1904" s="8">
        <f>IF($B1904="","",VLOOKUP($B1904,Jogos!$A$2:$K$105,9,FALSE))</f>
        <v/>
      </c>
      <c r="H1904" s="8">
        <f>IF($B1904="","",VLOOKUP($B1904,Jogos!$A$2:$K$105,11,FALSE))</f>
        <v/>
      </c>
      <c r="I1904" s="5">
        <f>IF(OR($A1904="", $B1904="", $E1904="", $F1904="", $G1904="", $H1904=""), "",IF(AND($E1904=$G1904, $F1904=$H1904), 3, IF(SIGN($E1904-$F1904)=SIGN($G1904-$H1904), 1, 0))))</f>
        <v/>
      </c>
    </row>
    <row r="1905">
      <c r="A1905" s="5" t="inlineStr"/>
      <c r="B1905" s="5" t="inlineStr"/>
      <c r="C1905" s="5">
        <f>IF($B1905="","",VLOOKUP($B1905,Jogos!$A$2:$K$105,8,FALSE))</f>
        <v/>
      </c>
      <c r="D1905" s="5">
        <f>IF($B1905="","",VLOOKUP($B1905,Jogos!$A$2:$K$105,10,FALSE))</f>
        <v/>
      </c>
      <c r="E1905" s="5" t="inlineStr"/>
      <c r="F1905" s="5" t="inlineStr"/>
      <c r="G1905" s="8">
        <f>IF($B1905="","",VLOOKUP($B1905,Jogos!$A$2:$K$105,9,FALSE))</f>
        <v/>
      </c>
      <c r="H1905" s="8">
        <f>IF($B1905="","",VLOOKUP($B1905,Jogos!$A$2:$K$105,11,FALSE))</f>
        <v/>
      </c>
      <c r="I1905" s="5">
        <f>IF(OR($A1905="", $B1905="", $E1905="", $F1905="", $G1905="", $H1905=""), "",IF(AND($E1905=$G1905, $F1905=$H1905), 3, IF(SIGN($E1905-$F1905)=SIGN($G1905-$H1905), 1, 0))))</f>
        <v/>
      </c>
    </row>
    <row r="1906">
      <c r="A1906" s="5" t="inlineStr"/>
      <c r="B1906" s="5" t="inlineStr"/>
      <c r="C1906" s="5">
        <f>IF($B1906="","",VLOOKUP($B1906,Jogos!$A$2:$K$105,8,FALSE))</f>
        <v/>
      </c>
      <c r="D1906" s="5">
        <f>IF($B1906="","",VLOOKUP($B1906,Jogos!$A$2:$K$105,10,FALSE))</f>
        <v/>
      </c>
      <c r="E1906" s="5" t="inlineStr"/>
      <c r="F1906" s="5" t="inlineStr"/>
      <c r="G1906" s="8">
        <f>IF($B1906="","",VLOOKUP($B1906,Jogos!$A$2:$K$105,9,FALSE))</f>
        <v/>
      </c>
      <c r="H1906" s="8">
        <f>IF($B1906="","",VLOOKUP($B1906,Jogos!$A$2:$K$105,11,FALSE))</f>
        <v/>
      </c>
      <c r="I1906" s="5">
        <f>IF(OR($A1906="", $B1906="", $E1906="", $F1906="", $G1906="", $H1906=""), "",IF(AND($E1906=$G1906, $F1906=$H1906), 3, IF(SIGN($E1906-$F1906)=SIGN($G1906-$H1906), 1, 0))))</f>
        <v/>
      </c>
    </row>
    <row r="1907">
      <c r="A1907" s="5" t="inlineStr"/>
      <c r="B1907" s="5" t="inlineStr"/>
      <c r="C1907" s="5">
        <f>IF($B1907="","",VLOOKUP($B1907,Jogos!$A$2:$K$105,8,FALSE))</f>
        <v/>
      </c>
      <c r="D1907" s="5">
        <f>IF($B1907="","",VLOOKUP($B1907,Jogos!$A$2:$K$105,10,FALSE))</f>
        <v/>
      </c>
      <c r="E1907" s="5" t="inlineStr"/>
      <c r="F1907" s="5" t="inlineStr"/>
      <c r="G1907" s="8">
        <f>IF($B1907="","",VLOOKUP($B1907,Jogos!$A$2:$K$105,9,FALSE))</f>
        <v/>
      </c>
      <c r="H1907" s="8">
        <f>IF($B1907="","",VLOOKUP($B1907,Jogos!$A$2:$K$105,11,FALSE))</f>
        <v/>
      </c>
      <c r="I1907" s="5">
        <f>IF(OR($A1907="", $B1907="", $E1907="", $F1907="", $G1907="", $H1907=""), "",IF(AND($E1907=$G1907, $F1907=$H1907), 3, IF(SIGN($E1907-$F1907)=SIGN($G1907-$H1907), 1, 0))))</f>
        <v/>
      </c>
    </row>
    <row r="1908">
      <c r="A1908" s="5" t="inlineStr"/>
      <c r="B1908" s="5" t="inlineStr"/>
      <c r="C1908" s="5">
        <f>IF($B1908="","",VLOOKUP($B1908,Jogos!$A$2:$K$105,8,FALSE))</f>
        <v/>
      </c>
      <c r="D1908" s="5">
        <f>IF($B1908="","",VLOOKUP($B1908,Jogos!$A$2:$K$105,10,FALSE))</f>
        <v/>
      </c>
      <c r="E1908" s="5" t="inlineStr"/>
      <c r="F1908" s="5" t="inlineStr"/>
      <c r="G1908" s="8">
        <f>IF($B1908="","",VLOOKUP($B1908,Jogos!$A$2:$K$105,9,FALSE))</f>
        <v/>
      </c>
      <c r="H1908" s="8">
        <f>IF($B1908="","",VLOOKUP($B1908,Jogos!$A$2:$K$105,11,FALSE))</f>
        <v/>
      </c>
      <c r="I1908" s="5">
        <f>IF(OR($A1908="", $B1908="", $E1908="", $F1908="", $G1908="", $H1908=""), "",IF(AND($E1908=$G1908, $F1908=$H1908), 3, IF(SIGN($E1908-$F1908)=SIGN($G1908-$H1908), 1, 0))))</f>
        <v/>
      </c>
    </row>
    <row r="1909">
      <c r="A1909" s="5" t="inlineStr"/>
      <c r="B1909" s="5" t="inlineStr"/>
      <c r="C1909" s="5">
        <f>IF($B1909="","",VLOOKUP($B1909,Jogos!$A$2:$K$105,8,FALSE))</f>
        <v/>
      </c>
      <c r="D1909" s="5">
        <f>IF($B1909="","",VLOOKUP($B1909,Jogos!$A$2:$K$105,10,FALSE))</f>
        <v/>
      </c>
      <c r="E1909" s="5" t="inlineStr"/>
      <c r="F1909" s="5" t="inlineStr"/>
      <c r="G1909" s="8">
        <f>IF($B1909="","",VLOOKUP($B1909,Jogos!$A$2:$K$105,9,FALSE))</f>
        <v/>
      </c>
      <c r="H1909" s="8">
        <f>IF($B1909="","",VLOOKUP($B1909,Jogos!$A$2:$K$105,11,FALSE))</f>
        <v/>
      </c>
      <c r="I1909" s="5">
        <f>IF(OR($A1909="", $B1909="", $E1909="", $F1909="", $G1909="", $H1909=""), "",IF(AND($E1909=$G1909, $F1909=$H1909), 3, IF(SIGN($E1909-$F1909)=SIGN($G1909-$H1909), 1, 0))))</f>
        <v/>
      </c>
    </row>
    <row r="1910">
      <c r="A1910" s="5" t="inlineStr"/>
      <c r="B1910" s="5" t="inlineStr"/>
      <c r="C1910" s="5">
        <f>IF($B1910="","",VLOOKUP($B1910,Jogos!$A$2:$K$105,8,FALSE))</f>
        <v/>
      </c>
      <c r="D1910" s="5">
        <f>IF($B1910="","",VLOOKUP($B1910,Jogos!$A$2:$K$105,10,FALSE))</f>
        <v/>
      </c>
      <c r="E1910" s="5" t="inlineStr"/>
      <c r="F1910" s="5" t="inlineStr"/>
      <c r="G1910" s="8">
        <f>IF($B1910="","",VLOOKUP($B1910,Jogos!$A$2:$K$105,9,FALSE))</f>
        <v/>
      </c>
      <c r="H1910" s="8">
        <f>IF($B1910="","",VLOOKUP($B1910,Jogos!$A$2:$K$105,11,FALSE))</f>
        <v/>
      </c>
      <c r="I1910" s="5">
        <f>IF(OR($A1910="", $B1910="", $E1910="", $F1910="", $G1910="", $H1910=""), "",IF(AND($E1910=$G1910, $F1910=$H1910), 3, IF(SIGN($E1910-$F1910)=SIGN($G1910-$H1910), 1, 0))))</f>
        <v/>
      </c>
    </row>
    <row r="1911">
      <c r="A1911" s="5" t="inlineStr"/>
      <c r="B1911" s="5" t="inlineStr"/>
      <c r="C1911" s="5">
        <f>IF($B1911="","",VLOOKUP($B1911,Jogos!$A$2:$K$105,8,FALSE))</f>
        <v/>
      </c>
      <c r="D1911" s="5">
        <f>IF($B1911="","",VLOOKUP($B1911,Jogos!$A$2:$K$105,10,FALSE))</f>
        <v/>
      </c>
      <c r="E1911" s="5" t="inlineStr"/>
      <c r="F1911" s="5" t="inlineStr"/>
      <c r="G1911" s="8">
        <f>IF($B1911="","",VLOOKUP($B1911,Jogos!$A$2:$K$105,9,FALSE))</f>
        <v/>
      </c>
      <c r="H1911" s="8">
        <f>IF($B1911="","",VLOOKUP($B1911,Jogos!$A$2:$K$105,11,FALSE))</f>
        <v/>
      </c>
      <c r="I1911" s="5">
        <f>IF(OR($A1911="", $B1911="", $E1911="", $F1911="", $G1911="", $H1911=""), "",IF(AND($E1911=$G1911, $F1911=$H1911), 3, IF(SIGN($E1911-$F1911)=SIGN($G1911-$H1911), 1, 0))))</f>
        <v/>
      </c>
    </row>
    <row r="1912">
      <c r="A1912" s="5" t="inlineStr"/>
      <c r="B1912" s="5" t="inlineStr"/>
      <c r="C1912" s="5">
        <f>IF($B1912="","",VLOOKUP($B1912,Jogos!$A$2:$K$105,8,FALSE))</f>
        <v/>
      </c>
      <c r="D1912" s="5">
        <f>IF($B1912="","",VLOOKUP($B1912,Jogos!$A$2:$K$105,10,FALSE))</f>
        <v/>
      </c>
      <c r="E1912" s="5" t="inlineStr"/>
      <c r="F1912" s="5" t="inlineStr"/>
      <c r="G1912" s="8">
        <f>IF($B1912="","",VLOOKUP($B1912,Jogos!$A$2:$K$105,9,FALSE))</f>
        <v/>
      </c>
      <c r="H1912" s="8">
        <f>IF($B1912="","",VLOOKUP($B1912,Jogos!$A$2:$K$105,11,FALSE))</f>
        <v/>
      </c>
      <c r="I1912" s="5">
        <f>IF(OR($A1912="", $B1912="", $E1912="", $F1912="", $G1912="", $H1912=""), "",IF(AND($E1912=$G1912, $F1912=$H1912), 3, IF(SIGN($E1912-$F1912)=SIGN($G1912-$H1912), 1, 0))))</f>
        <v/>
      </c>
    </row>
    <row r="1913">
      <c r="A1913" s="5" t="inlineStr"/>
      <c r="B1913" s="5" t="inlineStr"/>
      <c r="C1913" s="5">
        <f>IF($B1913="","",VLOOKUP($B1913,Jogos!$A$2:$K$105,8,FALSE))</f>
        <v/>
      </c>
      <c r="D1913" s="5">
        <f>IF($B1913="","",VLOOKUP($B1913,Jogos!$A$2:$K$105,10,FALSE))</f>
        <v/>
      </c>
      <c r="E1913" s="5" t="inlineStr"/>
      <c r="F1913" s="5" t="inlineStr"/>
      <c r="G1913" s="8">
        <f>IF($B1913="","",VLOOKUP($B1913,Jogos!$A$2:$K$105,9,FALSE))</f>
        <v/>
      </c>
      <c r="H1913" s="8">
        <f>IF($B1913="","",VLOOKUP($B1913,Jogos!$A$2:$K$105,11,FALSE))</f>
        <v/>
      </c>
      <c r="I1913" s="5">
        <f>IF(OR($A1913="", $B1913="", $E1913="", $F1913="", $G1913="", $H1913=""), "",IF(AND($E1913=$G1913, $F1913=$H1913), 3, IF(SIGN($E1913-$F1913)=SIGN($G1913-$H1913), 1, 0))))</f>
        <v/>
      </c>
    </row>
    <row r="1914">
      <c r="A1914" s="5" t="inlineStr"/>
      <c r="B1914" s="5" t="inlineStr"/>
      <c r="C1914" s="5">
        <f>IF($B1914="","",VLOOKUP($B1914,Jogos!$A$2:$K$105,8,FALSE))</f>
        <v/>
      </c>
      <c r="D1914" s="5">
        <f>IF($B1914="","",VLOOKUP($B1914,Jogos!$A$2:$K$105,10,FALSE))</f>
        <v/>
      </c>
      <c r="E1914" s="5" t="inlineStr"/>
      <c r="F1914" s="5" t="inlineStr"/>
      <c r="G1914" s="8">
        <f>IF($B1914="","",VLOOKUP($B1914,Jogos!$A$2:$K$105,9,FALSE))</f>
        <v/>
      </c>
      <c r="H1914" s="8">
        <f>IF($B1914="","",VLOOKUP($B1914,Jogos!$A$2:$K$105,11,FALSE))</f>
        <v/>
      </c>
      <c r="I1914" s="5">
        <f>IF(OR($A1914="", $B1914="", $E1914="", $F1914="", $G1914="", $H1914=""), "",IF(AND($E1914=$G1914, $F1914=$H1914), 3, IF(SIGN($E1914-$F1914)=SIGN($G1914-$H1914), 1, 0))))</f>
        <v/>
      </c>
    </row>
    <row r="1915">
      <c r="A1915" s="5" t="inlineStr"/>
      <c r="B1915" s="5" t="inlineStr"/>
      <c r="C1915" s="5">
        <f>IF($B1915="","",VLOOKUP($B1915,Jogos!$A$2:$K$105,8,FALSE))</f>
        <v/>
      </c>
      <c r="D1915" s="5">
        <f>IF($B1915="","",VLOOKUP($B1915,Jogos!$A$2:$K$105,10,FALSE))</f>
        <v/>
      </c>
      <c r="E1915" s="5" t="inlineStr"/>
      <c r="F1915" s="5" t="inlineStr"/>
      <c r="G1915" s="8">
        <f>IF($B1915="","",VLOOKUP($B1915,Jogos!$A$2:$K$105,9,FALSE))</f>
        <v/>
      </c>
      <c r="H1915" s="8">
        <f>IF($B1915="","",VLOOKUP($B1915,Jogos!$A$2:$K$105,11,FALSE))</f>
        <v/>
      </c>
      <c r="I1915" s="5">
        <f>IF(OR($A1915="", $B1915="", $E1915="", $F1915="", $G1915="", $H1915=""), "",IF(AND($E1915=$G1915, $F1915=$H1915), 3, IF(SIGN($E1915-$F1915)=SIGN($G1915-$H1915), 1, 0))))</f>
        <v/>
      </c>
    </row>
    <row r="1916">
      <c r="A1916" s="5" t="inlineStr"/>
      <c r="B1916" s="5" t="inlineStr"/>
      <c r="C1916" s="5">
        <f>IF($B1916="","",VLOOKUP($B1916,Jogos!$A$2:$K$105,8,FALSE))</f>
        <v/>
      </c>
      <c r="D1916" s="5">
        <f>IF($B1916="","",VLOOKUP($B1916,Jogos!$A$2:$K$105,10,FALSE))</f>
        <v/>
      </c>
      <c r="E1916" s="5" t="inlineStr"/>
      <c r="F1916" s="5" t="inlineStr"/>
      <c r="G1916" s="8">
        <f>IF($B1916="","",VLOOKUP($B1916,Jogos!$A$2:$K$105,9,FALSE))</f>
        <v/>
      </c>
      <c r="H1916" s="8">
        <f>IF($B1916="","",VLOOKUP($B1916,Jogos!$A$2:$K$105,11,FALSE))</f>
        <v/>
      </c>
      <c r="I1916" s="5">
        <f>IF(OR($A1916="", $B1916="", $E1916="", $F1916="", $G1916="", $H1916=""), "",IF(AND($E1916=$G1916, $F1916=$H1916), 3, IF(SIGN($E1916-$F1916)=SIGN($G1916-$H1916), 1, 0))))</f>
        <v/>
      </c>
    </row>
    <row r="1917">
      <c r="A1917" s="5" t="inlineStr"/>
      <c r="B1917" s="5" t="inlineStr"/>
      <c r="C1917" s="5">
        <f>IF($B1917="","",VLOOKUP($B1917,Jogos!$A$2:$K$105,8,FALSE))</f>
        <v/>
      </c>
      <c r="D1917" s="5">
        <f>IF($B1917="","",VLOOKUP($B1917,Jogos!$A$2:$K$105,10,FALSE))</f>
        <v/>
      </c>
      <c r="E1917" s="5" t="inlineStr"/>
      <c r="F1917" s="5" t="inlineStr"/>
      <c r="G1917" s="8">
        <f>IF($B1917="","",VLOOKUP($B1917,Jogos!$A$2:$K$105,9,FALSE))</f>
        <v/>
      </c>
      <c r="H1917" s="8">
        <f>IF($B1917="","",VLOOKUP($B1917,Jogos!$A$2:$K$105,11,FALSE))</f>
        <v/>
      </c>
      <c r="I1917" s="5">
        <f>IF(OR($A1917="", $B1917="", $E1917="", $F1917="", $G1917="", $H1917=""), "",IF(AND($E1917=$G1917, $F1917=$H1917), 3, IF(SIGN($E1917-$F1917)=SIGN($G1917-$H1917), 1, 0))))</f>
        <v/>
      </c>
    </row>
    <row r="1918">
      <c r="A1918" s="5" t="inlineStr"/>
      <c r="B1918" s="5" t="inlineStr"/>
      <c r="C1918" s="5">
        <f>IF($B1918="","",VLOOKUP($B1918,Jogos!$A$2:$K$105,8,FALSE))</f>
        <v/>
      </c>
      <c r="D1918" s="5">
        <f>IF($B1918="","",VLOOKUP($B1918,Jogos!$A$2:$K$105,10,FALSE))</f>
        <v/>
      </c>
      <c r="E1918" s="5" t="inlineStr"/>
      <c r="F1918" s="5" t="inlineStr"/>
      <c r="G1918" s="8">
        <f>IF($B1918="","",VLOOKUP($B1918,Jogos!$A$2:$K$105,9,FALSE))</f>
        <v/>
      </c>
      <c r="H1918" s="8">
        <f>IF($B1918="","",VLOOKUP($B1918,Jogos!$A$2:$K$105,11,FALSE))</f>
        <v/>
      </c>
      <c r="I1918" s="5">
        <f>IF(OR($A1918="", $B1918="", $E1918="", $F1918="", $G1918="", $H1918=""), "",IF(AND($E1918=$G1918, $F1918=$H1918), 3, IF(SIGN($E1918-$F1918)=SIGN($G1918-$H1918), 1, 0))))</f>
        <v/>
      </c>
    </row>
    <row r="1919">
      <c r="A1919" s="5" t="inlineStr"/>
      <c r="B1919" s="5" t="inlineStr"/>
      <c r="C1919" s="5">
        <f>IF($B1919="","",VLOOKUP($B1919,Jogos!$A$2:$K$105,8,FALSE))</f>
        <v/>
      </c>
      <c r="D1919" s="5">
        <f>IF($B1919="","",VLOOKUP($B1919,Jogos!$A$2:$K$105,10,FALSE))</f>
        <v/>
      </c>
      <c r="E1919" s="5" t="inlineStr"/>
      <c r="F1919" s="5" t="inlineStr"/>
      <c r="G1919" s="8">
        <f>IF($B1919="","",VLOOKUP($B1919,Jogos!$A$2:$K$105,9,FALSE))</f>
        <v/>
      </c>
      <c r="H1919" s="8">
        <f>IF($B1919="","",VLOOKUP($B1919,Jogos!$A$2:$K$105,11,FALSE))</f>
        <v/>
      </c>
      <c r="I1919" s="5">
        <f>IF(OR($A1919="", $B1919="", $E1919="", $F1919="", $G1919="", $H1919=""), "",IF(AND($E1919=$G1919, $F1919=$H1919), 3, IF(SIGN($E1919-$F1919)=SIGN($G1919-$H1919), 1, 0))))</f>
        <v/>
      </c>
    </row>
    <row r="1920">
      <c r="A1920" s="5" t="inlineStr"/>
      <c r="B1920" s="5" t="inlineStr"/>
      <c r="C1920" s="5">
        <f>IF($B1920="","",VLOOKUP($B1920,Jogos!$A$2:$K$105,8,FALSE))</f>
        <v/>
      </c>
      <c r="D1920" s="5">
        <f>IF($B1920="","",VLOOKUP($B1920,Jogos!$A$2:$K$105,10,FALSE))</f>
        <v/>
      </c>
      <c r="E1920" s="5" t="inlineStr"/>
      <c r="F1920" s="5" t="inlineStr"/>
      <c r="G1920" s="8">
        <f>IF($B1920="","",VLOOKUP($B1920,Jogos!$A$2:$K$105,9,FALSE))</f>
        <v/>
      </c>
      <c r="H1920" s="8">
        <f>IF($B1920="","",VLOOKUP($B1920,Jogos!$A$2:$K$105,11,FALSE))</f>
        <v/>
      </c>
      <c r="I1920" s="5">
        <f>IF(OR($A1920="", $B1920="", $E1920="", $F1920="", $G1920="", $H1920=""), "",IF(AND($E1920=$G1920, $F1920=$H1920), 3, IF(SIGN($E1920-$F1920)=SIGN($G1920-$H1920), 1, 0))))</f>
        <v/>
      </c>
    </row>
    <row r="1921">
      <c r="A1921" s="5" t="inlineStr"/>
      <c r="B1921" s="5" t="inlineStr"/>
      <c r="C1921" s="5">
        <f>IF($B1921="","",VLOOKUP($B1921,Jogos!$A$2:$K$105,8,FALSE))</f>
        <v/>
      </c>
      <c r="D1921" s="5">
        <f>IF($B1921="","",VLOOKUP($B1921,Jogos!$A$2:$K$105,10,FALSE))</f>
        <v/>
      </c>
      <c r="E1921" s="5" t="inlineStr"/>
      <c r="F1921" s="5" t="inlineStr"/>
      <c r="G1921" s="8">
        <f>IF($B1921="","",VLOOKUP($B1921,Jogos!$A$2:$K$105,9,FALSE))</f>
        <v/>
      </c>
      <c r="H1921" s="8">
        <f>IF($B1921="","",VLOOKUP($B1921,Jogos!$A$2:$K$105,11,FALSE))</f>
        <v/>
      </c>
      <c r="I1921" s="5">
        <f>IF(OR($A1921="", $B1921="", $E1921="", $F1921="", $G1921="", $H1921=""), "",IF(AND($E1921=$G1921, $F1921=$H1921), 3, IF(SIGN($E1921-$F1921)=SIGN($G1921-$H1921), 1, 0))))</f>
        <v/>
      </c>
    </row>
    <row r="1922">
      <c r="A1922" s="5" t="inlineStr"/>
      <c r="B1922" s="5" t="inlineStr"/>
      <c r="C1922" s="5">
        <f>IF($B1922="","",VLOOKUP($B1922,Jogos!$A$2:$K$105,8,FALSE))</f>
        <v/>
      </c>
      <c r="D1922" s="5">
        <f>IF($B1922="","",VLOOKUP($B1922,Jogos!$A$2:$K$105,10,FALSE))</f>
        <v/>
      </c>
      <c r="E1922" s="5" t="inlineStr"/>
      <c r="F1922" s="5" t="inlineStr"/>
      <c r="G1922" s="8">
        <f>IF($B1922="","",VLOOKUP($B1922,Jogos!$A$2:$K$105,9,FALSE))</f>
        <v/>
      </c>
      <c r="H1922" s="8">
        <f>IF($B1922="","",VLOOKUP($B1922,Jogos!$A$2:$K$105,11,FALSE))</f>
        <v/>
      </c>
      <c r="I1922" s="5">
        <f>IF(OR($A1922="", $B1922="", $E1922="", $F1922="", $G1922="", $H1922=""), "",IF(AND($E1922=$G1922, $F1922=$H1922), 3, IF(SIGN($E1922-$F1922)=SIGN($G1922-$H1922), 1, 0))))</f>
        <v/>
      </c>
    </row>
    <row r="1923">
      <c r="A1923" s="5" t="inlineStr"/>
      <c r="B1923" s="5" t="inlineStr"/>
      <c r="C1923" s="5">
        <f>IF($B1923="","",VLOOKUP($B1923,Jogos!$A$2:$K$105,8,FALSE))</f>
        <v/>
      </c>
      <c r="D1923" s="5">
        <f>IF($B1923="","",VLOOKUP($B1923,Jogos!$A$2:$K$105,10,FALSE))</f>
        <v/>
      </c>
      <c r="E1923" s="5" t="inlineStr"/>
      <c r="F1923" s="5" t="inlineStr"/>
      <c r="G1923" s="8">
        <f>IF($B1923="","",VLOOKUP($B1923,Jogos!$A$2:$K$105,9,FALSE))</f>
        <v/>
      </c>
      <c r="H1923" s="8">
        <f>IF($B1923="","",VLOOKUP($B1923,Jogos!$A$2:$K$105,11,FALSE))</f>
        <v/>
      </c>
      <c r="I1923" s="5">
        <f>IF(OR($A1923="", $B1923="", $E1923="", $F1923="", $G1923="", $H1923=""), "",IF(AND($E1923=$G1923, $F1923=$H1923), 3, IF(SIGN($E1923-$F1923)=SIGN($G1923-$H1923), 1, 0))))</f>
        <v/>
      </c>
    </row>
    <row r="1924">
      <c r="A1924" s="5" t="inlineStr"/>
      <c r="B1924" s="5" t="inlineStr"/>
      <c r="C1924" s="5">
        <f>IF($B1924="","",VLOOKUP($B1924,Jogos!$A$2:$K$105,8,FALSE))</f>
        <v/>
      </c>
      <c r="D1924" s="5">
        <f>IF($B1924="","",VLOOKUP($B1924,Jogos!$A$2:$K$105,10,FALSE))</f>
        <v/>
      </c>
      <c r="E1924" s="5" t="inlineStr"/>
      <c r="F1924" s="5" t="inlineStr"/>
      <c r="G1924" s="8">
        <f>IF($B1924="","",VLOOKUP($B1924,Jogos!$A$2:$K$105,9,FALSE))</f>
        <v/>
      </c>
      <c r="H1924" s="8">
        <f>IF($B1924="","",VLOOKUP($B1924,Jogos!$A$2:$K$105,11,FALSE))</f>
        <v/>
      </c>
      <c r="I1924" s="5">
        <f>IF(OR($A1924="", $B1924="", $E1924="", $F1924="", $G1924="", $H1924=""), "",IF(AND($E1924=$G1924, $F1924=$H1924), 3, IF(SIGN($E1924-$F1924)=SIGN($G1924-$H1924), 1, 0))))</f>
        <v/>
      </c>
    </row>
    <row r="1925">
      <c r="A1925" s="5" t="inlineStr"/>
      <c r="B1925" s="5" t="inlineStr"/>
      <c r="C1925" s="5">
        <f>IF($B1925="","",VLOOKUP($B1925,Jogos!$A$2:$K$105,8,FALSE))</f>
        <v/>
      </c>
      <c r="D1925" s="5">
        <f>IF($B1925="","",VLOOKUP($B1925,Jogos!$A$2:$K$105,10,FALSE))</f>
        <v/>
      </c>
      <c r="E1925" s="5" t="inlineStr"/>
      <c r="F1925" s="5" t="inlineStr"/>
      <c r="G1925" s="8">
        <f>IF($B1925="","",VLOOKUP($B1925,Jogos!$A$2:$K$105,9,FALSE))</f>
        <v/>
      </c>
      <c r="H1925" s="8">
        <f>IF($B1925="","",VLOOKUP($B1925,Jogos!$A$2:$K$105,11,FALSE))</f>
        <v/>
      </c>
      <c r="I1925" s="5">
        <f>IF(OR($A1925="", $B1925="", $E1925="", $F1925="", $G1925="", $H1925=""), "",IF(AND($E1925=$G1925, $F1925=$H1925), 3, IF(SIGN($E1925-$F1925)=SIGN($G1925-$H1925), 1, 0))))</f>
        <v/>
      </c>
    </row>
    <row r="1926">
      <c r="A1926" s="5" t="inlineStr"/>
      <c r="B1926" s="5" t="inlineStr"/>
      <c r="C1926" s="5">
        <f>IF($B1926="","",VLOOKUP($B1926,Jogos!$A$2:$K$105,8,FALSE))</f>
        <v/>
      </c>
      <c r="D1926" s="5">
        <f>IF($B1926="","",VLOOKUP($B1926,Jogos!$A$2:$K$105,10,FALSE))</f>
        <v/>
      </c>
      <c r="E1926" s="5" t="inlineStr"/>
      <c r="F1926" s="5" t="inlineStr"/>
      <c r="G1926" s="8">
        <f>IF($B1926="","",VLOOKUP($B1926,Jogos!$A$2:$K$105,9,FALSE))</f>
        <v/>
      </c>
      <c r="H1926" s="8">
        <f>IF($B1926="","",VLOOKUP($B1926,Jogos!$A$2:$K$105,11,FALSE))</f>
        <v/>
      </c>
      <c r="I1926" s="5">
        <f>IF(OR($A1926="", $B1926="", $E1926="", $F1926="", $G1926="", $H1926=""), "",IF(AND($E1926=$G1926, $F1926=$H1926), 3, IF(SIGN($E1926-$F1926)=SIGN($G1926-$H1926), 1, 0))))</f>
        <v/>
      </c>
    </row>
    <row r="1927">
      <c r="A1927" s="5" t="inlineStr"/>
      <c r="B1927" s="5" t="inlineStr"/>
      <c r="C1927" s="5">
        <f>IF($B1927="","",VLOOKUP($B1927,Jogos!$A$2:$K$105,8,FALSE))</f>
        <v/>
      </c>
      <c r="D1927" s="5">
        <f>IF($B1927="","",VLOOKUP($B1927,Jogos!$A$2:$K$105,10,FALSE))</f>
        <v/>
      </c>
      <c r="E1927" s="5" t="inlineStr"/>
      <c r="F1927" s="5" t="inlineStr"/>
      <c r="G1927" s="8">
        <f>IF($B1927="","",VLOOKUP($B1927,Jogos!$A$2:$K$105,9,FALSE))</f>
        <v/>
      </c>
      <c r="H1927" s="8">
        <f>IF($B1927="","",VLOOKUP($B1927,Jogos!$A$2:$K$105,11,FALSE))</f>
        <v/>
      </c>
      <c r="I1927" s="5">
        <f>IF(OR($A1927="", $B1927="", $E1927="", $F1927="", $G1927="", $H1927=""), "",IF(AND($E1927=$G1927, $F1927=$H1927), 3, IF(SIGN($E1927-$F1927)=SIGN($G1927-$H1927), 1, 0))))</f>
        <v/>
      </c>
    </row>
    <row r="1928">
      <c r="A1928" s="5" t="inlineStr"/>
      <c r="B1928" s="5" t="inlineStr"/>
      <c r="C1928" s="5">
        <f>IF($B1928="","",VLOOKUP($B1928,Jogos!$A$2:$K$105,8,FALSE))</f>
        <v/>
      </c>
      <c r="D1928" s="5">
        <f>IF($B1928="","",VLOOKUP($B1928,Jogos!$A$2:$K$105,10,FALSE))</f>
        <v/>
      </c>
      <c r="E1928" s="5" t="inlineStr"/>
      <c r="F1928" s="5" t="inlineStr"/>
      <c r="G1928" s="8">
        <f>IF($B1928="","",VLOOKUP($B1928,Jogos!$A$2:$K$105,9,FALSE))</f>
        <v/>
      </c>
      <c r="H1928" s="8">
        <f>IF($B1928="","",VLOOKUP($B1928,Jogos!$A$2:$K$105,11,FALSE))</f>
        <v/>
      </c>
      <c r="I1928" s="5">
        <f>IF(OR($A1928="", $B1928="", $E1928="", $F1928="", $G1928="", $H1928=""), "",IF(AND($E1928=$G1928, $F1928=$H1928), 3, IF(SIGN($E1928-$F1928)=SIGN($G1928-$H1928), 1, 0))))</f>
        <v/>
      </c>
    </row>
    <row r="1929">
      <c r="A1929" s="5" t="inlineStr"/>
      <c r="B1929" s="5" t="inlineStr"/>
      <c r="C1929" s="5">
        <f>IF($B1929="","",VLOOKUP($B1929,Jogos!$A$2:$K$105,8,FALSE))</f>
        <v/>
      </c>
      <c r="D1929" s="5">
        <f>IF($B1929="","",VLOOKUP($B1929,Jogos!$A$2:$K$105,10,FALSE))</f>
        <v/>
      </c>
      <c r="E1929" s="5" t="inlineStr"/>
      <c r="F1929" s="5" t="inlineStr"/>
      <c r="G1929" s="8">
        <f>IF($B1929="","",VLOOKUP($B1929,Jogos!$A$2:$K$105,9,FALSE))</f>
        <v/>
      </c>
      <c r="H1929" s="8">
        <f>IF($B1929="","",VLOOKUP($B1929,Jogos!$A$2:$K$105,11,FALSE))</f>
        <v/>
      </c>
      <c r="I1929" s="5">
        <f>IF(OR($A1929="", $B1929="", $E1929="", $F1929="", $G1929="", $H1929=""), "",IF(AND($E1929=$G1929, $F1929=$H1929), 3, IF(SIGN($E1929-$F1929)=SIGN($G1929-$H1929), 1, 0))))</f>
        <v/>
      </c>
    </row>
    <row r="1930">
      <c r="A1930" s="5" t="inlineStr"/>
      <c r="B1930" s="5" t="inlineStr"/>
      <c r="C1930" s="5">
        <f>IF($B1930="","",VLOOKUP($B1930,Jogos!$A$2:$K$105,8,FALSE))</f>
        <v/>
      </c>
      <c r="D1930" s="5">
        <f>IF($B1930="","",VLOOKUP($B1930,Jogos!$A$2:$K$105,10,FALSE))</f>
        <v/>
      </c>
      <c r="E1930" s="5" t="inlineStr"/>
      <c r="F1930" s="5" t="inlineStr"/>
      <c r="G1930" s="8">
        <f>IF($B1930="","",VLOOKUP($B1930,Jogos!$A$2:$K$105,9,FALSE))</f>
        <v/>
      </c>
      <c r="H1930" s="8">
        <f>IF($B1930="","",VLOOKUP($B1930,Jogos!$A$2:$K$105,11,FALSE))</f>
        <v/>
      </c>
      <c r="I1930" s="5">
        <f>IF(OR($A1930="", $B1930="", $E1930="", $F1930="", $G1930="", $H1930=""), "",IF(AND($E1930=$G1930, $F1930=$H1930), 3, IF(SIGN($E1930-$F1930)=SIGN($G1930-$H1930), 1, 0))))</f>
        <v/>
      </c>
    </row>
    <row r="1931">
      <c r="A1931" s="5" t="inlineStr"/>
      <c r="B1931" s="5" t="inlineStr"/>
      <c r="C1931" s="5">
        <f>IF($B1931="","",VLOOKUP($B1931,Jogos!$A$2:$K$105,8,FALSE))</f>
        <v/>
      </c>
      <c r="D1931" s="5">
        <f>IF($B1931="","",VLOOKUP($B1931,Jogos!$A$2:$K$105,10,FALSE))</f>
        <v/>
      </c>
      <c r="E1931" s="5" t="inlineStr"/>
      <c r="F1931" s="5" t="inlineStr"/>
      <c r="G1931" s="8">
        <f>IF($B1931="","",VLOOKUP($B1931,Jogos!$A$2:$K$105,9,FALSE))</f>
        <v/>
      </c>
      <c r="H1931" s="8">
        <f>IF($B1931="","",VLOOKUP($B1931,Jogos!$A$2:$K$105,11,FALSE))</f>
        <v/>
      </c>
      <c r="I1931" s="5">
        <f>IF(OR($A1931="", $B1931="", $E1931="", $F1931="", $G1931="", $H1931=""), "",IF(AND($E1931=$G1931, $F1931=$H1931), 3, IF(SIGN($E1931-$F1931)=SIGN($G1931-$H1931), 1, 0))))</f>
        <v/>
      </c>
    </row>
    <row r="1932">
      <c r="A1932" s="5" t="inlineStr"/>
      <c r="B1932" s="5" t="inlineStr"/>
      <c r="C1932" s="5">
        <f>IF($B1932="","",VLOOKUP($B1932,Jogos!$A$2:$K$105,8,FALSE))</f>
        <v/>
      </c>
      <c r="D1932" s="5">
        <f>IF($B1932="","",VLOOKUP($B1932,Jogos!$A$2:$K$105,10,FALSE))</f>
        <v/>
      </c>
      <c r="E1932" s="5" t="inlineStr"/>
      <c r="F1932" s="5" t="inlineStr"/>
      <c r="G1932" s="8">
        <f>IF($B1932="","",VLOOKUP($B1932,Jogos!$A$2:$K$105,9,FALSE))</f>
        <v/>
      </c>
      <c r="H1932" s="8">
        <f>IF($B1932="","",VLOOKUP($B1932,Jogos!$A$2:$K$105,11,FALSE))</f>
        <v/>
      </c>
      <c r="I1932" s="5">
        <f>IF(OR($A1932="", $B1932="", $E1932="", $F1932="", $G1932="", $H1932=""), "",IF(AND($E1932=$G1932, $F1932=$H1932), 3, IF(SIGN($E1932-$F1932)=SIGN($G1932-$H1932), 1, 0))))</f>
        <v/>
      </c>
    </row>
    <row r="1933">
      <c r="A1933" s="5" t="inlineStr"/>
      <c r="B1933" s="5" t="inlineStr"/>
      <c r="C1933" s="5">
        <f>IF($B1933="","",VLOOKUP($B1933,Jogos!$A$2:$K$105,8,FALSE))</f>
        <v/>
      </c>
      <c r="D1933" s="5">
        <f>IF($B1933="","",VLOOKUP($B1933,Jogos!$A$2:$K$105,10,FALSE))</f>
        <v/>
      </c>
      <c r="E1933" s="5" t="inlineStr"/>
      <c r="F1933" s="5" t="inlineStr"/>
      <c r="G1933" s="8">
        <f>IF($B1933="","",VLOOKUP($B1933,Jogos!$A$2:$K$105,9,FALSE))</f>
        <v/>
      </c>
      <c r="H1933" s="8">
        <f>IF($B1933="","",VLOOKUP($B1933,Jogos!$A$2:$K$105,11,FALSE))</f>
        <v/>
      </c>
      <c r="I1933" s="5">
        <f>IF(OR($A1933="", $B1933="", $E1933="", $F1933="", $G1933="", $H1933=""), "",IF(AND($E1933=$G1933, $F1933=$H1933), 3, IF(SIGN($E1933-$F1933)=SIGN($G1933-$H1933), 1, 0))))</f>
        <v/>
      </c>
    </row>
    <row r="1934">
      <c r="A1934" s="5" t="inlineStr"/>
      <c r="B1934" s="5" t="inlineStr"/>
      <c r="C1934" s="5">
        <f>IF($B1934="","",VLOOKUP($B1934,Jogos!$A$2:$K$105,8,FALSE))</f>
        <v/>
      </c>
      <c r="D1934" s="5">
        <f>IF($B1934="","",VLOOKUP($B1934,Jogos!$A$2:$K$105,10,FALSE))</f>
        <v/>
      </c>
      <c r="E1934" s="5" t="inlineStr"/>
      <c r="F1934" s="5" t="inlineStr"/>
      <c r="G1934" s="8">
        <f>IF($B1934="","",VLOOKUP($B1934,Jogos!$A$2:$K$105,9,FALSE))</f>
        <v/>
      </c>
      <c r="H1934" s="8">
        <f>IF($B1934="","",VLOOKUP($B1934,Jogos!$A$2:$K$105,11,FALSE))</f>
        <v/>
      </c>
      <c r="I1934" s="5">
        <f>IF(OR($A1934="", $B1934="", $E1934="", $F1934="", $G1934="", $H1934=""), "",IF(AND($E1934=$G1934, $F1934=$H1934), 3, IF(SIGN($E1934-$F1934)=SIGN($G1934-$H1934), 1, 0))))</f>
        <v/>
      </c>
    </row>
    <row r="1935">
      <c r="A1935" s="5" t="inlineStr"/>
      <c r="B1935" s="5" t="inlineStr"/>
      <c r="C1935" s="5">
        <f>IF($B1935="","",VLOOKUP($B1935,Jogos!$A$2:$K$105,8,FALSE))</f>
        <v/>
      </c>
      <c r="D1935" s="5">
        <f>IF($B1935="","",VLOOKUP($B1935,Jogos!$A$2:$K$105,10,FALSE))</f>
        <v/>
      </c>
      <c r="E1935" s="5" t="inlineStr"/>
      <c r="F1935" s="5" t="inlineStr"/>
      <c r="G1935" s="8">
        <f>IF($B1935="","",VLOOKUP($B1935,Jogos!$A$2:$K$105,9,FALSE))</f>
        <v/>
      </c>
      <c r="H1935" s="8">
        <f>IF($B1935="","",VLOOKUP($B1935,Jogos!$A$2:$K$105,11,FALSE))</f>
        <v/>
      </c>
      <c r="I1935" s="5">
        <f>IF(OR($A1935="", $B1935="", $E1935="", $F1935="", $G1935="", $H1935=""), "",IF(AND($E1935=$G1935, $F1935=$H1935), 3, IF(SIGN($E1935-$F1935)=SIGN($G1935-$H1935), 1, 0))))</f>
        <v/>
      </c>
    </row>
    <row r="1936">
      <c r="A1936" s="5" t="inlineStr"/>
      <c r="B1936" s="5" t="inlineStr"/>
      <c r="C1936" s="5">
        <f>IF($B1936="","",VLOOKUP($B1936,Jogos!$A$2:$K$105,8,FALSE))</f>
        <v/>
      </c>
      <c r="D1936" s="5">
        <f>IF($B1936="","",VLOOKUP($B1936,Jogos!$A$2:$K$105,10,FALSE))</f>
        <v/>
      </c>
      <c r="E1936" s="5" t="inlineStr"/>
      <c r="F1936" s="5" t="inlineStr"/>
      <c r="G1936" s="8">
        <f>IF($B1936="","",VLOOKUP($B1936,Jogos!$A$2:$K$105,9,FALSE))</f>
        <v/>
      </c>
      <c r="H1936" s="8">
        <f>IF($B1936="","",VLOOKUP($B1936,Jogos!$A$2:$K$105,11,FALSE))</f>
        <v/>
      </c>
      <c r="I1936" s="5">
        <f>IF(OR($A1936="", $B1936="", $E1936="", $F1936="", $G1936="", $H1936=""), "",IF(AND($E1936=$G1936, $F1936=$H1936), 3, IF(SIGN($E1936-$F1936)=SIGN($G1936-$H1936), 1, 0))))</f>
        <v/>
      </c>
    </row>
    <row r="1937">
      <c r="A1937" s="5" t="inlineStr"/>
      <c r="B1937" s="5" t="inlineStr"/>
      <c r="C1937" s="5">
        <f>IF($B1937="","",VLOOKUP($B1937,Jogos!$A$2:$K$105,8,FALSE))</f>
        <v/>
      </c>
      <c r="D1937" s="5">
        <f>IF($B1937="","",VLOOKUP($B1937,Jogos!$A$2:$K$105,10,FALSE))</f>
        <v/>
      </c>
      <c r="E1937" s="5" t="inlineStr"/>
      <c r="F1937" s="5" t="inlineStr"/>
      <c r="G1937" s="8">
        <f>IF($B1937="","",VLOOKUP($B1937,Jogos!$A$2:$K$105,9,FALSE))</f>
        <v/>
      </c>
      <c r="H1937" s="8">
        <f>IF($B1937="","",VLOOKUP($B1937,Jogos!$A$2:$K$105,11,FALSE))</f>
        <v/>
      </c>
      <c r="I1937" s="5">
        <f>IF(OR($A1937="", $B1937="", $E1937="", $F1937="", $G1937="", $H1937=""), "",IF(AND($E1937=$G1937, $F1937=$H1937), 3, IF(SIGN($E1937-$F1937)=SIGN($G1937-$H1937), 1, 0))))</f>
        <v/>
      </c>
    </row>
    <row r="1938">
      <c r="A1938" s="5" t="inlineStr"/>
      <c r="B1938" s="5" t="inlineStr"/>
      <c r="C1938" s="5">
        <f>IF($B1938="","",VLOOKUP($B1938,Jogos!$A$2:$K$105,8,FALSE))</f>
        <v/>
      </c>
      <c r="D1938" s="5">
        <f>IF($B1938="","",VLOOKUP($B1938,Jogos!$A$2:$K$105,10,FALSE))</f>
        <v/>
      </c>
      <c r="E1938" s="5" t="inlineStr"/>
      <c r="F1938" s="5" t="inlineStr"/>
      <c r="G1938" s="8">
        <f>IF($B1938="","",VLOOKUP($B1938,Jogos!$A$2:$K$105,9,FALSE))</f>
        <v/>
      </c>
      <c r="H1938" s="8">
        <f>IF($B1938="","",VLOOKUP($B1938,Jogos!$A$2:$K$105,11,FALSE))</f>
        <v/>
      </c>
      <c r="I1938" s="5">
        <f>IF(OR($A1938="", $B1938="", $E1938="", $F1938="", $G1938="", $H1938=""), "",IF(AND($E1938=$G1938, $F1938=$H1938), 3, IF(SIGN($E1938-$F1938)=SIGN($G1938-$H1938), 1, 0))))</f>
        <v/>
      </c>
    </row>
    <row r="1939">
      <c r="A1939" s="5" t="inlineStr"/>
      <c r="B1939" s="5" t="inlineStr"/>
      <c r="C1939" s="5">
        <f>IF($B1939="","",VLOOKUP($B1939,Jogos!$A$2:$K$105,8,FALSE))</f>
        <v/>
      </c>
      <c r="D1939" s="5">
        <f>IF($B1939="","",VLOOKUP($B1939,Jogos!$A$2:$K$105,10,FALSE))</f>
        <v/>
      </c>
      <c r="E1939" s="5" t="inlineStr"/>
      <c r="F1939" s="5" t="inlineStr"/>
      <c r="G1939" s="8">
        <f>IF($B1939="","",VLOOKUP($B1939,Jogos!$A$2:$K$105,9,FALSE))</f>
        <v/>
      </c>
      <c r="H1939" s="8">
        <f>IF($B1939="","",VLOOKUP($B1939,Jogos!$A$2:$K$105,11,FALSE))</f>
        <v/>
      </c>
      <c r="I1939" s="5">
        <f>IF(OR($A1939="", $B1939="", $E1939="", $F1939="", $G1939="", $H1939=""), "",IF(AND($E1939=$G1939, $F1939=$H1939), 3, IF(SIGN($E1939-$F1939)=SIGN($G1939-$H1939), 1, 0))))</f>
        <v/>
      </c>
    </row>
    <row r="1940">
      <c r="A1940" s="5" t="inlineStr"/>
      <c r="B1940" s="5" t="inlineStr"/>
      <c r="C1940" s="5">
        <f>IF($B1940="","",VLOOKUP($B1940,Jogos!$A$2:$K$105,8,FALSE))</f>
        <v/>
      </c>
      <c r="D1940" s="5">
        <f>IF($B1940="","",VLOOKUP($B1940,Jogos!$A$2:$K$105,10,FALSE))</f>
        <v/>
      </c>
      <c r="E1940" s="5" t="inlineStr"/>
      <c r="F1940" s="5" t="inlineStr"/>
      <c r="G1940" s="8">
        <f>IF($B1940="","",VLOOKUP($B1940,Jogos!$A$2:$K$105,9,FALSE))</f>
        <v/>
      </c>
      <c r="H1940" s="8">
        <f>IF($B1940="","",VLOOKUP($B1940,Jogos!$A$2:$K$105,11,FALSE))</f>
        <v/>
      </c>
      <c r="I1940" s="5">
        <f>IF(OR($A1940="", $B1940="", $E1940="", $F1940="", $G1940="", $H1940=""), "",IF(AND($E1940=$G1940, $F1940=$H1940), 3, IF(SIGN($E1940-$F1940)=SIGN($G1940-$H1940), 1, 0))))</f>
        <v/>
      </c>
    </row>
    <row r="1941">
      <c r="A1941" s="5" t="inlineStr"/>
      <c r="B1941" s="5" t="inlineStr"/>
      <c r="C1941" s="5">
        <f>IF($B1941="","",VLOOKUP($B1941,Jogos!$A$2:$K$105,8,FALSE))</f>
        <v/>
      </c>
      <c r="D1941" s="5">
        <f>IF($B1941="","",VLOOKUP($B1941,Jogos!$A$2:$K$105,10,FALSE))</f>
        <v/>
      </c>
      <c r="E1941" s="5" t="inlineStr"/>
      <c r="F1941" s="5" t="inlineStr"/>
      <c r="G1941" s="8">
        <f>IF($B1941="","",VLOOKUP($B1941,Jogos!$A$2:$K$105,9,FALSE))</f>
        <v/>
      </c>
      <c r="H1941" s="8">
        <f>IF($B1941="","",VLOOKUP($B1941,Jogos!$A$2:$K$105,11,FALSE))</f>
        <v/>
      </c>
      <c r="I1941" s="5">
        <f>IF(OR($A1941="", $B1941="", $E1941="", $F1941="", $G1941="", $H1941=""), "",IF(AND($E1941=$G1941, $F1941=$H1941), 3, IF(SIGN($E1941-$F1941)=SIGN($G1941-$H1941), 1, 0))))</f>
        <v/>
      </c>
    </row>
    <row r="1942">
      <c r="A1942" s="5" t="inlineStr"/>
      <c r="B1942" s="5" t="inlineStr"/>
      <c r="C1942" s="5">
        <f>IF($B1942="","",VLOOKUP($B1942,Jogos!$A$2:$K$105,8,FALSE))</f>
        <v/>
      </c>
      <c r="D1942" s="5">
        <f>IF($B1942="","",VLOOKUP($B1942,Jogos!$A$2:$K$105,10,FALSE))</f>
        <v/>
      </c>
      <c r="E1942" s="5" t="inlineStr"/>
      <c r="F1942" s="5" t="inlineStr"/>
      <c r="G1942" s="8">
        <f>IF($B1942="","",VLOOKUP($B1942,Jogos!$A$2:$K$105,9,FALSE))</f>
        <v/>
      </c>
      <c r="H1942" s="8">
        <f>IF($B1942="","",VLOOKUP($B1942,Jogos!$A$2:$K$105,11,FALSE))</f>
        <v/>
      </c>
      <c r="I1942" s="5">
        <f>IF(OR($A1942="", $B1942="", $E1942="", $F1942="", $G1942="", $H1942=""), "",IF(AND($E1942=$G1942, $F1942=$H1942), 3, IF(SIGN($E1942-$F1942)=SIGN($G1942-$H1942), 1, 0))))</f>
        <v/>
      </c>
    </row>
    <row r="1943">
      <c r="A1943" s="5" t="inlineStr"/>
      <c r="B1943" s="5" t="inlineStr"/>
      <c r="C1943" s="5">
        <f>IF($B1943="","",VLOOKUP($B1943,Jogos!$A$2:$K$105,8,FALSE))</f>
        <v/>
      </c>
      <c r="D1943" s="5">
        <f>IF($B1943="","",VLOOKUP($B1943,Jogos!$A$2:$K$105,10,FALSE))</f>
        <v/>
      </c>
      <c r="E1943" s="5" t="inlineStr"/>
      <c r="F1943" s="5" t="inlineStr"/>
      <c r="G1943" s="8">
        <f>IF($B1943="","",VLOOKUP($B1943,Jogos!$A$2:$K$105,9,FALSE))</f>
        <v/>
      </c>
      <c r="H1943" s="8">
        <f>IF($B1943="","",VLOOKUP($B1943,Jogos!$A$2:$K$105,11,FALSE))</f>
        <v/>
      </c>
      <c r="I1943" s="5">
        <f>IF(OR($A1943="", $B1943="", $E1943="", $F1943="", $G1943="", $H1943=""), "",IF(AND($E1943=$G1943, $F1943=$H1943), 3, IF(SIGN($E1943-$F1943)=SIGN($G1943-$H1943), 1, 0))))</f>
        <v/>
      </c>
    </row>
    <row r="1944">
      <c r="A1944" s="5" t="inlineStr"/>
      <c r="B1944" s="5" t="inlineStr"/>
      <c r="C1944" s="5">
        <f>IF($B1944="","",VLOOKUP($B1944,Jogos!$A$2:$K$105,8,FALSE))</f>
        <v/>
      </c>
      <c r="D1944" s="5">
        <f>IF($B1944="","",VLOOKUP($B1944,Jogos!$A$2:$K$105,10,FALSE))</f>
        <v/>
      </c>
      <c r="E1944" s="5" t="inlineStr"/>
      <c r="F1944" s="5" t="inlineStr"/>
      <c r="G1944" s="8">
        <f>IF($B1944="","",VLOOKUP($B1944,Jogos!$A$2:$K$105,9,FALSE))</f>
        <v/>
      </c>
      <c r="H1944" s="8">
        <f>IF($B1944="","",VLOOKUP($B1944,Jogos!$A$2:$K$105,11,FALSE))</f>
        <v/>
      </c>
      <c r="I1944" s="5">
        <f>IF(OR($A1944="", $B1944="", $E1944="", $F1944="", $G1944="", $H1944=""), "",IF(AND($E1944=$G1944, $F1944=$H1944), 3, IF(SIGN($E1944-$F1944)=SIGN($G1944-$H1944), 1, 0))))</f>
        <v/>
      </c>
    </row>
    <row r="1945">
      <c r="A1945" s="5" t="inlineStr"/>
      <c r="B1945" s="5" t="inlineStr"/>
      <c r="C1945" s="5">
        <f>IF($B1945="","",VLOOKUP($B1945,Jogos!$A$2:$K$105,8,FALSE))</f>
        <v/>
      </c>
      <c r="D1945" s="5">
        <f>IF($B1945="","",VLOOKUP($B1945,Jogos!$A$2:$K$105,10,FALSE))</f>
        <v/>
      </c>
      <c r="E1945" s="5" t="inlineStr"/>
      <c r="F1945" s="5" t="inlineStr"/>
      <c r="G1945" s="8">
        <f>IF($B1945="","",VLOOKUP($B1945,Jogos!$A$2:$K$105,9,FALSE))</f>
        <v/>
      </c>
      <c r="H1945" s="8">
        <f>IF($B1945="","",VLOOKUP($B1945,Jogos!$A$2:$K$105,11,FALSE))</f>
        <v/>
      </c>
      <c r="I1945" s="5">
        <f>IF(OR($A1945="", $B1945="", $E1945="", $F1945="", $G1945="", $H1945=""), "",IF(AND($E1945=$G1945, $F1945=$H1945), 3, IF(SIGN($E1945-$F1945)=SIGN($G1945-$H1945), 1, 0))))</f>
        <v/>
      </c>
    </row>
    <row r="1946">
      <c r="A1946" s="5" t="inlineStr"/>
      <c r="B1946" s="5" t="inlineStr"/>
      <c r="C1946" s="5">
        <f>IF($B1946="","",VLOOKUP($B1946,Jogos!$A$2:$K$105,8,FALSE))</f>
        <v/>
      </c>
      <c r="D1946" s="5">
        <f>IF($B1946="","",VLOOKUP($B1946,Jogos!$A$2:$K$105,10,FALSE))</f>
        <v/>
      </c>
      <c r="E1946" s="5" t="inlineStr"/>
      <c r="F1946" s="5" t="inlineStr"/>
      <c r="G1946" s="8">
        <f>IF($B1946="","",VLOOKUP($B1946,Jogos!$A$2:$K$105,9,FALSE))</f>
        <v/>
      </c>
      <c r="H1946" s="8">
        <f>IF($B1946="","",VLOOKUP($B1946,Jogos!$A$2:$K$105,11,FALSE))</f>
        <v/>
      </c>
      <c r="I1946" s="5">
        <f>IF(OR($A1946="", $B1946="", $E1946="", $F1946="", $G1946="", $H1946=""), "",IF(AND($E1946=$G1946, $F1946=$H1946), 3, IF(SIGN($E1946-$F1946)=SIGN($G1946-$H1946), 1, 0))))</f>
        <v/>
      </c>
    </row>
    <row r="1947">
      <c r="A1947" s="5" t="inlineStr"/>
      <c r="B1947" s="5" t="inlineStr"/>
      <c r="C1947" s="5">
        <f>IF($B1947="","",VLOOKUP($B1947,Jogos!$A$2:$K$105,8,FALSE))</f>
        <v/>
      </c>
      <c r="D1947" s="5">
        <f>IF($B1947="","",VLOOKUP($B1947,Jogos!$A$2:$K$105,10,FALSE))</f>
        <v/>
      </c>
      <c r="E1947" s="5" t="inlineStr"/>
      <c r="F1947" s="5" t="inlineStr"/>
      <c r="G1947" s="8">
        <f>IF($B1947="","",VLOOKUP($B1947,Jogos!$A$2:$K$105,9,FALSE))</f>
        <v/>
      </c>
      <c r="H1947" s="8">
        <f>IF($B1947="","",VLOOKUP($B1947,Jogos!$A$2:$K$105,11,FALSE))</f>
        <v/>
      </c>
      <c r="I1947" s="5">
        <f>IF(OR($A1947="", $B1947="", $E1947="", $F1947="", $G1947="", $H1947=""), "",IF(AND($E1947=$G1947, $F1947=$H1947), 3, IF(SIGN($E1947-$F1947)=SIGN($G1947-$H1947), 1, 0))))</f>
        <v/>
      </c>
    </row>
    <row r="1948">
      <c r="A1948" s="5" t="inlineStr"/>
      <c r="B1948" s="5" t="inlineStr"/>
      <c r="C1948" s="5">
        <f>IF($B1948="","",VLOOKUP($B1948,Jogos!$A$2:$K$105,8,FALSE))</f>
        <v/>
      </c>
      <c r="D1948" s="5">
        <f>IF($B1948="","",VLOOKUP($B1948,Jogos!$A$2:$K$105,10,FALSE))</f>
        <v/>
      </c>
      <c r="E1948" s="5" t="inlineStr"/>
      <c r="F1948" s="5" t="inlineStr"/>
      <c r="G1948" s="8">
        <f>IF($B1948="","",VLOOKUP($B1948,Jogos!$A$2:$K$105,9,FALSE))</f>
        <v/>
      </c>
      <c r="H1948" s="8">
        <f>IF($B1948="","",VLOOKUP($B1948,Jogos!$A$2:$K$105,11,FALSE))</f>
        <v/>
      </c>
      <c r="I1948" s="5">
        <f>IF(OR($A1948="", $B1948="", $E1948="", $F1948="", $G1948="", $H1948=""), "",IF(AND($E1948=$G1948, $F1948=$H1948), 3, IF(SIGN($E1948-$F1948)=SIGN($G1948-$H1948), 1, 0))))</f>
        <v/>
      </c>
    </row>
    <row r="1949">
      <c r="A1949" s="5" t="inlineStr"/>
      <c r="B1949" s="5" t="inlineStr"/>
      <c r="C1949" s="5">
        <f>IF($B1949="","",VLOOKUP($B1949,Jogos!$A$2:$K$105,8,FALSE))</f>
        <v/>
      </c>
      <c r="D1949" s="5">
        <f>IF($B1949="","",VLOOKUP($B1949,Jogos!$A$2:$K$105,10,FALSE))</f>
        <v/>
      </c>
      <c r="E1949" s="5" t="inlineStr"/>
      <c r="F1949" s="5" t="inlineStr"/>
      <c r="G1949" s="8">
        <f>IF($B1949="","",VLOOKUP($B1949,Jogos!$A$2:$K$105,9,FALSE))</f>
        <v/>
      </c>
      <c r="H1949" s="8">
        <f>IF($B1949="","",VLOOKUP($B1949,Jogos!$A$2:$K$105,11,FALSE))</f>
        <v/>
      </c>
      <c r="I1949" s="5">
        <f>IF(OR($A1949="", $B1949="", $E1949="", $F1949="", $G1949="", $H1949=""), "",IF(AND($E1949=$G1949, $F1949=$H1949), 3, IF(SIGN($E1949-$F1949)=SIGN($G1949-$H1949), 1, 0))))</f>
        <v/>
      </c>
    </row>
    <row r="1950">
      <c r="A1950" s="5" t="inlineStr"/>
      <c r="B1950" s="5" t="inlineStr"/>
      <c r="C1950" s="5">
        <f>IF($B1950="","",VLOOKUP($B1950,Jogos!$A$2:$K$105,8,FALSE))</f>
        <v/>
      </c>
      <c r="D1950" s="5">
        <f>IF($B1950="","",VLOOKUP($B1950,Jogos!$A$2:$K$105,10,FALSE))</f>
        <v/>
      </c>
      <c r="E1950" s="5" t="inlineStr"/>
      <c r="F1950" s="5" t="inlineStr"/>
      <c r="G1950" s="8">
        <f>IF($B1950="","",VLOOKUP($B1950,Jogos!$A$2:$K$105,9,FALSE))</f>
        <v/>
      </c>
      <c r="H1950" s="8">
        <f>IF($B1950="","",VLOOKUP($B1950,Jogos!$A$2:$K$105,11,FALSE))</f>
        <v/>
      </c>
      <c r="I1950" s="5">
        <f>IF(OR($A1950="", $B1950="", $E1950="", $F1950="", $G1950="", $H1950=""), "",IF(AND($E1950=$G1950, $F1950=$H1950), 3, IF(SIGN($E1950-$F1950)=SIGN($G1950-$H1950), 1, 0))))</f>
        <v/>
      </c>
    </row>
    <row r="1951">
      <c r="A1951" s="5" t="inlineStr"/>
      <c r="B1951" s="5" t="inlineStr"/>
      <c r="C1951" s="5">
        <f>IF($B1951="","",VLOOKUP($B1951,Jogos!$A$2:$K$105,8,FALSE))</f>
        <v/>
      </c>
      <c r="D1951" s="5">
        <f>IF($B1951="","",VLOOKUP($B1951,Jogos!$A$2:$K$105,10,FALSE))</f>
        <v/>
      </c>
      <c r="E1951" s="5" t="inlineStr"/>
      <c r="F1951" s="5" t="inlineStr"/>
      <c r="G1951" s="8">
        <f>IF($B1951="","",VLOOKUP($B1951,Jogos!$A$2:$K$105,9,FALSE))</f>
        <v/>
      </c>
      <c r="H1951" s="8">
        <f>IF($B1951="","",VLOOKUP($B1951,Jogos!$A$2:$K$105,11,FALSE))</f>
        <v/>
      </c>
      <c r="I1951" s="5">
        <f>IF(OR($A1951="", $B1951="", $E1951="", $F1951="", $G1951="", $H1951=""), "",IF(AND($E1951=$G1951, $F1951=$H1951), 3, IF(SIGN($E1951-$F1951)=SIGN($G1951-$H1951), 1, 0))))</f>
        <v/>
      </c>
    </row>
    <row r="1952">
      <c r="A1952" s="5" t="inlineStr"/>
      <c r="B1952" s="5" t="inlineStr"/>
      <c r="C1952" s="5">
        <f>IF($B1952="","",VLOOKUP($B1952,Jogos!$A$2:$K$105,8,FALSE))</f>
        <v/>
      </c>
      <c r="D1952" s="5">
        <f>IF($B1952="","",VLOOKUP($B1952,Jogos!$A$2:$K$105,10,FALSE))</f>
        <v/>
      </c>
      <c r="E1952" s="5" t="inlineStr"/>
      <c r="F1952" s="5" t="inlineStr"/>
      <c r="G1952" s="8">
        <f>IF($B1952="","",VLOOKUP($B1952,Jogos!$A$2:$K$105,9,FALSE))</f>
        <v/>
      </c>
      <c r="H1952" s="8">
        <f>IF($B1952="","",VLOOKUP($B1952,Jogos!$A$2:$K$105,11,FALSE))</f>
        <v/>
      </c>
      <c r="I1952" s="5">
        <f>IF(OR($A1952="", $B1952="", $E1952="", $F1952="", $G1952="", $H1952=""), "",IF(AND($E1952=$G1952, $F1952=$H1952), 3, IF(SIGN($E1952-$F1952)=SIGN($G1952-$H1952), 1, 0))))</f>
        <v/>
      </c>
    </row>
    <row r="1953">
      <c r="A1953" s="5" t="inlineStr"/>
      <c r="B1953" s="5" t="inlineStr"/>
      <c r="C1953" s="5">
        <f>IF($B1953="","",VLOOKUP($B1953,Jogos!$A$2:$K$105,8,FALSE))</f>
        <v/>
      </c>
      <c r="D1953" s="5">
        <f>IF($B1953="","",VLOOKUP($B1953,Jogos!$A$2:$K$105,10,FALSE))</f>
        <v/>
      </c>
      <c r="E1953" s="5" t="inlineStr"/>
      <c r="F1953" s="5" t="inlineStr"/>
      <c r="G1953" s="8">
        <f>IF($B1953="","",VLOOKUP($B1953,Jogos!$A$2:$K$105,9,FALSE))</f>
        <v/>
      </c>
      <c r="H1953" s="8">
        <f>IF($B1953="","",VLOOKUP($B1953,Jogos!$A$2:$K$105,11,FALSE))</f>
        <v/>
      </c>
      <c r="I1953" s="5">
        <f>IF(OR($A1953="", $B1953="", $E1953="", $F1953="", $G1953="", $H1953=""), "",IF(AND($E1953=$G1953, $F1953=$H1953), 3, IF(SIGN($E1953-$F1953)=SIGN($G1953-$H1953), 1, 0))))</f>
        <v/>
      </c>
    </row>
    <row r="1954">
      <c r="A1954" s="5" t="inlineStr"/>
      <c r="B1954" s="5" t="inlineStr"/>
      <c r="C1954" s="5">
        <f>IF($B1954="","",VLOOKUP($B1954,Jogos!$A$2:$K$105,8,FALSE))</f>
        <v/>
      </c>
      <c r="D1954" s="5">
        <f>IF($B1954="","",VLOOKUP($B1954,Jogos!$A$2:$K$105,10,FALSE))</f>
        <v/>
      </c>
      <c r="E1954" s="5" t="inlineStr"/>
      <c r="F1954" s="5" t="inlineStr"/>
      <c r="G1954" s="8">
        <f>IF($B1954="","",VLOOKUP($B1954,Jogos!$A$2:$K$105,9,FALSE))</f>
        <v/>
      </c>
      <c r="H1954" s="8">
        <f>IF($B1954="","",VLOOKUP($B1954,Jogos!$A$2:$K$105,11,FALSE))</f>
        <v/>
      </c>
      <c r="I1954" s="5">
        <f>IF(OR($A1954="", $B1954="", $E1954="", $F1954="", $G1954="", $H1954=""), "",IF(AND($E1954=$G1954, $F1954=$H1954), 3, IF(SIGN($E1954-$F1954)=SIGN($G1954-$H1954), 1, 0))))</f>
        <v/>
      </c>
    </row>
    <row r="1955">
      <c r="A1955" s="5" t="inlineStr"/>
      <c r="B1955" s="5" t="inlineStr"/>
      <c r="C1955" s="5">
        <f>IF($B1955="","",VLOOKUP($B1955,Jogos!$A$2:$K$105,8,FALSE))</f>
        <v/>
      </c>
      <c r="D1955" s="5">
        <f>IF($B1955="","",VLOOKUP($B1955,Jogos!$A$2:$K$105,10,FALSE))</f>
        <v/>
      </c>
      <c r="E1955" s="5" t="inlineStr"/>
      <c r="F1955" s="5" t="inlineStr"/>
      <c r="G1955" s="8">
        <f>IF($B1955="","",VLOOKUP($B1955,Jogos!$A$2:$K$105,9,FALSE))</f>
        <v/>
      </c>
      <c r="H1955" s="8">
        <f>IF($B1955="","",VLOOKUP($B1955,Jogos!$A$2:$K$105,11,FALSE))</f>
        <v/>
      </c>
      <c r="I1955" s="5">
        <f>IF(OR($A1955="", $B1955="", $E1955="", $F1955="", $G1955="", $H1955=""), "",IF(AND($E1955=$G1955, $F1955=$H1955), 3, IF(SIGN($E1955-$F1955)=SIGN($G1955-$H1955), 1, 0))))</f>
        <v/>
      </c>
    </row>
    <row r="1956">
      <c r="A1956" s="5" t="inlineStr"/>
      <c r="B1956" s="5" t="inlineStr"/>
      <c r="C1956" s="5">
        <f>IF($B1956="","",VLOOKUP($B1956,Jogos!$A$2:$K$105,8,FALSE))</f>
        <v/>
      </c>
      <c r="D1956" s="5">
        <f>IF($B1956="","",VLOOKUP($B1956,Jogos!$A$2:$K$105,10,FALSE))</f>
        <v/>
      </c>
      <c r="E1956" s="5" t="inlineStr"/>
      <c r="F1956" s="5" t="inlineStr"/>
      <c r="G1956" s="8">
        <f>IF($B1956="","",VLOOKUP($B1956,Jogos!$A$2:$K$105,9,FALSE))</f>
        <v/>
      </c>
      <c r="H1956" s="8">
        <f>IF($B1956="","",VLOOKUP($B1956,Jogos!$A$2:$K$105,11,FALSE))</f>
        <v/>
      </c>
      <c r="I1956" s="5">
        <f>IF(OR($A1956="", $B1956="", $E1956="", $F1956="", $G1956="", $H1956=""), "",IF(AND($E1956=$G1956, $F1956=$H1956), 3, IF(SIGN($E1956-$F1956)=SIGN($G1956-$H1956), 1, 0))))</f>
        <v/>
      </c>
    </row>
    <row r="1957">
      <c r="A1957" s="5" t="inlineStr"/>
      <c r="B1957" s="5" t="inlineStr"/>
      <c r="C1957" s="5">
        <f>IF($B1957="","",VLOOKUP($B1957,Jogos!$A$2:$K$105,8,FALSE))</f>
        <v/>
      </c>
      <c r="D1957" s="5">
        <f>IF($B1957="","",VLOOKUP($B1957,Jogos!$A$2:$K$105,10,FALSE))</f>
        <v/>
      </c>
      <c r="E1957" s="5" t="inlineStr"/>
      <c r="F1957" s="5" t="inlineStr"/>
      <c r="G1957" s="8">
        <f>IF($B1957="","",VLOOKUP($B1957,Jogos!$A$2:$K$105,9,FALSE))</f>
        <v/>
      </c>
      <c r="H1957" s="8">
        <f>IF($B1957="","",VLOOKUP($B1957,Jogos!$A$2:$K$105,11,FALSE))</f>
        <v/>
      </c>
      <c r="I1957" s="5">
        <f>IF(OR($A1957="", $B1957="", $E1957="", $F1957="", $G1957="", $H1957=""), "",IF(AND($E1957=$G1957, $F1957=$H1957), 3, IF(SIGN($E1957-$F1957)=SIGN($G1957-$H1957), 1, 0))))</f>
        <v/>
      </c>
    </row>
    <row r="1958">
      <c r="A1958" s="5" t="inlineStr"/>
      <c r="B1958" s="5" t="inlineStr"/>
      <c r="C1958" s="5">
        <f>IF($B1958="","",VLOOKUP($B1958,Jogos!$A$2:$K$105,8,FALSE))</f>
        <v/>
      </c>
      <c r="D1958" s="5">
        <f>IF($B1958="","",VLOOKUP($B1958,Jogos!$A$2:$K$105,10,FALSE))</f>
        <v/>
      </c>
      <c r="E1958" s="5" t="inlineStr"/>
      <c r="F1958" s="5" t="inlineStr"/>
      <c r="G1958" s="8">
        <f>IF($B1958="","",VLOOKUP($B1958,Jogos!$A$2:$K$105,9,FALSE))</f>
        <v/>
      </c>
      <c r="H1958" s="8">
        <f>IF($B1958="","",VLOOKUP($B1958,Jogos!$A$2:$K$105,11,FALSE))</f>
        <v/>
      </c>
      <c r="I1958" s="5">
        <f>IF(OR($A1958="", $B1958="", $E1958="", $F1958="", $G1958="", $H1958=""), "",IF(AND($E1958=$G1958, $F1958=$H1958), 3, IF(SIGN($E1958-$F1958)=SIGN($G1958-$H1958), 1, 0))))</f>
        <v/>
      </c>
    </row>
    <row r="1959">
      <c r="A1959" s="5" t="inlineStr"/>
      <c r="B1959" s="5" t="inlineStr"/>
      <c r="C1959" s="5">
        <f>IF($B1959="","",VLOOKUP($B1959,Jogos!$A$2:$K$105,8,FALSE))</f>
        <v/>
      </c>
      <c r="D1959" s="5">
        <f>IF($B1959="","",VLOOKUP($B1959,Jogos!$A$2:$K$105,10,FALSE))</f>
        <v/>
      </c>
      <c r="E1959" s="5" t="inlineStr"/>
      <c r="F1959" s="5" t="inlineStr"/>
      <c r="G1959" s="8">
        <f>IF($B1959="","",VLOOKUP($B1959,Jogos!$A$2:$K$105,9,FALSE))</f>
        <v/>
      </c>
      <c r="H1959" s="8">
        <f>IF($B1959="","",VLOOKUP($B1959,Jogos!$A$2:$K$105,11,FALSE))</f>
        <v/>
      </c>
      <c r="I1959" s="5">
        <f>IF(OR($A1959="", $B1959="", $E1959="", $F1959="", $G1959="", $H1959=""), "",IF(AND($E1959=$G1959, $F1959=$H1959), 3, IF(SIGN($E1959-$F1959)=SIGN($G1959-$H1959), 1, 0))))</f>
        <v/>
      </c>
    </row>
    <row r="1960">
      <c r="A1960" s="5" t="inlineStr"/>
      <c r="B1960" s="5" t="inlineStr"/>
      <c r="C1960" s="5">
        <f>IF($B1960="","",VLOOKUP($B1960,Jogos!$A$2:$K$105,8,FALSE))</f>
        <v/>
      </c>
      <c r="D1960" s="5">
        <f>IF($B1960="","",VLOOKUP($B1960,Jogos!$A$2:$K$105,10,FALSE))</f>
        <v/>
      </c>
      <c r="E1960" s="5" t="inlineStr"/>
      <c r="F1960" s="5" t="inlineStr"/>
      <c r="G1960" s="8">
        <f>IF($B1960="","",VLOOKUP($B1960,Jogos!$A$2:$K$105,9,FALSE))</f>
        <v/>
      </c>
      <c r="H1960" s="8">
        <f>IF($B1960="","",VLOOKUP($B1960,Jogos!$A$2:$K$105,11,FALSE))</f>
        <v/>
      </c>
      <c r="I1960" s="5">
        <f>IF(OR($A1960="", $B1960="", $E1960="", $F1960="", $G1960="", $H1960=""), "",IF(AND($E1960=$G1960, $F1960=$H1960), 3, IF(SIGN($E1960-$F1960)=SIGN($G1960-$H1960), 1, 0))))</f>
        <v/>
      </c>
    </row>
    <row r="1961">
      <c r="A1961" s="5" t="inlineStr"/>
      <c r="B1961" s="5" t="inlineStr"/>
      <c r="C1961" s="5">
        <f>IF($B1961="","",VLOOKUP($B1961,Jogos!$A$2:$K$105,8,FALSE))</f>
        <v/>
      </c>
      <c r="D1961" s="5">
        <f>IF($B1961="","",VLOOKUP($B1961,Jogos!$A$2:$K$105,10,FALSE))</f>
        <v/>
      </c>
      <c r="E1961" s="5" t="inlineStr"/>
      <c r="F1961" s="5" t="inlineStr"/>
      <c r="G1961" s="8">
        <f>IF($B1961="","",VLOOKUP($B1961,Jogos!$A$2:$K$105,9,FALSE))</f>
        <v/>
      </c>
      <c r="H1961" s="8">
        <f>IF($B1961="","",VLOOKUP($B1961,Jogos!$A$2:$K$105,11,FALSE))</f>
        <v/>
      </c>
      <c r="I1961" s="5">
        <f>IF(OR($A1961="", $B1961="", $E1961="", $F1961="", $G1961="", $H1961=""), "",IF(AND($E1961=$G1961, $F1961=$H1961), 3, IF(SIGN($E1961-$F1961)=SIGN($G1961-$H1961), 1, 0))))</f>
        <v/>
      </c>
    </row>
    <row r="1962">
      <c r="A1962" s="5" t="inlineStr"/>
      <c r="B1962" s="5" t="inlineStr"/>
      <c r="C1962" s="5">
        <f>IF($B1962="","",VLOOKUP($B1962,Jogos!$A$2:$K$105,8,FALSE))</f>
        <v/>
      </c>
      <c r="D1962" s="5">
        <f>IF($B1962="","",VLOOKUP($B1962,Jogos!$A$2:$K$105,10,FALSE))</f>
        <v/>
      </c>
      <c r="E1962" s="5" t="inlineStr"/>
      <c r="F1962" s="5" t="inlineStr"/>
      <c r="G1962" s="8">
        <f>IF($B1962="","",VLOOKUP($B1962,Jogos!$A$2:$K$105,9,FALSE))</f>
        <v/>
      </c>
      <c r="H1962" s="8">
        <f>IF($B1962="","",VLOOKUP($B1962,Jogos!$A$2:$K$105,11,FALSE))</f>
        <v/>
      </c>
      <c r="I1962" s="5">
        <f>IF(OR($A1962="", $B1962="", $E1962="", $F1962="", $G1962="", $H1962=""), "",IF(AND($E1962=$G1962, $F1962=$H1962), 3, IF(SIGN($E1962-$F1962)=SIGN($G1962-$H1962), 1, 0))))</f>
        <v/>
      </c>
    </row>
    <row r="1963">
      <c r="A1963" s="5" t="inlineStr"/>
      <c r="B1963" s="5" t="inlineStr"/>
      <c r="C1963" s="5">
        <f>IF($B1963="","",VLOOKUP($B1963,Jogos!$A$2:$K$105,8,FALSE))</f>
        <v/>
      </c>
      <c r="D1963" s="5">
        <f>IF($B1963="","",VLOOKUP($B1963,Jogos!$A$2:$K$105,10,FALSE))</f>
        <v/>
      </c>
      <c r="E1963" s="5" t="inlineStr"/>
      <c r="F1963" s="5" t="inlineStr"/>
      <c r="G1963" s="8">
        <f>IF($B1963="","",VLOOKUP($B1963,Jogos!$A$2:$K$105,9,FALSE))</f>
        <v/>
      </c>
      <c r="H1963" s="8">
        <f>IF($B1963="","",VLOOKUP($B1963,Jogos!$A$2:$K$105,11,FALSE))</f>
        <v/>
      </c>
      <c r="I1963" s="5">
        <f>IF(OR($A1963="", $B1963="", $E1963="", $F1963="", $G1963="", $H1963=""), "",IF(AND($E1963=$G1963, $F1963=$H1963), 3, IF(SIGN($E1963-$F1963)=SIGN($G1963-$H1963), 1, 0))))</f>
        <v/>
      </c>
    </row>
    <row r="1964">
      <c r="A1964" s="5" t="inlineStr"/>
      <c r="B1964" s="5" t="inlineStr"/>
      <c r="C1964" s="5">
        <f>IF($B1964="","",VLOOKUP($B1964,Jogos!$A$2:$K$105,8,FALSE))</f>
        <v/>
      </c>
      <c r="D1964" s="5">
        <f>IF($B1964="","",VLOOKUP($B1964,Jogos!$A$2:$K$105,10,FALSE))</f>
        <v/>
      </c>
      <c r="E1964" s="5" t="inlineStr"/>
      <c r="F1964" s="5" t="inlineStr"/>
      <c r="G1964" s="8">
        <f>IF($B1964="","",VLOOKUP($B1964,Jogos!$A$2:$K$105,9,FALSE))</f>
        <v/>
      </c>
      <c r="H1964" s="8">
        <f>IF($B1964="","",VLOOKUP($B1964,Jogos!$A$2:$K$105,11,FALSE))</f>
        <v/>
      </c>
      <c r="I1964" s="5">
        <f>IF(OR($A1964="", $B1964="", $E1964="", $F1964="", $G1964="", $H1964=""), "",IF(AND($E1964=$G1964, $F1964=$H1964), 3, IF(SIGN($E1964-$F1964)=SIGN($G1964-$H1964), 1, 0))))</f>
        <v/>
      </c>
    </row>
    <row r="1965">
      <c r="A1965" s="5" t="inlineStr"/>
      <c r="B1965" s="5" t="inlineStr"/>
      <c r="C1965" s="5">
        <f>IF($B1965="","",VLOOKUP($B1965,Jogos!$A$2:$K$105,8,FALSE))</f>
        <v/>
      </c>
      <c r="D1965" s="5">
        <f>IF($B1965="","",VLOOKUP($B1965,Jogos!$A$2:$K$105,10,FALSE))</f>
        <v/>
      </c>
      <c r="E1965" s="5" t="inlineStr"/>
      <c r="F1965" s="5" t="inlineStr"/>
      <c r="G1965" s="8">
        <f>IF($B1965="","",VLOOKUP($B1965,Jogos!$A$2:$K$105,9,FALSE))</f>
        <v/>
      </c>
      <c r="H1965" s="8">
        <f>IF($B1965="","",VLOOKUP($B1965,Jogos!$A$2:$K$105,11,FALSE))</f>
        <v/>
      </c>
      <c r="I1965" s="5">
        <f>IF(OR($A1965="", $B1965="", $E1965="", $F1965="", $G1965="", $H1965=""), "",IF(AND($E1965=$G1965, $F1965=$H1965), 3, IF(SIGN($E1965-$F1965)=SIGN($G1965-$H1965), 1, 0))))</f>
        <v/>
      </c>
    </row>
    <row r="1966">
      <c r="A1966" s="5" t="inlineStr"/>
      <c r="B1966" s="5" t="inlineStr"/>
      <c r="C1966" s="5">
        <f>IF($B1966="","",VLOOKUP($B1966,Jogos!$A$2:$K$105,8,FALSE))</f>
        <v/>
      </c>
      <c r="D1966" s="5">
        <f>IF($B1966="","",VLOOKUP($B1966,Jogos!$A$2:$K$105,10,FALSE))</f>
        <v/>
      </c>
      <c r="E1966" s="5" t="inlineStr"/>
      <c r="F1966" s="5" t="inlineStr"/>
      <c r="G1966" s="8">
        <f>IF($B1966="","",VLOOKUP($B1966,Jogos!$A$2:$K$105,9,FALSE))</f>
        <v/>
      </c>
      <c r="H1966" s="8">
        <f>IF($B1966="","",VLOOKUP($B1966,Jogos!$A$2:$K$105,11,FALSE))</f>
        <v/>
      </c>
      <c r="I1966" s="5">
        <f>IF(OR($A1966="", $B1966="", $E1966="", $F1966="", $G1966="", $H1966=""), "",IF(AND($E1966=$G1966, $F1966=$H1966), 3, IF(SIGN($E1966-$F1966)=SIGN($G1966-$H1966), 1, 0))))</f>
        <v/>
      </c>
    </row>
    <row r="1967">
      <c r="A1967" s="5" t="inlineStr"/>
      <c r="B1967" s="5" t="inlineStr"/>
      <c r="C1967" s="5">
        <f>IF($B1967="","",VLOOKUP($B1967,Jogos!$A$2:$K$105,8,FALSE))</f>
        <v/>
      </c>
      <c r="D1967" s="5">
        <f>IF($B1967="","",VLOOKUP($B1967,Jogos!$A$2:$K$105,10,FALSE))</f>
        <v/>
      </c>
      <c r="E1967" s="5" t="inlineStr"/>
      <c r="F1967" s="5" t="inlineStr"/>
      <c r="G1967" s="8">
        <f>IF($B1967="","",VLOOKUP($B1967,Jogos!$A$2:$K$105,9,FALSE))</f>
        <v/>
      </c>
      <c r="H1967" s="8">
        <f>IF($B1967="","",VLOOKUP($B1967,Jogos!$A$2:$K$105,11,FALSE))</f>
        <v/>
      </c>
      <c r="I1967" s="5">
        <f>IF(OR($A1967="", $B1967="", $E1967="", $F1967="", $G1967="", $H1967=""), "",IF(AND($E1967=$G1967, $F1967=$H1967), 3, IF(SIGN($E1967-$F1967)=SIGN($G1967-$H1967), 1, 0))))</f>
        <v/>
      </c>
    </row>
    <row r="1968">
      <c r="A1968" s="5" t="inlineStr"/>
      <c r="B1968" s="5" t="inlineStr"/>
      <c r="C1968" s="5">
        <f>IF($B1968="","",VLOOKUP($B1968,Jogos!$A$2:$K$105,8,FALSE))</f>
        <v/>
      </c>
      <c r="D1968" s="5">
        <f>IF($B1968="","",VLOOKUP($B1968,Jogos!$A$2:$K$105,10,FALSE))</f>
        <v/>
      </c>
      <c r="E1968" s="5" t="inlineStr"/>
      <c r="F1968" s="5" t="inlineStr"/>
      <c r="G1968" s="8">
        <f>IF($B1968="","",VLOOKUP($B1968,Jogos!$A$2:$K$105,9,FALSE))</f>
        <v/>
      </c>
      <c r="H1968" s="8">
        <f>IF($B1968="","",VLOOKUP($B1968,Jogos!$A$2:$K$105,11,FALSE))</f>
        <v/>
      </c>
      <c r="I1968" s="5">
        <f>IF(OR($A1968="", $B1968="", $E1968="", $F1968="", $G1968="", $H1968=""), "",IF(AND($E1968=$G1968, $F1968=$H1968), 3, IF(SIGN($E1968-$F1968)=SIGN($G1968-$H1968), 1, 0))))</f>
        <v/>
      </c>
    </row>
    <row r="1969">
      <c r="A1969" s="5" t="inlineStr"/>
      <c r="B1969" s="5" t="inlineStr"/>
      <c r="C1969" s="5">
        <f>IF($B1969="","",VLOOKUP($B1969,Jogos!$A$2:$K$105,8,FALSE))</f>
        <v/>
      </c>
      <c r="D1969" s="5">
        <f>IF($B1969="","",VLOOKUP($B1969,Jogos!$A$2:$K$105,10,FALSE))</f>
        <v/>
      </c>
      <c r="E1969" s="5" t="inlineStr"/>
      <c r="F1969" s="5" t="inlineStr"/>
      <c r="G1969" s="8">
        <f>IF($B1969="","",VLOOKUP($B1969,Jogos!$A$2:$K$105,9,FALSE))</f>
        <v/>
      </c>
      <c r="H1969" s="8">
        <f>IF($B1969="","",VLOOKUP($B1969,Jogos!$A$2:$K$105,11,FALSE))</f>
        <v/>
      </c>
      <c r="I1969" s="5">
        <f>IF(OR($A1969="", $B1969="", $E1969="", $F1969="", $G1969="", $H1969=""), "",IF(AND($E1969=$G1969, $F1969=$H1969), 3, IF(SIGN($E1969-$F1969)=SIGN($G1969-$H1969), 1, 0))))</f>
        <v/>
      </c>
    </row>
    <row r="1970">
      <c r="A1970" s="5" t="inlineStr"/>
      <c r="B1970" s="5" t="inlineStr"/>
      <c r="C1970" s="5">
        <f>IF($B1970="","",VLOOKUP($B1970,Jogos!$A$2:$K$105,8,FALSE))</f>
        <v/>
      </c>
      <c r="D1970" s="5">
        <f>IF($B1970="","",VLOOKUP($B1970,Jogos!$A$2:$K$105,10,FALSE))</f>
        <v/>
      </c>
      <c r="E1970" s="5" t="inlineStr"/>
      <c r="F1970" s="5" t="inlineStr"/>
      <c r="G1970" s="8">
        <f>IF($B1970="","",VLOOKUP($B1970,Jogos!$A$2:$K$105,9,FALSE))</f>
        <v/>
      </c>
      <c r="H1970" s="8">
        <f>IF($B1970="","",VLOOKUP($B1970,Jogos!$A$2:$K$105,11,FALSE))</f>
        <v/>
      </c>
      <c r="I1970" s="5">
        <f>IF(OR($A1970="", $B1970="", $E1970="", $F1970="", $G1970="", $H1970=""), "",IF(AND($E1970=$G1970, $F1970=$H1970), 3, IF(SIGN($E1970-$F1970)=SIGN($G1970-$H1970), 1, 0))))</f>
        <v/>
      </c>
    </row>
    <row r="1971">
      <c r="A1971" s="5" t="inlineStr"/>
      <c r="B1971" s="5" t="inlineStr"/>
      <c r="C1971" s="5">
        <f>IF($B1971="","",VLOOKUP($B1971,Jogos!$A$2:$K$105,8,FALSE))</f>
        <v/>
      </c>
      <c r="D1971" s="5">
        <f>IF($B1971="","",VLOOKUP($B1971,Jogos!$A$2:$K$105,10,FALSE))</f>
        <v/>
      </c>
      <c r="E1971" s="5" t="inlineStr"/>
      <c r="F1971" s="5" t="inlineStr"/>
      <c r="G1971" s="8">
        <f>IF($B1971="","",VLOOKUP($B1971,Jogos!$A$2:$K$105,9,FALSE))</f>
        <v/>
      </c>
      <c r="H1971" s="8">
        <f>IF($B1971="","",VLOOKUP($B1971,Jogos!$A$2:$K$105,11,FALSE))</f>
        <v/>
      </c>
      <c r="I1971" s="5">
        <f>IF(OR($A1971="", $B1971="", $E1971="", $F1971="", $G1971="", $H1971=""), "",IF(AND($E1971=$G1971, $F1971=$H1971), 3, IF(SIGN($E1971-$F1971)=SIGN($G1971-$H1971), 1, 0))))</f>
        <v/>
      </c>
    </row>
    <row r="1972">
      <c r="A1972" s="5" t="inlineStr"/>
      <c r="B1972" s="5" t="inlineStr"/>
      <c r="C1972" s="5">
        <f>IF($B1972="","",VLOOKUP($B1972,Jogos!$A$2:$K$105,8,FALSE))</f>
        <v/>
      </c>
      <c r="D1972" s="5">
        <f>IF($B1972="","",VLOOKUP($B1972,Jogos!$A$2:$K$105,10,FALSE))</f>
        <v/>
      </c>
      <c r="E1972" s="5" t="inlineStr"/>
      <c r="F1972" s="5" t="inlineStr"/>
      <c r="G1972" s="8">
        <f>IF($B1972="","",VLOOKUP($B1972,Jogos!$A$2:$K$105,9,FALSE))</f>
        <v/>
      </c>
      <c r="H1972" s="8">
        <f>IF($B1972="","",VLOOKUP($B1972,Jogos!$A$2:$K$105,11,FALSE))</f>
        <v/>
      </c>
      <c r="I1972" s="5">
        <f>IF(OR($A1972="", $B1972="", $E1972="", $F1972="", $G1972="", $H1972=""), "",IF(AND($E1972=$G1972, $F1972=$H1972), 3, IF(SIGN($E1972-$F1972)=SIGN($G1972-$H1972), 1, 0))))</f>
        <v/>
      </c>
    </row>
    <row r="1973">
      <c r="A1973" s="5" t="inlineStr"/>
      <c r="B1973" s="5" t="inlineStr"/>
      <c r="C1973" s="5">
        <f>IF($B1973="","",VLOOKUP($B1973,Jogos!$A$2:$K$105,8,FALSE))</f>
        <v/>
      </c>
      <c r="D1973" s="5">
        <f>IF($B1973="","",VLOOKUP($B1973,Jogos!$A$2:$K$105,10,FALSE))</f>
        <v/>
      </c>
      <c r="E1973" s="5" t="inlineStr"/>
      <c r="F1973" s="5" t="inlineStr"/>
      <c r="G1973" s="8">
        <f>IF($B1973="","",VLOOKUP($B1973,Jogos!$A$2:$K$105,9,FALSE))</f>
        <v/>
      </c>
      <c r="H1973" s="8">
        <f>IF($B1973="","",VLOOKUP($B1973,Jogos!$A$2:$K$105,11,FALSE))</f>
        <v/>
      </c>
      <c r="I1973" s="5">
        <f>IF(OR($A1973="", $B1973="", $E1973="", $F1973="", $G1973="", $H1973=""), "",IF(AND($E1973=$G1973, $F1973=$H1973), 3, IF(SIGN($E1973-$F1973)=SIGN($G1973-$H1973), 1, 0))))</f>
        <v/>
      </c>
    </row>
    <row r="1974">
      <c r="A1974" s="5" t="inlineStr"/>
      <c r="B1974" s="5" t="inlineStr"/>
      <c r="C1974" s="5">
        <f>IF($B1974="","",VLOOKUP($B1974,Jogos!$A$2:$K$105,8,FALSE))</f>
        <v/>
      </c>
      <c r="D1974" s="5">
        <f>IF($B1974="","",VLOOKUP($B1974,Jogos!$A$2:$K$105,10,FALSE))</f>
        <v/>
      </c>
      <c r="E1974" s="5" t="inlineStr"/>
      <c r="F1974" s="5" t="inlineStr"/>
      <c r="G1974" s="8">
        <f>IF($B1974="","",VLOOKUP($B1974,Jogos!$A$2:$K$105,9,FALSE))</f>
        <v/>
      </c>
      <c r="H1974" s="8">
        <f>IF($B1974="","",VLOOKUP($B1974,Jogos!$A$2:$K$105,11,FALSE))</f>
        <v/>
      </c>
      <c r="I1974" s="5">
        <f>IF(OR($A1974="", $B1974="", $E1974="", $F1974="", $G1974="", $H1974=""), "",IF(AND($E1974=$G1974, $F1974=$H1974), 3, IF(SIGN($E1974-$F1974)=SIGN($G1974-$H1974), 1, 0))))</f>
        <v/>
      </c>
    </row>
    <row r="1975">
      <c r="A1975" s="5" t="inlineStr"/>
      <c r="B1975" s="5" t="inlineStr"/>
      <c r="C1975" s="5">
        <f>IF($B1975="","",VLOOKUP($B1975,Jogos!$A$2:$K$105,8,FALSE))</f>
        <v/>
      </c>
      <c r="D1975" s="5">
        <f>IF($B1975="","",VLOOKUP($B1975,Jogos!$A$2:$K$105,10,FALSE))</f>
        <v/>
      </c>
      <c r="E1975" s="5" t="inlineStr"/>
      <c r="F1975" s="5" t="inlineStr"/>
      <c r="G1975" s="8">
        <f>IF($B1975="","",VLOOKUP($B1975,Jogos!$A$2:$K$105,9,FALSE))</f>
        <v/>
      </c>
      <c r="H1975" s="8">
        <f>IF($B1975="","",VLOOKUP($B1975,Jogos!$A$2:$K$105,11,FALSE))</f>
        <v/>
      </c>
      <c r="I1975" s="5">
        <f>IF(OR($A1975="", $B1975="", $E1975="", $F1975="", $G1975="", $H1975=""), "",IF(AND($E1975=$G1975, $F1975=$H1975), 3, IF(SIGN($E1975-$F1975)=SIGN($G1975-$H1975), 1, 0))))</f>
        <v/>
      </c>
    </row>
    <row r="1976">
      <c r="A1976" s="5" t="inlineStr"/>
      <c r="B1976" s="5" t="inlineStr"/>
      <c r="C1976" s="5">
        <f>IF($B1976="","",VLOOKUP($B1976,Jogos!$A$2:$K$105,8,FALSE))</f>
        <v/>
      </c>
      <c r="D1976" s="5">
        <f>IF($B1976="","",VLOOKUP($B1976,Jogos!$A$2:$K$105,10,FALSE))</f>
        <v/>
      </c>
      <c r="E1976" s="5" t="inlineStr"/>
      <c r="F1976" s="5" t="inlineStr"/>
      <c r="G1976" s="8">
        <f>IF($B1976="","",VLOOKUP($B1976,Jogos!$A$2:$K$105,9,FALSE))</f>
        <v/>
      </c>
      <c r="H1976" s="8">
        <f>IF($B1976="","",VLOOKUP($B1976,Jogos!$A$2:$K$105,11,FALSE))</f>
        <v/>
      </c>
      <c r="I1976" s="5">
        <f>IF(OR($A1976="", $B1976="", $E1976="", $F1976="", $G1976="", $H1976=""), "",IF(AND($E1976=$G1976, $F1976=$H1976), 3, IF(SIGN($E1976-$F1976)=SIGN($G1976-$H1976), 1, 0))))</f>
        <v/>
      </c>
    </row>
    <row r="1977">
      <c r="A1977" s="5" t="inlineStr"/>
      <c r="B1977" s="5" t="inlineStr"/>
      <c r="C1977" s="5">
        <f>IF($B1977="","",VLOOKUP($B1977,Jogos!$A$2:$K$105,8,FALSE))</f>
        <v/>
      </c>
      <c r="D1977" s="5">
        <f>IF($B1977="","",VLOOKUP($B1977,Jogos!$A$2:$K$105,10,FALSE))</f>
        <v/>
      </c>
      <c r="E1977" s="5" t="inlineStr"/>
      <c r="F1977" s="5" t="inlineStr"/>
      <c r="G1977" s="8">
        <f>IF($B1977="","",VLOOKUP($B1977,Jogos!$A$2:$K$105,9,FALSE))</f>
        <v/>
      </c>
      <c r="H1977" s="8">
        <f>IF($B1977="","",VLOOKUP($B1977,Jogos!$A$2:$K$105,11,FALSE))</f>
        <v/>
      </c>
      <c r="I1977" s="5">
        <f>IF(OR($A1977="", $B1977="", $E1977="", $F1977="", $G1977="", $H1977=""), "",IF(AND($E1977=$G1977, $F1977=$H1977), 3, IF(SIGN($E1977-$F1977)=SIGN($G1977-$H1977), 1, 0))))</f>
        <v/>
      </c>
    </row>
    <row r="1978">
      <c r="A1978" s="5" t="inlineStr"/>
      <c r="B1978" s="5" t="inlineStr"/>
      <c r="C1978" s="5">
        <f>IF($B1978="","",VLOOKUP($B1978,Jogos!$A$2:$K$105,8,FALSE))</f>
        <v/>
      </c>
      <c r="D1978" s="5">
        <f>IF($B1978="","",VLOOKUP($B1978,Jogos!$A$2:$K$105,10,FALSE))</f>
        <v/>
      </c>
      <c r="E1978" s="5" t="inlineStr"/>
      <c r="F1978" s="5" t="inlineStr"/>
      <c r="G1978" s="8">
        <f>IF($B1978="","",VLOOKUP($B1978,Jogos!$A$2:$K$105,9,FALSE))</f>
        <v/>
      </c>
      <c r="H1978" s="8">
        <f>IF($B1978="","",VLOOKUP($B1978,Jogos!$A$2:$K$105,11,FALSE))</f>
        <v/>
      </c>
      <c r="I1978" s="5">
        <f>IF(OR($A1978="", $B1978="", $E1978="", $F1978="", $G1978="", $H1978=""), "",IF(AND($E1978=$G1978, $F1978=$H1978), 3, IF(SIGN($E1978-$F1978)=SIGN($G1978-$H1978), 1, 0))))</f>
        <v/>
      </c>
    </row>
    <row r="1979">
      <c r="A1979" s="5" t="inlineStr"/>
      <c r="B1979" s="5" t="inlineStr"/>
      <c r="C1979" s="5">
        <f>IF($B1979="","",VLOOKUP($B1979,Jogos!$A$2:$K$105,8,FALSE))</f>
        <v/>
      </c>
      <c r="D1979" s="5">
        <f>IF($B1979="","",VLOOKUP($B1979,Jogos!$A$2:$K$105,10,FALSE))</f>
        <v/>
      </c>
      <c r="E1979" s="5" t="inlineStr"/>
      <c r="F1979" s="5" t="inlineStr"/>
      <c r="G1979" s="8">
        <f>IF($B1979="","",VLOOKUP($B1979,Jogos!$A$2:$K$105,9,FALSE))</f>
        <v/>
      </c>
      <c r="H1979" s="8">
        <f>IF($B1979="","",VLOOKUP($B1979,Jogos!$A$2:$K$105,11,FALSE))</f>
        <v/>
      </c>
      <c r="I1979" s="5">
        <f>IF(OR($A1979="", $B1979="", $E1979="", $F1979="", $G1979="", $H1979=""), "",IF(AND($E1979=$G1979, $F1979=$H1979), 3, IF(SIGN($E1979-$F1979)=SIGN($G1979-$H1979), 1, 0))))</f>
        <v/>
      </c>
    </row>
    <row r="1980">
      <c r="A1980" s="5" t="inlineStr"/>
      <c r="B1980" s="5" t="inlineStr"/>
      <c r="C1980" s="5">
        <f>IF($B1980="","",VLOOKUP($B1980,Jogos!$A$2:$K$105,8,FALSE))</f>
        <v/>
      </c>
      <c r="D1980" s="5">
        <f>IF($B1980="","",VLOOKUP($B1980,Jogos!$A$2:$K$105,10,FALSE))</f>
        <v/>
      </c>
      <c r="E1980" s="5" t="inlineStr"/>
      <c r="F1980" s="5" t="inlineStr"/>
      <c r="G1980" s="8">
        <f>IF($B1980="","",VLOOKUP($B1980,Jogos!$A$2:$K$105,9,FALSE))</f>
        <v/>
      </c>
      <c r="H1980" s="8">
        <f>IF($B1980="","",VLOOKUP($B1980,Jogos!$A$2:$K$105,11,FALSE))</f>
        <v/>
      </c>
      <c r="I1980" s="5">
        <f>IF(OR($A1980="", $B1980="", $E1980="", $F1980="", $G1980="", $H1980=""), "",IF(AND($E1980=$G1980, $F1980=$H1980), 3, IF(SIGN($E1980-$F1980)=SIGN($G1980-$H1980), 1, 0))))</f>
        <v/>
      </c>
    </row>
    <row r="1981">
      <c r="A1981" s="5" t="inlineStr"/>
      <c r="B1981" s="5" t="inlineStr"/>
      <c r="C1981" s="5">
        <f>IF($B1981="","",VLOOKUP($B1981,Jogos!$A$2:$K$105,8,FALSE))</f>
        <v/>
      </c>
      <c r="D1981" s="5">
        <f>IF($B1981="","",VLOOKUP($B1981,Jogos!$A$2:$K$105,10,FALSE))</f>
        <v/>
      </c>
      <c r="E1981" s="5" t="inlineStr"/>
      <c r="F1981" s="5" t="inlineStr"/>
      <c r="G1981" s="8">
        <f>IF($B1981="","",VLOOKUP($B1981,Jogos!$A$2:$K$105,9,FALSE))</f>
        <v/>
      </c>
      <c r="H1981" s="8">
        <f>IF($B1981="","",VLOOKUP($B1981,Jogos!$A$2:$K$105,11,FALSE))</f>
        <v/>
      </c>
      <c r="I1981" s="5">
        <f>IF(OR($A1981="", $B1981="", $E1981="", $F1981="", $G1981="", $H1981=""), "",IF(AND($E1981=$G1981, $F1981=$H1981), 3, IF(SIGN($E1981-$F1981)=SIGN($G1981-$H1981), 1, 0))))</f>
        <v/>
      </c>
    </row>
    <row r="1982">
      <c r="A1982" s="5" t="inlineStr"/>
      <c r="B1982" s="5" t="inlineStr"/>
      <c r="C1982" s="5">
        <f>IF($B1982="","",VLOOKUP($B1982,Jogos!$A$2:$K$105,8,FALSE))</f>
        <v/>
      </c>
      <c r="D1982" s="5">
        <f>IF($B1982="","",VLOOKUP($B1982,Jogos!$A$2:$K$105,10,FALSE))</f>
        <v/>
      </c>
      <c r="E1982" s="5" t="inlineStr"/>
      <c r="F1982" s="5" t="inlineStr"/>
      <c r="G1982" s="8">
        <f>IF($B1982="","",VLOOKUP($B1982,Jogos!$A$2:$K$105,9,FALSE))</f>
        <v/>
      </c>
      <c r="H1982" s="8">
        <f>IF($B1982="","",VLOOKUP($B1982,Jogos!$A$2:$K$105,11,FALSE))</f>
        <v/>
      </c>
      <c r="I1982" s="5">
        <f>IF(OR($A1982="", $B1982="", $E1982="", $F1982="", $G1982="", $H1982=""), "",IF(AND($E1982=$G1982, $F1982=$H1982), 3, IF(SIGN($E1982-$F1982)=SIGN($G1982-$H1982), 1, 0))))</f>
        <v/>
      </c>
    </row>
    <row r="1983">
      <c r="A1983" s="5" t="inlineStr"/>
      <c r="B1983" s="5" t="inlineStr"/>
      <c r="C1983" s="5">
        <f>IF($B1983="","",VLOOKUP($B1983,Jogos!$A$2:$K$105,8,FALSE))</f>
        <v/>
      </c>
      <c r="D1983" s="5">
        <f>IF($B1983="","",VLOOKUP($B1983,Jogos!$A$2:$K$105,10,FALSE))</f>
        <v/>
      </c>
      <c r="E1983" s="5" t="inlineStr"/>
      <c r="F1983" s="5" t="inlineStr"/>
      <c r="G1983" s="8">
        <f>IF($B1983="","",VLOOKUP($B1983,Jogos!$A$2:$K$105,9,FALSE))</f>
        <v/>
      </c>
      <c r="H1983" s="8">
        <f>IF($B1983="","",VLOOKUP($B1983,Jogos!$A$2:$K$105,11,FALSE))</f>
        <v/>
      </c>
      <c r="I1983" s="5">
        <f>IF(OR($A1983="", $B1983="", $E1983="", $F1983="", $G1983="", $H1983=""), "",IF(AND($E1983=$G1983, $F1983=$H1983), 3, IF(SIGN($E1983-$F1983)=SIGN($G1983-$H1983), 1, 0))))</f>
        <v/>
      </c>
    </row>
    <row r="1984">
      <c r="A1984" s="5" t="inlineStr"/>
      <c r="B1984" s="5" t="inlineStr"/>
      <c r="C1984" s="5">
        <f>IF($B1984="","",VLOOKUP($B1984,Jogos!$A$2:$K$105,8,FALSE))</f>
        <v/>
      </c>
      <c r="D1984" s="5">
        <f>IF($B1984="","",VLOOKUP($B1984,Jogos!$A$2:$K$105,10,FALSE))</f>
        <v/>
      </c>
      <c r="E1984" s="5" t="inlineStr"/>
      <c r="F1984" s="5" t="inlineStr"/>
      <c r="G1984" s="8">
        <f>IF($B1984="","",VLOOKUP($B1984,Jogos!$A$2:$K$105,9,FALSE))</f>
        <v/>
      </c>
      <c r="H1984" s="8">
        <f>IF($B1984="","",VLOOKUP($B1984,Jogos!$A$2:$K$105,11,FALSE))</f>
        <v/>
      </c>
      <c r="I1984" s="5">
        <f>IF(OR($A1984="", $B1984="", $E1984="", $F1984="", $G1984="", $H1984=""), "",IF(AND($E1984=$G1984, $F1984=$H1984), 3, IF(SIGN($E1984-$F1984)=SIGN($G1984-$H1984), 1, 0))))</f>
        <v/>
      </c>
    </row>
    <row r="1985">
      <c r="A1985" s="5" t="inlineStr"/>
      <c r="B1985" s="5" t="inlineStr"/>
      <c r="C1985" s="5">
        <f>IF($B1985="","",VLOOKUP($B1985,Jogos!$A$2:$K$105,8,FALSE))</f>
        <v/>
      </c>
      <c r="D1985" s="5">
        <f>IF($B1985="","",VLOOKUP($B1985,Jogos!$A$2:$K$105,10,FALSE))</f>
        <v/>
      </c>
      <c r="E1985" s="5" t="inlineStr"/>
      <c r="F1985" s="5" t="inlineStr"/>
      <c r="G1985" s="8">
        <f>IF($B1985="","",VLOOKUP($B1985,Jogos!$A$2:$K$105,9,FALSE))</f>
        <v/>
      </c>
      <c r="H1985" s="8">
        <f>IF($B1985="","",VLOOKUP($B1985,Jogos!$A$2:$K$105,11,FALSE))</f>
        <v/>
      </c>
      <c r="I1985" s="5">
        <f>IF(OR($A1985="", $B1985="", $E1985="", $F1985="", $G1985="", $H1985=""), "",IF(AND($E1985=$G1985, $F1985=$H1985), 3, IF(SIGN($E1985-$F1985)=SIGN($G1985-$H1985), 1, 0))))</f>
        <v/>
      </c>
    </row>
    <row r="1986">
      <c r="A1986" s="5" t="inlineStr"/>
      <c r="B1986" s="5" t="inlineStr"/>
      <c r="C1986" s="5">
        <f>IF($B1986="","",VLOOKUP($B1986,Jogos!$A$2:$K$105,8,FALSE))</f>
        <v/>
      </c>
      <c r="D1986" s="5">
        <f>IF($B1986="","",VLOOKUP($B1986,Jogos!$A$2:$K$105,10,FALSE))</f>
        <v/>
      </c>
      <c r="E1986" s="5" t="inlineStr"/>
      <c r="F1986" s="5" t="inlineStr"/>
      <c r="G1986" s="8">
        <f>IF($B1986="","",VLOOKUP($B1986,Jogos!$A$2:$K$105,9,FALSE))</f>
        <v/>
      </c>
      <c r="H1986" s="8">
        <f>IF($B1986="","",VLOOKUP($B1986,Jogos!$A$2:$K$105,11,FALSE))</f>
        <v/>
      </c>
      <c r="I1986" s="5">
        <f>IF(OR($A1986="", $B1986="", $E1986="", $F1986="", $G1986="", $H1986=""), "",IF(AND($E1986=$G1986, $F1986=$H1986), 3, IF(SIGN($E1986-$F1986)=SIGN($G1986-$H1986), 1, 0))))</f>
        <v/>
      </c>
    </row>
    <row r="1987">
      <c r="A1987" s="5" t="inlineStr"/>
      <c r="B1987" s="5" t="inlineStr"/>
      <c r="C1987" s="5">
        <f>IF($B1987="","",VLOOKUP($B1987,Jogos!$A$2:$K$105,8,FALSE))</f>
        <v/>
      </c>
      <c r="D1987" s="5">
        <f>IF($B1987="","",VLOOKUP($B1987,Jogos!$A$2:$K$105,10,FALSE))</f>
        <v/>
      </c>
      <c r="E1987" s="5" t="inlineStr"/>
      <c r="F1987" s="5" t="inlineStr"/>
      <c r="G1987" s="8">
        <f>IF($B1987="","",VLOOKUP($B1987,Jogos!$A$2:$K$105,9,FALSE))</f>
        <v/>
      </c>
      <c r="H1987" s="8">
        <f>IF($B1987="","",VLOOKUP($B1987,Jogos!$A$2:$K$105,11,FALSE))</f>
        <v/>
      </c>
      <c r="I1987" s="5">
        <f>IF(OR($A1987="", $B1987="", $E1987="", $F1987="", $G1987="", $H1987=""), "",IF(AND($E1987=$G1987, $F1987=$H1987), 3, IF(SIGN($E1987-$F1987)=SIGN($G1987-$H1987), 1, 0))))</f>
        <v/>
      </c>
    </row>
    <row r="1988">
      <c r="A1988" s="5" t="inlineStr"/>
      <c r="B1988" s="5" t="inlineStr"/>
      <c r="C1988" s="5">
        <f>IF($B1988="","",VLOOKUP($B1988,Jogos!$A$2:$K$105,8,FALSE))</f>
        <v/>
      </c>
      <c r="D1988" s="5">
        <f>IF($B1988="","",VLOOKUP($B1988,Jogos!$A$2:$K$105,10,FALSE))</f>
        <v/>
      </c>
      <c r="E1988" s="5" t="inlineStr"/>
      <c r="F1988" s="5" t="inlineStr"/>
      <c r="G1988" s="8">
        <f>IF($B1988="","",VLOOKUP($B1988,Jogos!$A$2:$K$105,9,FALSE))</f>
        <v/>
      </c>
      <c r="H1988" s="8">
        <f>IF($B1988="","",VLOOKUP($B1988,Jogos!$A$2:$K$105,11,FALSE))</f>
        <v/>
      </c>
      <c r="I1988" s="5">
        <f>IF(OR($A1988="", $B1988="", $E1988="", $F1988="", $G1988="", $H1988=""), "",IF(AND($E1988=$G1988, $F1988=$H1988), 3, IF(SIGN($E1988-$F1988)=SIGN($G1988-$H1988), 1, 0))))</f>
        <v/>
      </c>
    </row>
    <row r="1989">
      <c r="A1989" s="5" t="inlineStr"/>
      <c r="B1989" s="5" t="inlineStr"/>
      <c r="C1989" s="5">
        <f>IF($B1989="","",VLOOKUP($B1989,Jogos!$A$2:$K$105,8,FALSE))</f>
        <v/>
      </c>
      <c r="D1989" s="5">
        <f>IF($B1989="","",VLOOKUP($B1989,Jogos!$A$2:$K$105,10,FALSE))</f>
        <v/>
      </c>
      <c r="E1989" s="5" t="inlineStr"/>
      <c r="F1989" s="5" t="inlineStr"/>
      <c r="G1989" s="8">
        <f>IF($B1989="","",VLOOKUP($B1989,Jogos!$A$2:$K$105,9,FALSE))</f>
        <v/>
      </c>
      <c r="H1989" s="8">
        <f>IF($B1989="","",VLOOKUP($B1989,Jogos!$A$2:$K$105,11,FALSE))</f>
        <v/>
      </c>
      <c r="I1989" s="5">
        <f>IF(OR($A1989="", $B1989="", $E1989="", $F1989="", $G1989="", $H1989=""), "",IF(AND($E1989=$G1989, $F1989=$H1989), 3, IF(SIGN($E1989-$F1989)=SIGN($G1989-$H1989), 1, 0))))</f>
        <v/>
      </c>
    </row>
    <row r="1990">
      <c r="A1990" s="5" t="inlineStr"/>
      <c r="B1990" s="5" t="inlineStr"/>
      <c r="C1990" s="5">
        <f>IF($B1990="","",VLOOKUP($B1990,Jogos!$A$2:$K$105,8,FALSE))</f>
        <v/>
      </c>
      <c r="D1990" s="5">
        <f>IF($B1990="","",VLOOKUP($B1990,Jogos!$A$2:$K$105,10,FALSE))</f>
        <v/>
      </c>
      <c r="E1990" s="5" t="inlineStr"/>
      <c r="F1990" s="5" t="inlineStr"/>
      <c r="G1990" s="8">
        <f>IF($B1990="","",VLOOKUP($B1990,Jogos!$A$2:$K$105,9,FALSE))</f>
        <v/>
      </c>
      <c r="H1990" s="8">
        <f>IF($B1990="","",VLOOKUP($B1990,Jogos!$A$2:$K$105,11,FALSE))</f>
        <v/>
      </c>
      <c r="I1990" s="5">
        <f>IF(OR($A1990="", $B1990="", $E1990="", $F1990="", $G1990="", $H1990=""), "",IF(AND($E1990=$G1990, $F1990=$H1990), 3, IF(SIGN($E1990-$F1990)=SIGN($G1990-$H1990), 1, 0))))</f>
        <v/>
      </c>
    </row>
    <row r="1991">
      <c r="A1991" s="5" t="inlineStr"/>
      <c r="B1991" s="5" t="inlineStr"/>
      <c r="C1991" s="5">
        <f>IF($B1991="","",VLOOKUP($B1991,Jogos!$A$2:$K$105,8,FALSE))</f>
        <v/>
      </c>
      <c r="D1991" s="5">
        <f>IF($B1991="","",VLOOKUP($B1991,Jogos!$A$2:$K$105,10,FALSE))</f>
        <v/>
      </c>
      <c r="E1991" s="5" t="inlineStr"/>
      <c r="F1991" s="5" t="inlineStr"/>
      <c r="G1991" s="8">
        <f>IF($B1991="","",VLOOKUP($B1991,Jogos!$A$2:$K$105,9,FALSE))</f>
        <v/>
      </c>
      <c r="H1991" s="8">
        <f>IF($B1991="","",VLOOKUP($B1991,Jogos!$A$2:$K$105,11,FALSE))</f>
        <v/>
      </c>
      <c r="I1991" s="5">
        <f>IF(OR($A1991="", $B1991="", $E1991="", $F1991="", $G1991="", $H1991=""), "",IF(AND($E1991=$G1991, $F1991=$H1991), 3, IF(SIGN($E1991-$F1991)=SIGN($G1991-$H1991), 1, 0))))</f>
        <v/>
      </c>
    </row>
    <row r="1992">
      <c r="A1992" s="5" t="inlineStr"/>
      <c r="B1992" s="5" t="inlineStr"/>
      <c r="C1992" s="5">
        <f>IF($B1992="","",VLOOKUP($B1992,Jogos!$A$2:$K$105,8,FALSE))</f>
        <v/>
      </c>
      <c r="D1992" s="5">
        <f>IF($B1992="","",VLOOKUP($B1992,Jogos!$A$2:$K$105,10,FALSE))</f>
        <v/>
      </c>
      <c r="E1992" s="5" t="inlineStr"/>
      <c r="F1992" s="5" t="inlineStr"/>
      <c r="G1992" s="8">
        <f>IF($B1992="","",VLOOKUP($B1992,Jogos!$A$2:$K$105,9,FALSE))</f>
        <v/>
      </c>
      <c r="H1992" s="8">
        <f>IF($B1992="","",VLOOKUP($B1992,Jogos!$A$2:$K$105,11,FALSE))</f>
        <v/>
      </c>
      <c r="I1992" s="5">
        <f>IF(OR($A1992="", $B1992="", $E1992="", $F1992="", $G1992="", $H1992=""), "",IF(AND($E1992=$G1992, $F1992=$H1992), 3, IF(SIGN($E1992-$F1992)=SIGN($G1992-$H1992), 1, 0))))</f>
        <v/>
      </c>
    </row>
    <row r="1993">
      <c r="A1993" s="5" t="inlineStr"/>
      <c r="B1993" s="5" t="inlineStr"/>
      <c r="C1993" s="5">
        <f>IF($B1993="","",VLOOKUP($B1993,Jogos!$A$2:$K$105,8,FALSE))</f>
        <v/>
      </c>
      <c r="D1993" s="5">
        <f>IF($B1993="","",VLOOKUP($B1993,Jogos!$A$2:$K$105,10,FALSE))</f>
        <v/>
      </c>
      <c r="E1993" s="5" t="inlineStr"/>
      <c r="F1993" s="5" t="inlineStr"/>
      <c r="G1993" s="8">
        <f>IF($B1993="","",VLOOKUP($B1993,Jogos!$A$2:$K$105,9,FALSE))</f>
        <v/>
      </c>
      <c r="H1993" s="8">
        <f>IF($B1993="","",VLOOKUP($B1993,Jogos!$A$2:$K$105,11,FALSE))</f>
        <v/>
      </c>
      <c r="I1993" s="5">
        <f>IF(OR($A1993="", $B1993="", $E1993="", $F1993="", $G1993="", $H1993=""), "",IF(AND($E1993=$G1993, $F1993=$H1993), 3, IF(SIGN($E1993-$F1993)=SIGN($G1993-$H1993), 1, 0))))</f>
        <v/>
      </c>
    </row>
    <row r="1994">
      <c r="A1994" s="5" t="inlineStr"/>
      <c r="B1994" s="5" t="inlineStr"/>
      <c r="C1994" s="5">
        <f>IF($B1994="","",VLOOKUP($B1994,Jogos!$A$2:$K$105,8,FALSE))</f>
        <v/>
      </c>
      <c r="D1994" s="5">
        <f>IF($B1994="","",VLOOKUP($B1994,Jogos!$A$2:$K$105,10,FALSE))</f>
        <v/>
      </c>
      <c r="E1994" s="5" t="inlineStr"/>
      <c r="F1994" s="5" t="inlineStr"/>
      <c r="G1994" s="8">
        <f>IF($B1994="","",VLOOKUP($B1994,Jogos!$A$2:$K$105,9,FALSE))</f>
        <v/>
      </c>
      <c r="H1994" s="8">
        <f>IF($B1994="","",VLOOKUP($B1994,Jogos!$A$2:$K$105,11,FALSE))</f>
        <v/>
      </c>
      <c r="I1994" s="5">
        <f>IF(OR($A1994="", $B1994="", $E1994="", $F1994="", $G1994="", $H1994=""), "",IF(AND($E1994=$G1994, $F1994=$H1994), 3, IF(SIGN($E1994-$F1994)=SIGN($G1994-$H1994), 1, 0))))</f>
        <v/>
      </c>
    </row>
    <row r="1995">
      <c r="A1995" s="5" t="inlineStr"/>
      <c r="B1995" s="5" t="inlineStr"/>
      <c r="C1995" s="5">
        <f>IF($B1995="","",VLOOKUP($B1995,Jogos!$A$2:$K$105,8,FALSE))</f>
        <v/>
      </c>
      <c r="D1995" s="5">
        <f>IF($B1995="","",VLOOKUP($B1995,Jogos!$A$2:$K$105,10,FALSE))</f>
        <v/>
      </c>
      <c r="E1995" s="5" t="inlineStr"/>
      <c r="F1995" s="5" t="inlineStr"/>
      <c r="G1995" s="8">
        <f>IF($B1995="","",VLOOKUP($B1995,Jogos!$A$2:$K$105,9,FALSE))</f>
        <v/>
      </c>
      <c r="H1995" s="8">
        <f>IF($B1995="","",VLOOKUP($B1995,Jogos!$A$2:$K$105,11,FALSE))</f>
        <v/>
      </c>
      <c r="I1995" s="5">
        <f>IF(OR($A1995="", $B1995="", $E1995="", $F1995="", $G1995="", $H1995=""), "",IF(AND($E1995=$G1995, $F1995=$H1995), 3, IF(SIGN($E1995-$F1995)=SIGN($G1995-$H1995), 1, 0))))</f>
        <v/>
      </c>
    </row>
    <row r="1996">
      <c r="A1996" s="5" t="inlineStr"/>
      <c r="B1996" s="5" t="inlineStr"/>
      <c r="C1996" s="5">
        <f>IF($B1996="","",VLOOKUP($B1996,Jogos!$A$2:$K$105,8,FALSE))</f>
        <v/>
      </c>
      <c r="D1996" s="5">
        <f>IF($B1996="","",VLOOKUP($B1996,Jogos!$A$2:$K$105,10,FALSE))</f>
        <v/>
      </c>
      <c r="E1996" s="5" t="inlineStr"/>
      <c r="F1996" s="5" t="inlineStr"/>
      <c r="G1996" s="8">
        <f>IF($B1996="","",VLOOKUP($B1996,Jogos!$A$2:$K$105,9,FALSE))</f>
        <v/>
      </c>
      <c r="H1996" s="8">
        <f>IF($B1996="","",VLOOKUP($B1996,Jogos!$A$2:$K$105,11,FALSE))</f>
        <v/>
      </c>
      <c r="I1996" s="5">
        <f>IF(OR($A1996="", $B1996="", $E1996="", $F1996="", $G1996="", $H1996=""), "",IF(AND($E1996=$G1996, $F1996=$H1996), 3, IF(SIGN($E1996-$F1996)=SIGN($G1996-$H1996), 1, 0))))</f>
        <v/>
      </c>
    </row>
    <row r="1997">
      <c r="A1997" s="5" t="inlineStr"/>
      <c r="B1997" s="5" t="inlineStr"/>
      <c r="C1997" s="5">
        <f>IF($B1997="","",VLOOKUP($B1997,Jogos!$A$2:$K$105,8,FALSE))</f>
        <v/>
      </c>
      <c r="D1997" s="5">
        <f>IF($B1997="","",VLOOKUP($B1997,Jogos!$A$2:$K$105,10,FALSE))</f>
        <v/>
      </c>
      <c r="E1997" s="5" t="inlineStr"/>
      <c r="F1997" s="5" t="inlineStr"/>
      <c r="G1997" s="8">
        <f>IF($B1997="","",VLOOKUP($B1997,Jogos!$A$2:$K$105,9,FALSE))</f>
        <v/>
      </c>
      <c r="H1997" s="8">
        <f>IF($B1997="","",VLOOKUP($B1997,Jogos!$A$2:$K$105,11,FALSE))</f>
        <v/>
      </c>
      <c r="I1997" s="5">
        <f>IF(OR($A1997="", $B1997="", $E1997="", $F1997="", $G1997="", $H1997=""), "",IF(AND($E1997=$G1997, $F1997=$H1997), 3, IF(SIGN($E1997-$F1997)=SIGN($G1997-$H1997), 1, 0))))</f>
        <v/>
      </c>
    </row>
    <row r="1998">
      <c r="A1998" s="5" t="inlineStr"/>
      <c r="B1998" s="5" t="inlineStr"/>
      <c r="C1998" s="5">
        <f>IF($B1998="","",VLOOKUP($B1998,Jogos!$A$2:$K$105,8,FALSE))</f>
        <v/>
      </c>
      <c r="D1998" s="5">
        <f>IF($B1998="","",VLOOKUP($B1998,Jogos!$A$2:$K$105,10,FALSE))</f>
        <v/>
      </c>
      <c r="E1998" s="5" t="inlineStr"/>
      <c r="F1998" s="5" t="inlineStr"/>
      <c r="G1998" s="8">
        <f>IF($B1998="","",VLOOKUP($B1998,Jogos!$A$2:$K$105,9,FALSE))</f>
        <v/>
      </c>
      <c r="H1998" s="8">
        <f>IF($B1998="","",VLOOKUP($B1998,Jogos!$A$2:$K$105,11,FALSE))</f>
        <v/>
      </c>
      <c r="I1998" s="5">
        <f>IF(OR($A1998="", $B1998="", $E1998="", $F1998="", $G1998="", $H1998=""), "",IF(AND($E1998=$G1998, $F1998=$H1998), 3, IF(SIGN($E1998-$F1998)=SIGN($G1998-$H1998), 1, 0))))</f>
        <v/>
      </c>
    </row>
    <row r="1999">
      <c r="A1999" s="5" t="inlineStr"/>
      <c r="B1999" s="5" t="inlineStr"/>
      <c r="C1999" s="5">
        <f>IF($B1999="","",VLOOKUP($B1999,Jogos!$A$2:$K$105,8,FALSE))</f>
        <v/>
      </c>
      <c r="D1999" s="5">
        <f>IF($B1999="","",VLOOKUP($B1999,Jogos!$A$2:$K$105,10,FALSE))</f>
        <v/>
      </c>
      <c r="E1999" s="5" t="inlineStr"/>
      <c r="F1999" s="5" t="inlineStr"/>
      <c r="G1999" s="8">
        <f>IF($B1999="","",VLOOKUP($B1999,Jogos!$A$2:$K$105,9,FALSE))</f>
        <v/>
      </c>
      <c r="H1999" s="8">
        <f>IF($B1999="","",VLOOKUP($B1999,Jogos!$A$2:$K$105,11,FALSE))</f>
        <v/>
      </c>
      <c r="I1999" s="5">
        <f>IF(OR($A1999="", $B1999="", $E1999="", $F1999="", $G1999="", $H1999=""), "",IF(AND($E1999=$G1999, $F1999=$H1999), 3, IF(SIGN($E1999-$F1999)=SIGN($G1999-$H1999), 1, 0))))</f>
        <v/>
      </c>
    </row>
    <row r="2000">
      <c r="A2000" s="5" t="inlineStr"/>
      <c r="B2000" s="5" t="inlineStr"/>
      <c r="C2000" s="5">
        <f>IF($B2000="","",VLOOKUP($B2000,Jogos!$A$2:$K$105,8,FALSE))</f>
        <v/>
      </c>
      <c r="D2000" s="5">
        <f>IF($B2000="","",VLOOKUP($B2000,Jogos!$A$2:$K$105,10,FALSE))</f>
        <v/>
      </c>
      <c r="E2000" s="5" t="inlineStr"/>
      <c r="F2000" s="5" t="inlineStr"/>
      <c r="G2000" s="8">
        <f>IF($B2000="","",VLOOKUP($B2000,Jogos!$A$2:$K$105,9,FALSE))</f>
        <v/>
      </c>
      <c r="H2000" s="8">
        <f>IF($B2000="","",VLOOKUP($B2000,Jogos!$A$2:$K$105,11,FALSE))</f>
        <v/>
      </c>
      <c r="I2000" s="5">
        <f>IF(OR($A2000="", $B2000="", $E2000="", $F2000="", $G2000="", $H2000=""), "",IF(AND($E2000=$G2000, $F2000=$H2000), 3, IF(SIGN($E2000-$F2000)=SIGN($G2000-$H2000), 1, 0))))</f>
        <v/>
      </c>
    </row>
    <row r="2001">
      <c r="A2001" s="5" t="inlineStr"/>
      <c r="B2001" s="5" t="inlineStr"/>
      <c r="C2001" s="5">
        <f>IF($B2001="","",VLOOKUP($B2001,Jogos!$A$2:$K$105,8,FALSE))</f>
        <v/>
      </c>
      <c r="D2001" s="5">
        <f>IF($B2001="","",VLOOKUP($B2001,Jogos!$A$2:$K$105,10,FALSE))</f>
        <v/>
      </c>
      <c r="E2001" s="5" t="inlineStr"/>
      <c r="F2001" s="5" t="inlineStr"/>
      <c r="G2001" s="8">
        <f>IF($B2001="","",VLOOKUP($B2001,Jogos!$A$2:$K$105,9,FALSE))</f>
        <v/>
      </c>
      <c r="H2001" s="8">
        <f>IF($B2001="","",VLOOKUP($B2001,Jogos!$A$2:$K$105,11,FALSE))</f>
        <v/>
      </c>
      <c r="I2001" s="5">
        <f>IF(OR($A2001="", $B2001="", $E2001="", $F2001="", $G2001="", $H2001=""), "",IF(AND($E2001=$G2001, $F2001=$H2001), 3, IF(SIGN($E2001-$F2001)=SIGN($G2001-$H2001), 1, 0))))</f>
        <v/>
      </c>
    </row>
    <row r="2002">
      <c r="A2002" s="5" t="inlineStr"/>
      <c r="B2002" s="5" t="inlineStr"/>
      <c r="C2002" s="5">
        <f>IF($B2002="","",VLOOKUP($B2002,Jogos!$A$2:$K$105,8,FALSE))</f>
        <v/>
      </c>
      <c r="D2002" s="5">
        <f>IF($B2002="","",VLOOKUP($B2002,Jogos!$A$2:$K$105,10,FALSE))</f>
        <v/>
      </c>
      <c r="E2002" s="5" t="inlineStr"/>
      <c r="F2002" s="5" t="inlineStr"/>
      <c r="G2002" s="8">
        <f>IF($B2002="","",VLOOKUP($B2002,Jogos!$A$2:$K$105,9,FALSE))</f>
        <v/>
      </c>
      <c r="H2002" s="8">
        <f>IF($B2002="","",VLOOKUP($B2002,Jogos!$A$2:$K$105,11,FALSE))</f>
        <v/>
      </c>
      <c r="I2002" s="5">
        <f>IF(OR($A2002="", $B2002="", $E2002="", $F2002="", $G2002="", $H2002=""), "",IF(AND($E2002=$G2002, $F2002=$H2002), 3, IF(SIGN($E2002-$F2002)=SIGN($G2002-$H2002), 1, 0))))</f>
        <v/>
      </c>
    </row>
    <row r="2003">
      <c r="A2003" s="5" t="inlineStr"/>
      <c r="B2003" s="5" t="inlineStr"/>
      <c r="C2003" s="5">
        <f>IF($B2003="","",VLOOKUP($B2003,Jogos!$A$2:$K$105,8,FALSE))</f>
        <v/>
      </c>
      <c r="D2003" s="5">
        <f>IF($B2003="","",VLOOKUP($B2003,Jogos!$A$2:$K$105,10,FALSE))</f>
        <v/>
      </c>
      <c r="E2003" s="5" t="inlineStr"/>
      <c r="F2003" s="5" t="inlineStr"/>
      <c r="G2003" s="8">
        <f>IF($B2003="","",VLOOKUP($B2003,Jogos!$A$2:$K$105,9,FALSE))</f>
        <v/>
      </c>
      <c r="H2003" s="8">
        <f>IF($B2003="","",VLOOKUP($B2003,Jogos!$A$2:$K$105,11,FALSE))</f>
        <v/>
      </c>
      <c r="I2003" s="5">
        <f>IF(OR($A2003="", $B2003="", $E2003="", $F2003="", $G2003="", $H2003=""), "",IF(AND($E2003=$G2003, $F2003=$H2003), 3, IF(SIGN($E2003-$F2003)=SIGN($G2003-$H2003), 1, 0))))</f>
        <v/>
      </c>
    </row>
    <row r="2004">
      <c r="A2004" s="5" t="inlineStr"/>
      <c r="B2004" s="5" t="inlineStr"/>
      <c r="C2004" s="5">
        <f>IF($B2004="","",VLOOKUP($B2004,Jogos!$A$2:$K$105,8,FALSE))</f>
        <v/>
      </c>
      <c r="D2004" s="5">
        <f>IF($B2004="","",VLOOKUP($B2004,Jogos!$A$2:$K$105,10,FALSE))</f>
        <v/>
      </c>
      <c r="E2004" s="5" t="inlineStr"/>
      <c r="F2004" s="5" t="inlineStr"/>
      <c r="G2004" s="8">
        <f>IF($B2004="","",VLOOKUP($B2004,Jogos!$A$2:$K$105,9,FALSE))</f>
        <v/>
      </c>
      <c r="H2004" s="8">
        <f>IF($B2004="","",VLOOKUP($B2004,Jogos!$A$2:$K$105,11,FALSE))</f>
        <v/>
      </c>
      <c r="I2004" s="5">
        <f>IF(OR($A2004="", $B2004="", $E2004="", $F2004="", $G2004="", $H2004=""), "",IF(AND($E2004=$G2004, $F2004=$H2004), 3, IF(SIGN($E2004-$F2004)=SIGN($G2004-$H2004), 1, 0))))</f>
        <v/>
      </c>
    </row>
    <row r="2005">
      <c r="A2005" s="5" t="inlineStr"/>
      <c r="B2005" s="5" t="inlineStr"/>
      <c r="C2005" s="5">
        <f>IF($B2005="","",VLOOKUP($B2005,Jogos!$A$2:$K$105,8,FALSE))</f>
        <v/>
      </c>
      <c r="D2005" s="5">
        <f>IF($B2005="","",VLOOKUP($B2005,Jogos!$A$2:$K$105,10,FALSE))</f>
        <v/>
      </c>
      <c r="E2005" s="5" t="inlineStr"/>
      <c r="F2005" s="5" t="inlineStr"/>
      <c r="G2005" s="8">
        <f>IF($B2005="","",VLOOKUP($B2005,Jogos!$A$2:$K$105,9,FALSE))</f>
        <v/>
      </c>
      <c r="H2005" s="8">
        <f>IF($B2005="","",VLOOKUP($B2005,Jogos!$A$2:$K$105,11,FALSE))</f>
        <v/>
      </c>
      <c r="I2005" s="5">
        <f>IF(OR($A2005="", $B2005="", $E2005="", $F2005="", $G2005="", $H2005=""), "",IF(AND($E2005=$G2005, $F2005=$H2005), 3, IF(SIGN($E2005-$F2005)=SIGN($G2005-$H2005), 1, 0))))</f>
        <v/>
      </c>
    </row>
    <row r="2006">
      <c r="A2006" s="5" t="inlineStr"/>
      <c r="B2006" s="5" t="inlineStr"/>
      <c r="C2006" s="5">
        <f>IF($B2006="","",VLOOKUP($B2006,Jogos!$A$2:$K$105,8,FALSE))</f>
        <v/>
      </c>
      <c r="D2006" s="5">
        <f>IF($B2006="","",VLOOKUP($B2006,Jogos!$A$2:$K$105,10,FALSE))</f>
        <v/>
      </c>
      <c r="E2006" s="5" t="inlineStr"/>
      <c r="F2006" s="5" t="inlineStr"/>
      <c r="G2006" s="8">
        <f>IF($B2006="","",VLOOKUP($B2006,Jogos!$A$2:$K$105,9,FALSE))</f>
        <v/>
      </c>
      <c r="H2006" s="8">
        <f>IF($B2006="","",VLOOKUP($B2006,Jogos!$A$2:$K$105,11,FALSE))</f>
        <v/>
      </c>
      <c r="I2006" s="5">
        <f>IF(OR($A2006="", $B2006="", $E2006="", $F2006="", $G2006="", $H2006=""), "",IF(AND($E2006=$G2006, $F2006=$H2006), 3, IF(SIGN($E2006-$F2006)=SIGN($G2006-$H2006), 1, 0))))</f>
        <v/>
      </c>
    </row>
    <row r="2007">
      <c r="A2007" s="5" t="inlineStr"/>
      <c r="B2007" s="5" t="inlineStr"/>
      <c r="C2007" s="5">
        <f>IF($B2007="","",VLOOKUP($B2007,Jogos!$A$2:$K$105,8,FALSE))</f>
        <v/>
      </c>
      <c r="D2007" s="5">
        <f>IF($B2007="","",VLOOKUP($B2007,Jogos!$A$2:$K$105,10,FALSE))</f>
        <v/>
      </c>
      <c r="E2007" s="5" t="inlineStr"/>
      <c r="F2007" s="5" t="inlineStr"/>
      <c r="G2007" s="8">
        <f>IF($B2007="","",VLOOKUP($B2007,Jogos!$A$2:$K$105,9,FALSE))</f>
        <v/>
      </c>
      <c r="H2007" s="8">
        <f>IF($B2007="","",VLOOKUP($B2007,Jogos!$A$2:$K$105,11,FALSE))</f>
        <v/>
      </c>
      <c r="I2007" s="5">
        <f>IF(OR($A2007="", $B2007="", $E2007="", $F2007="", $G2007="", $H2007=""), "",IF(AND($E2007=$G2007, $F2007=$H2007), 3, IF(SIGN($E2007-$F2007)=SIGN($G2007-$H2007), 1, 0))))</f>
        <v/>
      </c>
    </row>
    <row r="2008">
      <c r="A2008" s="5" t="inlineStr"/>
      <c r="B2008" s="5" t="inlineStr"/>
      <c r="C2008" s="5">
        <f>IF($B2008="","",VLOOKUP($B2008,Jogos!$A$2:$K$105,8,FALSE))</f>
        <v/>
      </c>
      <c r="D2008" s="5">
        <f>IF($B2008="","",VLOOKUP($B2008,Jogos!$A$2:$K$105,10,FALSE))</f>
        <v/>
      </c>
      <c r="E2008" s="5" t="inlineStr"/>
      <c r="F2008" s="5" t="inlineStr"/>
      <c r="G2008" s="8">
        <f>IF($B2008="","",VLOOKUP($B2008,Jogos!$A$2:$K$105,9,FALSE))</f>
        <v/>
      </c>
      <c r="H2008" s="8">
        <f>IF($B2008="","",VLOOKUP($B2008,Jogos!$A$2:$K$105,11,FALSE))</f>
        <v/>
      </c>
      <c r="I2008" s="5">
        <f>IF(OR($A2008="", $B2008="", $E2008="", $F2008="", $G2008="", $H2008=""), "",IF(AND($E2008=$G2008, $F2008=$H2008), 3, IF(SIGN($E2008-$F2008)=SIGN($G2008-$H2008), 1, 0))))</f>
        <v/>
      </c>
    </row>
    <row r="2009">
      <c r="A2009" s="5" t="inlineStr"/>
      <c r="B2009" s="5" t="inlineStr"/>
      <c r="C2009" s="5">
        <f>IF($B2009="","",VLOOKUP($B2009,Jogos!$A$2:$K$105,8,FALSE))</f>
        <v/>
      </c>
      <c r="D2009" s="5">
        <f>IF($B2009="","",VLOOKUP($B2009,Jogos!$A$2:$K$105,10,FALSE))</f>
        <v/>
      </c>
      <c r="E2009" s="5" t="inlineStr"/>
      <c r="F2009" s="5" t="inlineStr"/>
      <c r="G2009" s="8">
        <f>IF($B2009="","",VLOOKUP($B2009,Jogos!$A$2:$K$105,9,FALSE))</f>
        <v/>
      </c>
      <c r="H2009" s="8">
        <f>IF($B2009="","",VLOOKUP($B2009,Jogos!$A$2:$K$105,11,FALSE))</f>
        <v/>
      </c>
      <c r="I2009" s="5">
        <f>IF(OR($A2009="", $B2009="", $E2009="", $F2009="", $G2009="", $H2009=""), "",IF(AND($E2009=$G2009, $F2009=$H2009), 3, IF(SIGN($E2009-$F2009)=SIGN($G2009-$H2009), 1, 0))))</f>
        <v/>
      </c>
    </row>
    <row r="2010">
      <c r="A2010" s="5" t="inlineStr"/>
      <c r="B2010" s="5" t="inlineStr"/>
      <c r="C2010" s="5">
        <f>IF($B2010="","",VLOOKUP($B2010,Jogos!$A$2:$K$105,8,FALSE))</f>
        <v/>
      </c>
      <c r="D2010" s="5">
        <f>IF($B2010="","",VLOOKUP($B2010,Jogos!$A$2:$K$105,10,FALSE))</f>
        <v/>
      </c>
      <c r="E2010" s="5" t="inlineStr"/>
      <c r="F2010" s="5" t="inlineStr"/>
      <c r="G2010" s="8">
        <f>IF($B2010="","",VLOOKUP($B2010,Jogos!$A$2:$K$105,9,FALSE))</f>
        <v/>
      </c>
      <c r="H2010" s="8">
        <f>IF($B2010="","",VLOOKUP($B2010,Jogos!$A$2:$K$105,11,FALSE))</f>
        <v/>
      </c>
      <c r="I2010" s="5">
        <f>IF(OR($A2010="", $B2010="", $E2010="", $F2010="", $G2010="", $H2010=""), "",IF(AND($E2010=$G2010, $F2010=$H2010), 3, IF(SIGN($E2010-$F2010)=SIGN($G2010-$H2010), 1, 0))))</f>
        <v/>
      </c>
    </row>
    <row r="2011">
      <c r="A2011" s="5" t="inlineStr"/>
      <c r="B2011" s="5" t="inlineStr"/>
      <c r="C2011" s="5">
        <f>IF($B2011="","",VLOOKUP($B2011,Jogos!$A$2:$K$105,8,FALSE))</f>
        <v/>
      </c>
      <c r="D2011" s="5">
        <f>IF($B2011="","",VLOOKUP($B2011,Jogos!$A$2:$K$105,10,FALSE))</f>
        <v/>
      </c>
      <c r="E2011" s="5" t="inlineStr"/>
      <c r="F2011" s="5" t="inlineStr"/>
      <c r="G2011" s="8">
        <f>IF($B2011="","",VLOOKUP($B2011,Jogos!$A$2:$K$105,9,FALSE))</f>
        <v/>
      </c>
      <c r="H2011" s="8">
        <f>IF($B2011="","",VLOOKUP($B2011,Jogos!$A$2:$K$105,11,FALSE))</f>
        <v/>
      </c>
      <c r="I2011" s="5">
        <f>IF(OR($A2011="", $B2011="", $E2011="", $F2011="", $G2011="", $H2011=""), "",IF(AND($E2011=$G2011, $F2011=$H2011), 3, IF(SIGN($E2011-$F2011)=SIGN($G2011-$H2011), 1, 0))))</f>
        <v/>
      </c>
    </row>
    <row r="2012">
      <c r="A2012" s="5" t="inlineStr"/>
      <c r="B2012" s="5" t="inlineStr"/>
      <c r="C2012" s="5">
        <f>IF($B2012="","",VLOOKUP($B2012,Jogos!$A$2:$K$105,8,FALSE))</f>
        <v/>
      </c>
      <c r="D2012" s="5">
        <f>IF($B2012="","",VLOOKUP($B2012,Jogos!$A$2:$K$105,10,FALSE))</f>
        <v/>
      </c>
      <c r="E2012" s="5" t="inlineStr"/>
      <c r="F2012" s="5" t="inlineStr"/>
      <c r="G2012" s="8">
        <f>IF($B2012="","",VLOOKUP($B2012,Jogos!$A$2:$K$105,9,FALSE))</f>
        <v/>
      </c>
      <c r="H2012" s="8">
        <f>IF($B2012="","",VLOOKUP($B2012,Jogos!$A$2:$K$105,11,FALSE))</f>
        <v/>
      </c>
      <c r="I2012" s="5">
        <f>IF(OR($A2012="", $B2012="", $E2012="", $F2012="", $G2012="", $H2012=""), "",IF(AND($E2012=$G2012, $F2012=$H2012), 3, IF(SIGN($E2012-$F2012)=SIGN($G2012-$H2012), 1, 0))))</f>
        <v/>
      </c>
    </row>
    <row r="2013">
      <c r="A2013" s="5" t="inlineStr"/>
      <c r="B2013" s="5" t="inlineStr"/>
      <c r="C2013" s="5">
        <f>IF($B2013="","",VLOOKUP($B2013,Jogos!$A$2:$K$105,8,FALSE))</f>
        <v/>
      </c>
      <c r="D2013" s="5">
        <f>IF($B2013="","",VLOOKUP($B2013,Jogos!$A$2:$K$105,10,FALSE))</f>
        <v/>
      </c>
      <c r="E2013" s="5" t="inlineStr"/>
      <c r="F2013" s="5" t="inlineStr"/>
      <c r="G2013" s="8">
        <f>IF($B2013="","",VLOOKUP($B2013,Jogos!$A$2:$K$105,9,FALSE))</f>
        <v/>
      </c>
      <c r="H2013" s="8">
        <f>IF($B2013="","",VLOOKUP($B2013,Jogos!$A$2:$K$105,11,FALSE))</f>
        <v/>
      </c>
      <c r="I2013" s="5">
        <f>IF(OR($A2013="", $B2013="", $E2013="", $F2013="", $G2013="", $H2013=""), "",IF(AND($E2013=$G2013, $F2013=$H2013), 3, IF(SIGN($E2013-$F2013)=SIGN($G2013-$H2013), 1, 0))))</f>
        <v/>
      </c>
    </row>
    <row r="2014">
      <c r="A2014" s="5" t="inlineStr"/>
      <c r="B2014" s="5" t="inlineStr"/>
      <c r="C2014" s="5">
        <f>IF($B2014="","",VLOOKUP($B2014,Jogos!$A$2:$K$105,8,FALSE))</f>
        <v/>
      </c>
      <c r="D2014" s="5">
        <f>IF($B2014="","",VLOOKUP($B2014,Jogos!$A$2:$K$105,10,FALSE))</f>
        <v/>
      </c>
      <c r="E2014" s="5" t="inlineStr"/>
      <c r="F2014" s="5" t="inlineStr"/>
      <c r="G2014" s="8">
        <f>IF($B2014="","",VLOOKUP($B2014,Jogos!$A$2:$K$105,9,FALSE))</f>
        <v/>
      </c>
      <c r="H2014" s="8">
        <f>IF($B2014="","",VLOOKUP($B2014,Jogos!$A$2:$K$105,11,FALSE))</f>
        <v/>
      </c>
      <c r="I2014" s="5">
        <f>IF(OR($A2014="", $B2014="", $E2014="", $F2014="", $G2014="", $H2014=""), "",IF(AND($E2014=$G2014, $F2014=$H2014), 3, IF(SIGN($E2014-$F2014)=SIGN($G2014-$H2014), 1, 0))))</f>
        <v/>
      </c>
    </row>
    <row r="2015">
      <c r="A2015" s="5" t="inlineStr"/>
      <c r="B2015" s="5" t="inlineStr"/>
      <c r="C2015" s="5">
        <f>IF($B2015="","",VLOOKUP($B2015,Jogos!$A$2:$K$105,8,FALSE))</f>
        <v/>
      </c>
      <c r="D2015" s="5">
        <f>IF($B2015="","",VLOOKUP($B2015,Jogos!$A$2:$K$105,10,FALSE))</f>
        <v/>
      </c>
      <c r="E2015" s="5" t="inlineStr"/>
      <c r="F2015" s="5" t="inlineStr"/>
      <c r="G2015" s="8">
        <f>IF($B2015="","",VLOOKUP($B2015,Jogos!$A$2:$K$105,9,FALSE))</f>
        <v/>
      </c>
      <c r="H2015" s="8">
        <f>IF($B2015="","",VLOOKUP($B2015,Jogos!$A$2:$K$105,11,FALSE))</f>
        <v/>
      </c>
      <c r="I2015" s="5">
        <f>IF(OR($A2015="", $B2015="", $E2015="", $F2015="", $G2015="", $H2015=""), "",IF(AND($E2015=$G2015, $F2015=$H2015), 3, IF(SIGN($E2015-$F2015)=SIGN($G2015-$H2015), 1, 0))))</f>
        <v/>
      </c>
    </row>
    <row r="2016">
      <c r="A2016" s="5" t="inlineStr"/>
      <c r="B2016" s="5" t="inlineStr"/>
      <c r="C2016" s="5">
        <f>IF($B2016="","",VLOOKUP($B2016,Jogos!$A$2:$K$105,8,FALSE))</f>
        <v/>
      </c>
      <c r="D2016" s="5">
        <f>IF($B2016="","",VLOOKUP($B2016,Jogos!$A$2:$K$105,10,FALSE))</f>
        <v/>
      </c>
      <c r="E2016" s="5" t="inlineStr"/>
      <c r="F2016" s="5" t="inlineStr"/>
      <c r="G2016" s="8">
        <f>IF($B2016="","",VLOOKUP($B2016,Jogos!$A$2:$K$105,9,FALSE))</f>
        <v/>
      </c>
      <c r="H2016" s="8">
        <f>IF($B2016="","",VLOOKUP($B2016,Jogos!$A$2:$K$105,11,FALSE))</f>
        <v/>
      </c>
      <c r="I2016" s="5">
        <f>IF(OR($A2016="", $B2016="", $E2016="", $F2016="", $G2016="", $H2016=""), "",IF(AND($E2016=$G2016, $F2016=$H2016), 3, IF(SIGN($E2016-$F2016)=SIGN($G2016-$H2016), 1, 0))))</f>
        <v/>
      </c>
    </row>
    <row r="2017">
      <c r="A2017" s="5" t="inlineStr"/>
      <c r="B2017" s="5" t="inlineStr"/>
      <c r="C2017" s="5">
        <f>IF($B2017="","",VLOOKUP($B2017,Jogos!$A$2:$K$105,8,FALSE))</f>
        <v/>
      </c>
      <c r="D2017" s="5">
        <f>IF($B2017="","",VLOOKUP($B2017,Jogos!$A$2:$K$105,10,FALSE))</f>
        <v/>
      </c>
      <c r="E2017" s="5" t="inlineStr"/>
      <c r="F2017" s="5" t="inlineStr"/>
      <c r="G2017" s="8">
        <f>IF($B2017="","",VLOOKUP($B2017,Jogos!$A$2:$K$105,9,FALSE))</f>
        <v/>
      </c>
      <c r="H2017" s="8">
        <f>IF($B2017="","",VLOOKUP($B2017,Jogos!$A$2:$K$105,11,FALSE))</f>
        <v/>
      </c>
      <c r="I2017" s="5">
        <f>IF(OR($A2017="", $B2017="", $E2017="", $F2017="", $G2017="", $H2017=""), "",IF(AND($E2017=$G2017, $F2017=$H2017), 3, IF(SIGN($E2017-$F2017)=SIGN($G2017-$H2017), 1, 0))))</f>
        <v/>
      </c>
    </row>
    <row r="2018">
      <c r="A2018" s="5" t="inlineStr"/>
      <c r="B2018" s="5" t="inlineStr"/>
      <c r="C2018" s="5">
        <f>IF($B2018="","",VLOOKUP($B2018,Jogos!$A$2:$K$105,8,FALSE))</f>
        <v/>
      </c>
      <c r="D2018" s="5">
        <f>IF($B2018="","",VLOOKUP($B2018,Jogos!$A$2:$K$105,10,FALSE))</f>
        <v/>
      </c>
      <c r="E2018" s="5" t="inlineStr"/>
      <c r="F2018" s="5" t="inlineStr"/>
      <c r="G2018" s="8">
        <f>IF($B2018="","",VLOOKUP($B2018,Jogos!$A$2:$K$105,9,FALSE))</f>
        <v/>
      </c>
      <c r="H2018" s="8">
        <f>IF($B2018="","",VLOOKUP($B2018,Jogos!$A$2:$K$105,11,FALSE))</f>
        <v/>
      </c>
      <c r="I2018" s="5">
        <f>IF(OR($A2018="", $B2018="", $E2018="", $F2018="", $G2018="", $H2018=""), "",IF(AND($E2018=$G2018, $F2018=$H2018), 3, IF(SIGN($E2018-$F2018)=SIGN($G2018-$H2018), 1, 0))))</f>
        <v/>
      </c>
    </row>
    <row r="2019">
      <c r="A2019" s="5" t="inlineStr"/>
      <c r="B2019" s="5" t="inlineStr"/>
      <c r="C2019" s="5">
        <f>IF($B2019="","",VLOOKUP($B2019,Jogos!$A$2:$K$105,8,FALSE))</f>
        <v/>
      </c>
      <c r="D2019" s="5">
        <f>IF($B2019="","",VLOOKUP($B2019,Jogos!$A$2:$K$105,10,FALSE))</f>
        <v/>
      </c>
      <c r="E2019" s="5" t="inlineStr"/>
      <c r="F2019" s="5" t="inlineStr"/>
      <c r="G2019" s="8">
        <f>IF($B2019="","",VLOOKUP($B2019,Jogos!$A$2:$K$105,9,FALSE))</f>
        <v/>
      </c>
      <c r="H2019" s="8">
        <f>IF($B2019="","",VLOOKUP($B2019,Jogos!$A$2:$K$105,11,FALSE))</f>
        <v/>
      </c>
      <c r="I2019" s="5">
        <f>IF(OR($A2019="", $B2019="", $E2019="", $F2019="", $G2019="", $H2019=""), "",IF(AND($E2019=$G2019, $F2019=$H2019), 3, IF(SIGN($E2019-$F2019)=SIGN($G2019-$H2019), 1, 0))))</f>
        <v/>
      </c>
    </row>
    <row r="2020">
      <c r="A2020" s="5" t="inlineStr"/>
      <c r="B2020" s="5" t="inlineStr"/>
      <c r="C2020" s="5">
        <f>IF($B2020="","",VLOOKUP($B2020,Jogos!$A$2:$K$105,8,FALSE))</f>
        <v/>
      </c>
      <c r="D2020" s="5">
        <f>IF($B2020="","",VLOOKUP($B2020,Jogos!$A$2:$K$105,10,FALSE))</f>
        <v/>
      </c>
      <c r="E2020" s="5" t="inlineStr"/>
      <c r="F2020" s="5" t="inlineStr"/>
      <c r="G2020" s="8">
        <f>IF($B2020="","",VLOOKUP($B2020,Jogos!$A$2:$K$105,9,FALSE))</f>
        <v/>
      </c>
      <c r="H2020" s="8">
        <f>IF($B2020="","",VLOOKUP($B2020,Jogos!$A$2:$K$105,11,FALSE))</f>
        <v/>
      </c>
      <c r="I2020" s="5">
        <f>IF(OR($A2020="", $B2020="", $E2020="", $F2020="", $G2020="", $H2020=""), "",IF(AND($E2020=$G2020, $F2020=$H2020), 3, IF(SIGN($E2020-$F2020)=SIGN($G2020-$H2020), 1, 0))))</f>
        <v/>
      </c>
    </row>
    <row r="2021">
      <c r="A2021" s="5" t="inlineStr"/>
      <c r="B2021" s="5" t="inlineStr"/>
      <c r="C2021" s="5">
        <f>IF($B2021="","",VLOOKUP($B2021,Jogos!$A$2:$K$105,8,FALSE))</f>
        <v/>
      </c>
      <c r="D2021" s="5">
        <f>IF($B2021="","",VLOOKUP($B2021,Jogos!$A$2:$K$105,10,FALSE))</f>
        <v/>
      </c>
      <c r="E2021" s="5" t="inlineStr"/>
      <c r="F2021" s="5" t="inlineStr"/>
      <c r="G2021" s="8">
        <f>IF($B2021="","",VLOOKUP($B2021,Jogos!$A$2:$K$105,9,FALSE))</f>
        <v/>
      </c>
      <c r="H2021" s="8">
        <f>IF($B2021="","",VLOOKUP($B2021,Jogos!$A$2:$K$105,11,FALSE))</f>
        <v/>
      </c>
      <c r="I2021" s="5">
        <f>IF(OR($A2021="", $B2021="", $E2021="", $F2021="", $G2021="", $H2021=""), "",IF(AND($E2021=$G2021, $F2021=$H2021), 3, IF(SIGN($E2021-$F2021)=SIGN($G2021-$H2021), 1, 0))))</f>
        <v/>
      </c>
    </row>
    <row r="2022">
      <c r="A2022" s="5" t="inlineStr"/>
      <c r="B2022" s="5" t="inlineStr"/>
      <c r="C2022" s="5">
        <f>IF($B2022="","",VLOOKUP($B2022,Jogos!$A$2:$K$105,8,FALSE))</f>
        <v/>
      </c>
      <c r="D2022" s="5">
        <f>IF($B2022="","",VLOOKUP($B2022,Jogos!$A$2:$K$105,10,FALSE))</f>
        <v/>
      </c>
      <c r="E2022" s="5" t="inlineStr"/>
      <c r="F2022" s="5" t="inlineStr"/>
      <c r="G2022" s="8">
        <f>IF($B2022="","",VLOOKUP($B2022,Jogos!$A$2:$K$105,9,FALSE))</f>
        <v/>
      </c>
      <c r="H2022" s="8">
        <f>IF($B2022="","",VLOOKUP($B2022,Jogos!$A$2:$K$105,11,FALSE))</f>
        <v/>
      </c>
      <c r="I2022" s="5">
        <f>IF(OR($A2022="", $B2022="", $E2022="", $F2022="", $G2022="", $H2022=""), "",IF(AND($E2022=$G2022, $F2022=$H2022), 3, IF(SIGN($E2022-$F2022)=SIGN($G2022-$H2022), 1, 0))))</f>
        <v/>
      </c>
    </row>
    <row r="2023">
      <c r="A2023" s="5" t="inlineStr"/>
      <c r="B2023" s="5" t="inlineStr"/>
      <c r="C2023" s="5">
        <f>IF($B2023="","",VLOOKUP($B2023,Jogos!$A$2:$K$105,8,FALSE))</f>
        <v/>
      </c>
      <c r="D2023" s="5">
        <f>IF($B2023="","",VLOOKUP($B2023,Jogos!$A$2:$K$105,10,FALSE))</f>
        <v/>
      </c>
      <c r="E2023" s="5" t="inlineStr"/>
      <c r="F2023" s="5" t="inlineStr"/>
      <c r="G2023" s="8">
        <f>IF($B2023="","",VLOOKUP($B2023,Jogos!$A$2:$K$105,9,FALSE))</f>
        <v/>
      </c>
      <c r="H2023" s="8">
        <f>IF($B2023="","",VLOOKUP($B2023,Jogos!$A$2:$K$105,11,FALSE))</f>
        <v/>
      </c>
      <c r="I2023" s="5">
        <f>IF(OR($A2023="", $B2023="", $E2023="", $F2023="", $G2023="", $H2023=""), "",IF(AND($E2023=$G2023, $F2023=$H2023), 3, IF(SIGN($E2023-$F2023)=SIGN($G2023-$H2023), 1, 0))))</f>
        <v/>
      </c>
    </row>
    <row r="2024">
      <c r="A2024" s="5" t="inlineStr"/>
      <c r="B2024" s="5" t="inlineStr"/>
      <c r="C2024" s="5">
        <f>IF($B2024="","",VLOOKUP($B2024,Jogos!$A$2:$K$105,8,FALSE))</f>
        <v/>
      </c>
      <c r="D2024" s="5">
        <f>IF($B2024="","",VLOOKUP($B2024,Jogos!$A$2:$K$105,10,FALSE))</f>
        <v/>
      </c>
      <c r="E2024" s="5" t="inlineStr"/>
      <c r="F2024" s="5" t="inlineStr"/>
      <c r="G2024" s="8">
        <f>IF($B2024="","",VLOOKUP($B2024,Jogos!$A$2:$K$105,9,FALSE))</f>
        <v/>
      </c>
      <c r="H2024" s="8">
        <f>IF($B2024="","",VLOOKUP($B2024,Jogos!$A$2:$K$105,11,FALSE))</f>
        <v/>
      </c>
      <c r="I2024" s="5">
        <f>IF(OR($A2024="", $B2024="", $E2024="", $F2024="", $G2024="", $H2024=""), "",IF(AND($E2024=$G2024, $F2024=$H2024), 3, IF(SIGN($E2024-$F2024)=SIGN($G2024-$H2024), 1, 0))))</f>
        <v/>
      </c>
    </row>
    <row r="2025">
      <c r="A2025" s="5" t="inlineStr"/>
      <c r="B2025" s="5" t="inlineStr"/>
      <c r="C2025" s="5">
        <f>IF($B2025="","",VLOOKUP($B2025,Jogos!$A$2:$K$105,8,FALSE))</f>
        <v/>
      </c>
      <c r="D2025" s="5">
        <f>IF($B2025="","",VLOOKUP($B2025,Jogos!$A$2:$K$105,10,FALSE))</f>
        <v/>
      </c>
      <c r="E2025" s="5" t="inlineStr"/>
      <c r="F2025" s="5" t="inlineStr"/>
      <c r="G2025" s="8">
        <f>IF($B2025="","",VLOOKUP($B2025,Jogos!$A$2:$K$105,9,FALSE))</f>
        <v/>
      </c>
      <c r="H2025" s="8">
        <f>IF($B2025="","",VLOOKUP($B2025,Jogos!$A$2:$K$105,11,FALSE))</f>
        <v/>
      </c>
      <c r="I2025" s="5">
        <f>IF(OR($A2025="", $B2025="", $E2025="", $F2025="", $G2025="", $H2025=""), "",IF(AND($E2025=$G2025, $F2025=$H2025), 3, IF(SIGN($E2025-$F2025)=SIGN($G2025-$H2025), 1, 0))))</f>
        <v/>
      </c>
    </row>
    <row r="2026">
      <c r="A2026" s="5" t="inlineStr"/>
      <c r="B2026" s="5" t="inlineStr"/>
      <c r="C2026" s="5">
        <f>IF($B2026="","",VLOOKUP($B2026,Jogos!$A$2:$K$105,8,FALSE))</f>
        <v/>
      </c>
      <c r="D2026" s="5">
        <f>IF($B2026="","",VLOOKUP($B2026,Jogos!$A$2:$K$105,10,FALSE))</f>
        <v/>
      </c>
      <c r="E2026" s="5" t="inlineStr"/>
      <c r="F2026" s="5" t="inlineStr"/>
      <c r="G2026" s="8">
        <f>IF($B2026="","",VLOOKUP($B2026,Jogos!$A$2:$K$105,9,FALSE))</f>
        <v/>
      </c>
      <c r="H2026" s="8">
        <f>IF($B2026="","",VLOOKUP($B2026,Jogos!$A$2:$K$105,11,FALSE))</f>
        <v/>
      </c>
      <c r="I2026" s="5">
        <f>IF(OR($A2026="", $B2026="", $E2026="", $F2026="", $G2026="", $H2026=""), "",IF(AND($E2026=$G2026, $F2026=$H2026), 3, IF(SIGN($E2026-$F2026)=SIGN($G2026-$H2026), 1, 0))))</f>
        <v/>
      </c>
    </row>
    <row r="2027">
      <c r="A2027" s="5" t="inlineStr"/>
      <c r="B2027" s="5" t="inlineStr"/>
      <c r="C2027" s="5">
        <f>IF($B2027="","",VLOOKUP($B2027,Jogos!$A$2:$K$105,8,FALSE))</f>
        <v/>
      </c>
      <c r="D2027" s="5">
        <f>IF($B2027="","",VLOOKUP($B2027,Jogos!$A$2:$K$105,10,FALSE))</f>
        <v/>
      </c>
      <c r="E2027" s="5" t="inlineStr"/>
      <c r="F2027" s="5" t="inlineStr"/>
      <c r="G2027" s="8">
        <f>IF($B2027="","",VLOOKUP($B2027,Jogos!$A$2:$K$105,9,FALSE))</f>
        <v/>
      </c>
      <c r="H2027" s="8">
        <f>IF($B2027="","",VLOOKUP($B2027,Jogos!$A$2:$K$105,11,FALSE))</f>
        <v/>
      </c>
      <c r="I2027" s="5">
        <f>IF(OR($A2027="", $B2027="", $E2027="", $F2027="", $G2027="", $H2027=""), "",IF(AND($E2027=$G2027, $F2027=$H2027), 3, IF(SIGN($E2027-$F2027)=SIGN($G2027-$H2027), 1, 0))))</f>
        <v/>
      </c>
    </row>
    <row r="2028">
      <c r="A2028" s="5" t="inlineStr"/>
      <c r="B2028" s="5" t="inlineStr"/>
      <c r="C2028" s="5">
        <f>IF($B2028="","",VLOOKUP($B2028,Jogos!$A$2:$K$105,8,FALSE))</f>
        <v/>
      </c>
      <c r="D2028" s="5">
        <f>IF($B2028="","",VLOOKUP($B2028,Jogos!$A$2:$K$105,10,FALSE))</f>
        <v/>
      </c>
      <c r="E2028" s="5" t="inlineStr"/>
      <c r="F2028" s="5" t="inlineStr"/>
      <c r="G2028" s="8">
        <f>IF($B2028="","",VLOOKUP($B2028,Jogos!$A$2:$K$105,9,FALSE))</f>
        <v/>
      </c>
      <c r="H2028" s="8">
        <f>IF($B2028="","",VLOOKUP($B2028,Jogos!$A$2:$K$105,11,FALSE))</f>
        <v/>
      </c>
      <c r="I2028" s="5">
        <f>IF(OR($A2028="", $B2028="", $E2028="", $F2028="", $G2028="", $H2028=""), "",IF(AND($E2028=$G2028, $F2028=$H2028), 3, IF(SIGN($E2028-$F2028)=SIGN($G2028-$H2028), 1, 0))))</f>
        <v/>
      </c>
    </row>
    <row r="2029">
      <c r="A2029" s="5" t="inlineStr"/>
      <c r="B2029" s="5" t="inlineStr"/>
      <c r="C2029" s="5">
        <f>IF($B2029="","",VLOOKUP($B2029,Jogos!$A$2:$K$105,8,FALSE))</f>
        <v/>
      </c>
      <c r="D2029" s="5">
        <f>IF($B2029="","",VLOOKUP($B2029,Jogos!$A$2:$K$105,10,FALSE))</f>
        <v/>
      </c>
      <c r="E2029" s="5" t="inlineStr"/>
      <c r="F2029" s="5" t="inlineStr"/>
      <c r="G2029" s="8">
        <f>IF($B2029="","",VLOOKUP($B2029,Jogos!$A$2:$K$105,9,FALSE))</f>
        <v/>
      </c>
      <c r="H2029" s="8">
        <f>IF($B2029="","",VLOOKUP($B2029,Jogos!$A$2:$K$105,11,FALSE))</f>
        <v/>
      </c>
      <c r="I2029" s="5">
        <f>IF(OR($A2029="", $B2029="", $E2029="", $F2029="", $G2029="", $H2029=""), "",IF(AND($E2029=$G2029, $F2029=$H2029), 3, IF(SIGN($E2029-$F2029)=SIGN($G2029-$H2029), 1, 0))))</f>
        <v/>
      </c>
    </row>
    <row r="2030">
      <c r="A2030" s="5" t="inlineStr"/>
      <c r="B2030" s="5" t="inlineStr"/>
      <c r="C2030" s="5">
        <f>IF($B2030="","",VLOOKUP($B2030,Jogos!$A$2:$K$105,8,FALSE))</f>
        <v/>
      </c>
      <c r="D2030" s="5">
        <f>IF($B2030="","",VLOOKUP($B2030,Jogos!$A$2:$K$105,10,FALSE))</f>
        <v/>
      </c>
      <c r="E2030" s="5" t="inlineStr"/>
      <c r="F2030" s="5" t="inlineStr"/>
      <c r="G2030" s="8">
        <f>IF($B2030="","",VLOOKUP($B2030,Jogos!$A$2:$K$105,9,FALSE))</f>
        <v/>
      </c>
      <c r="H2030" s="8">
        <f>IF($B2030="","",VLOOKUP($B2030,Jogos!$A$2:$K$105,11,FALSE))</f>
        <v/>
      </c>
      <c r="I2030" s="5">
        <f>IF(OR($A2030="", $B2030="", $E2030="", $F2030="", $G2030="", $H2030=""), "",IF(AND($E2030=$G2030, $F2030=$H2030), 3, IF(SIGN($E2030-$F2030)=SIGN($G2030-$H2030), 1, 0))))</f>
        <v/>
      </c>
    </row>
    <row r="2031">
      <c r="A2031" s="5" t="inlineStr"/>
      <c r="B2031" s="5" t="inlineStr"/>
      <c r="C2031" s="5">
        <f>IF($B2031="","",VLOOKUP($B2031,Jogos!$A$2:$K$105,8,FALSE))</f>
        <v/>
      </c>
      <c r="D2031" s="5">
        <f>IF($B2031="","",VLOOKUP($B2031,Jogos!$A$2:$K$105,10,FALSE))</f>
        <v/>
      </c>
      <c r="E2031" s="5" t="inlineStr"/>
      <c r="F2031" s="5" t="inlineStr"/>
      <c r="G2031" s="8">
        <f>IF($B2031="","",VLOOKUP($B2031,Jogos!$A$2:$K$105,9,FALSE))</f>
        <v/>
      </c>
      <c r="H2031" s="8">
        <f>IF($B2031="","",VLOOKUP($B2031,Jogos!$A$2:$K$105,11,FALSE))</f>
        <v/>
      </c>
      <c r="I2031" s="5">
        <f>IF(OR($A2031="", $B2031="", $E2031="", $F2031="", $G2031="", $H2031=""), "",IF(AND($E2031=$G2031, $F2031=$H2031), 3, IF(SIGN($E2031-$F2031)=SIGN($G2031-$H2031), 1, 0))))</f>
        <v/>
      </c>
    </row>
    <row r="2032">
      <c r="A2032" s="5" t="inlineStr"/>
      <c r="B2032" s="5" t="inlineStr"/>
      <c r="C2032" s="5">
        <f>IF($B2032="","",VLOOKUP($B2032,Jogos!$A$2:$K$105,8,FALSE))</f>
        <v/>
      </c>
      <c r="D2032" s="5">
        <f>IF($B2032="","",VLOOKUP($B2032,Jogos!$A$2:$K$105,10,FALSE))</f>
        <v/>
      </c>
      <c r="E2032" s="5" t="inlineStr"/>
      <c r="F2032" s="5" t="inlineStr"/>
      <c r="G2032" s="8">
        <f>IF($B2032="","",VLOOKUP($B2032,Jogos!$A$2:$K$105,9,FALSE))</f>
        <v/>
      </c>
      <c r="H2032" s="8">
        <f>IF($B2032="","",VLOOKUP($B2032,Jogos!$A$2:$K$105,11,FALSE))</f>
        <v/>
      </c>
      <c r="I2032" s="5">
        <f>IF(OR($A2032="", $B2032="", $E2032="", $F2032="", $G2032="", $H2032=""), "",IF(AND($E2032=$G2032, $F2032=$H2032), 3, IF(SIGN($E2032-$F2032)=SIGN($G2032-$H2032), 1, 0))))</f>
        <v/>
      </c>
    </row>
    <row r="2033">
      <c r="A2033" s="5" t="inlineStr"/>
      <c r="B2033" s="5" t="inlineStr"/>
      <c r="C2033" s="5">
        <f>IF($B2033="","",VLOOKUP($B2033,Jogos!$A$2:$K$105,8,FALSE))</f>
        <v/>
      </c>
      <c r="D2033" s="5">
        <f>IF($B2033="","",VLOOKUP($B2033,Jogos!$A$2:$K$105,10,FALSE))</f>
        <v/>
      </c>
      <c r="E2033" s="5" t="inlineStr"/>
      <c r="F2033" s="5" t="inlineStr"/>
      <c r="G2033" s="8">
        <f>IF($B2033="","",VLOOKUP($B2033,Jogos!$A$2:$K$105,9,FALSE))</f>
        <v/>
      </c>
      <c r="H2033" s="8">
        <f>IF($B2033="","",VLOOKUP($B2033,Jogos!$A$2:$K$105,11,FALSE))</f>
        <v/>
      </c>
      <c r="I2033" s="5">
        <f>IF(OR($A2033="", $B2033="", $E2033="", $F2033="", $G2033="", $H2033=""), "",IF(AND($E2033=$G2033, $F2033=$H2033), 3, IF(SIGN($E2033-$F2033)=SIGN($G2033-$H2033), 1, 0))))</f>
        <v/>
      </c>
    </row>
    <row r="2034">
      <c r="A2034" s="5" t="inlineStr"/>
      <c r="B2034" s="5" t="inlineStr"/>
      <c r="C2034" s="5">
        <f>IF($B2034="","",VLOOKUP($B2034,Jogos!$A$2:$K$105,8,FALSE))</f>
        <v/>
      </c>
      <c r="D2034" s="5">
        <f>IF($B2034="","",VLOOKUP($B2034,Jogos!$A$2:$K$105,10,FALSE))</f>
        <v/>
      </c>
      <c r="E2034" s="5" t="inlineStr"/>
      <c r="F2034" s="5" t="inlineStr"/>
      <c r="G2034" s="8">
        <f>IF($B2034="","",VLOOKUP($B2034,Jogos!$A$2:$K$105,9,FALSE))</f>
        <v/>
      </c>
      <c r="H2034" s="8">
        <f>IF($B2034="","",VLOOKUP($B2034,Jogos!$A$2:$K$105,11,FALSE))</f>
        <v/>
      </c>
      <c r="I2034" s="5">
        <f>IF(OR($A2034="", $B2034="", $E2034="", $F2034="", $G2034="", $H2034=""), "",IF(AND($E2034=$G2034, $F2034=$H2034), 3, IF(SIGN($E2034-$F2034)=SIGN($G2034-$H2034), 1, 0))))</f>
        <v/>
      </c>
    </row>
    <row r="2035">
      <c r="A2035" s="5" t="inlineStr"/>
      <c r="B2035" s="5" t="inlineStr"/>
      <c r="C2035" s="5">
        <f>IF($B2035="","",VLOOKUP($B2035,Jogos!$A$2:$K$105,8,FALSE))</f>
        <v/>
      </c>
      <c r="D2035" s="5">
        <f>IF($B2035="","",VLOOKUP($B2035,Jogos!$A$2:$K$105,10,FALSE))</f>
        <v/>
      </c>
      <c r="E2035" s="5" t="inlineStr"/>
      <c r="F2035" s="5" t="inlineStr"/>
      <c r="G2035" s="8">
        <f>IF($B2035="","",VLOOKUP($B2035,Jogos!$A$2:$K$105,9,FALSE))</f>
        <v/>
      </c>
      <c r="H2035" s="8">
        <f>IF($B2035="","",VLOOKUP($B2035,Jogos!$A$2:$K$105,11,FALSE))</f>
        <v/>
      </c>
      <c r="I2035" s="5">
        <f>IF(OR($A2035="", $B2035="", $E2035="", $F2035="", $G2035="", $H2035=""), "",IF(AND($E2035=$G2035, $F2035=$H2035), 3, IF(SIGN($E2035-$F2035)=SIGN($G2035-$H2035), 1, 0))))</f>
        <v/>
      </c>
    </row>
    <row r="2036">
      <c r="A2036" s="5" t="inlineStr"/>
      <c r="B2036" s="5" t="inlineStr"/>
      <c r="C2036" s="5">
        <f>IF($B2036="","",VLOOKUP($B2036,Jogos!$A$2:$K$105,8,FALSE))</f>
        <v/>
      </c>
      <c r="D2036" s="5">
        <f>IF($B2036="","",VLOOKUP($B2036,Jogos!$A$2:$K$105,10,FALSE))</f>
        <v/>
      </c>
      <c r="E2036" s="5" t="inlineStr"/>
      <c r="F2036" s="5" t="inlineStr"/>
      <c r="G2036" s="8">
        <f>IF($B2036="","",VLOOKUP($B2036,Jogos!$A$2:$K$105,9,FALSE))</f>
        <v/>
      </c>
      <c r="H2036" s="8">
        <f>IF($B2036="","",VLOOKUP($B2036,Jogos!$A$2:$K$105,11,FALSE))</f>
        <v/>
      </c>
      <c r="I2036" s="5">
        <f>IF(OR($A2036="", $B2036="", $E2036="", $F2036="", $G2036="", $H2036=""), "",IF(AND($E2036=$G2036, $F2036=$H2036), 3, IF(SIGN($E2036-$F2036)=SIGN($G2036-$H2036), 1, 0))))</f>
        <v/>
      </c>
    </row>
    <row r="2037">
      <c r="A2037" s="5" t="inlineStr"/>
      <c r="B2037" s="5" t="inlineStr"/>
      <c r="C2037" s="5">
        <f>IF($B2037="","",VLOOKUP($B2037,Jogos!$A$2:$K$105,8,FALSE))</f>
        <v/>
      </c>
      <c r="D2037" s="5">
        <f>IF($B2037="","",VLOOKUP($B2037,Jogos!$A$2:$K$105,10,FALSE))</f>
        <v/>
      </c>
      <c r="E2037" s="5" t="inlineStr"/>
      <c r="F2037" s="5" t="inlineStr"/>
      <c r="G2037" s="8">
        <f>IF($B2037="","",VLOOKUP($B2037,Jogos!$A$2:$K$105,9,FALSE))</f>
        <v/>
      </c>
      <c r="H2037" s="8">
        <f>IF($B2037="","",VLOOKUP($B2037,Jogos!$A$2:$K$105,11,FALSE))</f>
        <v/>
      </c>
      <c r="I2037" s="5">
        <f>IF(OR($A2037="", $B2037="", $E2037="", $F2037="", $G2037="", $H2037=""), "",IF(AND($E2037=$G2037, $F2037=$H2037), 3, IF(SIGN($E2037-$F2037)=SIGN($G2037-$H2037), 1, 0))))</f>
        <v/>
      </c>
    </row>
    <row r="2038">
      <c r="A2038" s="5" t="inlineStr"/>
      <c r="B2038" s="5" t="inlineStr"/>
      <c r="C2038" s="5">
        <f>IF($B2038="","",VLOOKUP($B2038,Jogos!$A$2:$K$105,8,FALSE))</f>
        <v/>
      </c>
      <c r="D2038" s="5">
        <f>IF($B2038="","",VLOOKUP($B2038,Jogos!$A$2:$K$105,10,FALSE))</f>
        <v/>
      </c>
      <c r="E2038" s="5" t="inlineStr"/>
      <c r="F2038" s="5" t="inlineStr"/>
      <c r="G2038" s="8">
        <f>IF($B2038="","",VLOOKUP($B2038,Jogos!$A$2:$K$105,9,FALSE))</f>
        <v/>
      </c>
      <c r="H2038" s="8">
        <f>IF($B2038="","",VLOOKUP($B2038,Jogos!$A$2:$K$105,11,FALSE))</f>
        <v/>
      </c>
      <c r="I2038" s="5">
        <f>IF(OR($A2038="", $B2038="", $E2038="", $F2038="", $G2038="", $H2038=""), "",IF(AND($E2038=$G2038, $F2038=$H2038), 3, IF(SIGN($E2038-$F2038)=SIGN($G2038-$H2038), 1, 0))))</f>
        <v/>
      </c>
    </row>
    <row r="2039">
      <c r="A2039" s="5" t="inlineStr"/>
      <c r="B2039" s="5" t="inlineStr"/>
      <c r="C2039" s="5">
        <f>IF($B2039="","",VLOOKUP($B2039,Jogos!$A$2:$K$105,8,FALSE))</f>
        <v/>
      </c>
      <c r="D2039" s="5">
        <f>IF($B2039="","",VLOOKUP($B2039,Jogos!$A$2:$K$105,10,FALSE))</f>
        <v/>
      </c>
      <c r="E2039" s="5" t="inlineStr"/>
      <c r="F2039" s="5" t="inlineStr"/>
      <c r="G2039" s="8">
        <f>IF($B2039="","",VLOOKUP($B2039,Jogos!$A$2:$K$105,9,FALSE))</f>
        <v/>
      </c>
      <c r="H2039" s="8">
        <f>IF($B2039="","",VLOOKUP($B2039,Jogos!$A$2:$K$105,11,FALSE))</f>
        <v/>
      </c>
      <c r="I2039" s="5">
        <f>IF(OR($A2039="", $B2039="", $E2039="", $F2039="", $G2039="", $H2039=""), "",IF(AND($E2039=$G2039, $F2039=$H2039), 3, IF(SIGN($E2039-$F2039)=SIGN($G2039-$H2039), 1, 0))))</f>
        <v/>
      </c>
    </row>
    <row r="2040">
      <c r="A2040" s="5" t="inlineStr"/>
      <c r="B2040" s="5" t="inlineStr"/>
      <c r="C2040" s="5">
        <f>IF($B2040="","",VLOOKUP($B2040,Jogos!$A$2:$K$105,8,FALSE))</f>
        <v/>
      </c>
      <c r="D2040" s="5">
        <f>IF($B2040="","",VLOOKUP($B2040,Jogos!$A$2:$K$105,10,FALSE))</f>
        <v/>
      </c>
      <c r="E2040" s="5" t="inlineStr"/>
      <c r="F2040" s="5" t="inlineStr"/>
      <c r="G2040" s="8">
        <f>IF($B2040="","",VLOOKUP($B2040,Jogos!$A$2:$K$105,9,FALSE))</f>
        <v/>
      </c>
      <c r="H2040" s="8">
        <f>IF($B2040="","",VLOOKUP($B2040,Jogos!$A$2:$K$105,11,FALSE))</f>
        <v/>
      </c>
      <c r="I2040" s="5">
        <f>IF(OR($A2040="", $B2040="", $E2040="", $F2040="", $G2040="", $H2040=""), "",IF(AND($E2040=$G2040, $F2040=$H2040), 3, IF(SIGN($E2040-$F2040)=SIGN($G2040-$H2040), 1, 0))))</f>
        <v/>
      </c>
    </row>
    <row r="2041">
      <c r="A2041" s="5" t="inlineStr"/>
      <c r="B2041" s="5" t="inlineStr"/>
      <c r="C2041" s="5">
        <f>IF($B2041="","",VLOOKUP($B2041,Jogos!$A$2:$K$105,8,FALSE))</f>
        <v/>
      </c>
      <c r="D2041" s="5">
        <f>IF($B2041="","",VLOOKUP($B2041,Jogos!$A$2:$K$105,10,FALSE))</f>
        <v/>
      </c>
      <c r="E2041" s="5" t="inlineStr"/>
      <c r="F2041" s="5" t="inlineStr"/>
      <c r="G2041" s="8">
        <f>IF($B2041="","",VLOOKUP($B2041,Jogos!$A$2:$K$105,9,FALSE))</f>
        <v/>
      </c>
      <c r="H2041" s="8">
        <f>IF($B2041="","",VLOOKUP($B2041,Jogos!$A$2:$K$105,11,FALSE))</f>
        <v/>
      </c>
      <c r="I2041" s="5">
        <f>IF(OR($A2041="", $B2041="", $E2041="", $F2041="", $G2041="", $H2041=""), "",IF(AND($E2041=$G2041, $F2041=$H2041), 3, IF(SIGN($E2041-$F2041)=SIGN($G2041-$H2041), 1, 0))))</f>
        <v/>
      </c>
    </row>
    <row r="2042">
      <c r="A2042" s="5" t="inlineStr"/>
      <c r="B2042" s="5" t="inlineStr"/>
      <c r="C2042" s="5">
        <f>IF($B2042="","",VLOOKUP($B2042,Jogos!$A$2:$K$105,8,FALSE))</f>
        <v/>
      </c>
      <c r="D2042" s="5">
        <f>IF($B2042="","",VLOOKUP($B2042,Jogos!$A$2:$K$105,10,FALSE))</f>
        <v/>
      </c>
      <c r="E2042" s="5" t="inlineStr"/>
      <c r="F2042" s="5" t="inlineStr"/>
      <c r="G2042" s="8">
        <f>IF($B2042="","",VLOOKUP($B2042,Jogos!$A$2:$K$105,9,FALSE))</f>
        <v/>
      </c>
      <c r="H2042" s="8">
        <f>IF($B2042="","",VLOOKUP($B2042,Jogos!$A$2:$K$105,11,FALSE))</f>
        <v/>
      </c>
      <c r="I2042" s="5">
        <f>IF(OR($A2042="", $B2042="", $E2042="", $F2042="", $G2042="", $H2042=""), "",IF(AND($E2042=$G2042, $F2042=$H2042), 3, IF(SIGN($E2042-$F2042)=SIGN($G2042-$H2042), 1, 0))))</f>
        <v/>
      </c>
    </row>
    <row r="2043">
      <c r="A2043" s="5" t="inlineStr"/>
      <c r="B2043" s="5" t="inlineStr"/>
      <c r="C2043" s="5">
        <f>IF($B2043="","",VLOOKUP($B2043,Jogos!$A$2:$K$105,8,FALSE))</f>
        <v/>
      </c>
      <c r="D2043" s="5">
        <f>IF($B2043="","",VLOOKUP($B2043,Jogos!$A$2:$K$105,10,FALSE))</f>
        <v/>
      </c>
      <c r="E2043" s="5" t="inlineStr"/>
      <c r="F2043" s="5" t="inlineStr"/>
      <c r="G2043" s="8">
        <f>IF($B2043="","",VLOOKUP($B2043,Jogos!$A$2:$K$105,9,FALSE))</f>
        <v/>
      </c>
      <c r="H2043" s="8">
        <f>IF($B2043="","",VLOOKUP($B2043,Jogos!$A$2:$K$105,11,FALSE))</f>
        <v/>
      </c>
      <c r="I2043" s="5">
        <f>IF(OR($A2043="", $B2043="", $E2043="", $F2043="", $G2043="", $H2043=""), "",IF(AND($E2043=$G2043, $F2043=$H2043), 3, IF(SIGN($E2043-$F2043)=SIGN($G2043-$H2043), 1, 0))))</f>
        <v/>
      </c>
    </row>
    <row r="2044">
      <c r="A2044" s="5" t="inlineStr"/>
      <c r="B2044" s="5" t="inlineStr"/>
      <c r="C2044" s="5">
        <f>IF($B2044="","",VLOOKUP($B2044,Jogos!$A$2:$K$105,8,FALSE))</f>
        <v/>
      </c>
      <c r="D2044" s="5">
        <f>IF($B2044="","",VLOOKUP($B2044,Jogos!$A$2:$K$105,10,FALSE))</f>
        <v/>
      </c>
      <c r="E2044" s="5" t="inlineStr"/>
      <c r="F2044" s="5" t="inlineStr"/>
      <c r="G2044" s="8">
        <f>IF($B2044="","",VLOOKUP($B2044,Jogos!$A$2:$K$105,9,FALSE))</f>
        <v/>
      </c>
      <c r="H2044" s="8">
        <f>IF($B2044="","",VLOOKUP($B2044,Jogos!$A$2:$K$105,11,FALSE))</f>
        <v/>
      </c>
      <c r="I2044" s="5">
        <f>IF(OR($A2044="", $B2044="", $E2044="", $F2044="", $G2044="", $H2044=""), "",IF(AND($E2044=$G2044, $F2044=$H2044), 3, IF(SIGN($E2044-$F2044)=SIGN($G2044-$H2044), 1, 0))))</f>
        <v/>
      </c>
    </row>
    <row r="2045">
      <c r="A2045" s="5" t="inlineStr"/>
      <c r="B2045" s="5" t="inlineStr"/>
      <c r="C2045" s="5">
        <f>IF($B2045="","",VLOOKUP($B2045,Jogos!$A$2:$K$105,8,FALSE))</f>
        <v/>
      </c>
      <c r="D2045" s="5">
        <f>IF($B2045="","",VLOOKUP($B2045,Jogos!$A$2:$K$105,10,FALSE))</f>
        <v/>
      </c>
      <c r="E2045" s="5" t="inlineStr"/>
      <c r="F2045" s="5" t="inlineStr"/>
      <c r="G2045" s="8">
        <f>IF($B2045="","",VLOOKUP($B2045,Jogos!$A$2:$K$105,9,FALSE))</f>
        <v/>
      </c>
      <c r="H2045" s="8">
        <f>IF($B2045="","",VLOOKUP($B2045,Jogos!$A$2:$K$105,11,FALSE))</f>
        <v/>
      </c>
      <c r="I2045" s="5">
        <f>IF(OR($A2045="", $B2045="", $E2045="", $F2045="", $G2045="", $H2045=""), "",IF(AND($E2045=$G2045, $F2045=$H2045), 3, IF(SIGN($E2045-$F2045)=SIGN($G2045-$H2045), 1, 0))))</f>
        <v/>
      </c>
    </row>
    <row r="2046">
      <c r="A2046" s="5" t="inlineStr"/>
      <c r="B2046" s="5" t="inlineStr"/>
      <c r="C2046" s="5">
        <f>IF($B2046="","",VLOOKUP($B2046,Jogos!$A$2:$K$105,8,FALSE))</f>
        <v/>
      </c>
      <c r="D2046" s="5">
        <f>IF($B2046="","",VLOOKUP($B2046,Jogos!$A$2:$K$105,10,FALSE))</f>
        <v/>
      </c>
      <c r="E2046" s="5" t="inlineStr"/>
      <c r="F2046" s="5" t="inlineStr"/>
      <c r="G2046" s="8">
        <f>IF($B2046="","",VLOOKUP($B2046,Jogos!$A$2:$K$105,9,FALSE))</f>
        <v/>
      </c>
      <c r="H2046" s="8">
        <f>IF($B2046="","",VLOOKUP($B2046,Jogos!$A$2:$K$105,11,FALSE))</f>
        <v/>
      </c>
      <c r="I2046" s="5">
        <f>IF(OR($A2046="", $B2046="", $E2046="", $F2046="", $G2046="", $H2046=""), "",IF(AND($E2046=$G2046, $F2046=$H2046), 3, IF(SIGN($E2046-$F2046)=SIGN($G2046-$H2046), 1, 0))))</f>
        <v/>
      </c>
    </row>
    <row r="2047">
      <c r="A2047" s="5" t="inlineStr"/>
      <c r="B2047" s="5" t="inlineStr"/>
      <c r="C2047" s="5">
        <f>IF($B2047="","",VLOOKUP($B2047,Jogos!$A$2:$K$105,8,FALSE))</f>
        <v/>
      </c>
      <c r="D2047" s="5">
        <f>IF($B2047="","",VLOOKUP($B2047,Jogos!$A$2:$K$105,10,FALSE))</f>
        <v/>
      </c>
      <c r="E2047" s="5" t="inlineStr"/>
      <c r="F2047" s="5" t="inlineStr"/>
      <c r="G2047" s="8">
        <f>IF($B2047="","",VLOOKUP($B2047,Jogos!$A$2:$K$105,9,FALSE))</f>
        <v/>
      </c>
      <c r="H2047" s="8">
        <f>IF($B2047="","",VLOOKUP($B2047,Jogos!$A$2:$K$105,11,FALSE))</f>
        <v/>
      </c>
      <c r="I2047" s="5">
        <f>IF(OR($A2047="", $B2047="", $E2047="", $F2047="", $G2047="", $H2047=""), "",IF(AND($E2047=$G2047, $F2047=$H2047), 3, IF(SIGN($E2047-$F2047)=SIGN($G2047-$H2047), 1, 0))))</f>
        <v/>
      </c>
    </row>
    <row r="2048">
      <c r="A2048" s="5" t="inlineStr"/>
      <c r="B2048" s="5" t="inlineStr"/>
      <c r="C2048" s="5">
        <f>IF($B2048="","",VLOOKUP($B2048,Jogos!$A$2:$K$105,8,FALSE))</f>
        <v/>
      </c>
      <c r="D2048" s="5">
        <f>IF($B2048="","",VLOOKUP($B2048,Jogos!$A$2:$K$105,10,FALSE))</f>
        <v/>
      </c>
      <c r="E2048" s="5" t="inlineStr"/>
      <c r="F2048" s="5" t="inlineStr"/>
      <c r="G2048" s="8">
        <f>IF($B2048="","",VLOOKUP($B2048,Jogos!$A$2:$K$105,9,FALSE))</f>
        <v/>
      </c>
      <c r="H2048" s="8">
        <f>IF($B2048="","",VLOOKUP($B2048,Jogos!$A$2:$K$105,11,FALSE))</f>
        <v/>
      </c>
      <c r="I2048" s="5">
        <f>IF(OR($A2048="", $B2048="", $E2048="", $F2048="", $G2048="", $H2048=""), "",IF(AND($E2048=$G2048, $F2048=$H2048), 3, IF(SIGN($E2048-$F2048)=SIGN($G2048-$H2048), 1, 0))))</f>
        <v/>
      </c>
    </row>
    <row r="2049">
      <c r="A2049" s="5" t="inlineStr"/>
      <c r="B2049" s="5" t="inlineStr"/>
      <c r="C2049" s="5">
        <f>IF($B2049="","",VLOOKUP($B2049,Jogos!$A$2:$K$105,8,FALSE))</f>
        <v/>
      </c>
      <c r="D2049" s="5">
        <f>IF($B2049="","",VLOOKUP($B2049,Jogos!$A$2:$K$105,10,FALSE))</f>
        <v/>
      </c>
      <c r="E2049" s="5" t="inlineStr"/>
      <c r="F2049" s="5" t="inlineStr"/>
      <c r="G2049" s="8">
        <f>IF($B2049="","",VLOOKUP($B2049,Jogos!$A$2:$K$105,9,FALSE))</f>
        <v/>
      </c>
      <c r="H2049" s="8">
        <f>IF($B2049="","",VLOOKUP($B2049,Jogos!$A$2:$K$105,11,FALSE))</f>
        <v/>
      </c>
      <c r="I2049" s="5">
        <f>IF(OR($A2049="", $B2049="", $E2049="", $F2049="", $G2049="", $H2049=""), "",IF(AND($E2049=$G2049, $F2049=$H2049), 3, IF(SIGN($E2049-$F2049)=SIGN($G2049-$H2049), 1, 0))))</f>
        <v/>
      </c>
    </row>
    <row r="2050">
      <c r="A2050" s="5" t="inlineStr"/>
      <c r="B2050" s="5" t="inlineStr"/>
      <c r="C2050" s="5">
        <f>IF($B2050="","",VLOOKUP($B2050,Jogos!$A$2:$K$105,8,FALSE))</f>
        <v/>
      </c>
      <c r="D2050" s="5">
        <f>IF($B2050="","",VLOOKUP($B2050,Jogos!$A$2:$K$105,10,FALSE))</f>
        <v/>
      </c>
      <c r="E2050" s="5" t="inlineStr"/>
      <c r="F2050" s="5" t="inlineStr"/>
      <c r="G2050" s="8">
        <f>IF($B2050="","",VLOOKUP($B2050,Jogos!$A$2:$K$105,9,FALSE))</f>
        <v/>
      </c>
      <c r="H2050" s="8">
        <f>IF($B2050="","",VLOOKUP($B2050,Jogos!$A$2:$K$105,11,FALSE))</f>
        <v/>
      </c>
      <c r="I2050" s="5">
        <f>IF(OR($A2050="", $B2050="", $E2050="", $F2050="", $G2050="", $H2050=""), "",IF(AND($E2050=$G2050, $F2050=$H2050), 3, IF(SIGN($E2050-$F2050)=SIGN($G2050-$H2050), 1, 0))))</f>
        <v/>
      </c>
    </row>
    <row r="2051">
      <c r="A2051" s="5" t="inlineStr"/>
      <c r="B2051" s="5" t="inlineStr"/>
      <c r="C2051" s="5">
        <f>IF($B2051="","",VLOOKUP($B2051,Jogos!$A$2:$K$105,8,FALSE))</f>
        <v/>
      </c>
      <c r="D2051" s="5">
        <f>IF($B2051="","",VLOOKUP($B2051,Jogos!$A$2:$K$105,10,FALSE))</f>
        <v/>
      </c>
      <c r="E2051" s="5" t="inlineStr"/>
      <c r="F2051" s="5" t="inlineStr"/>
      <c r="G2051" s="8">
        <f>IF($B2051="","",VLOOKUP($B2051,Jogos!$A$2:$K$105,9,FALSE))</f>
        <v/>
      </c>
      <c r="H2051" s="8">
        <f>IF($B2051="","",VLOOKUP($B2051,Jogos!$A$2:$K$105,11,FALSE))</f>
        <v/>
      </c>
      <c r="I2051" s="5">
        <f>IF(OR($A2051="", $B2051="", $E2051="", $F2051="", $G2051="", $H2051=""), "",IF(AND($E2051=$G2051, $F2051=$H2051), 3, IF(SIGN($E2051-$F2051)=SIGN($G2051-$H2051), 1, 0))))</f>
        <v/>
      </c>
    </row>
    <row r="2052">
      <c r="A2052" s="5" t="inlineStr"/>
      <c r="B2052" s="5" t="inlineStr"/>
      <c r="C2052" s="5">
        <f>IF($B2052="","",VLOOKUP($B2052,Jogos!$A$2:$K$105,8,FALSE))</f>
        <v/>
      </c>
      <c r="D2052" s="5">
        <f>IF($B2052="","",VLOOKUP($B2052,Jogos!$A$2:$K$105,10,FALSE))</f>
        <v/>
      </c>
      <c r="E2052" s="5" t="inlineStr"/>
      <c r="F2052" s="5" t="inlineStr"/>
      <c r="G2052" s="8">
        <f>IF($B2052="","",VLOOKUP($B2052,Jogos!$A$2:$K$105,9,FALSE))</f>
        <v/>
      </c>
      <c r="H2052" s="8">
        <f>IF($B2052="","",VLOOKUP($B2052,Jogos!$A$2:$K$105,11,FALSE))</f>
        <v/>
      </c>
      <c r="I2052" s="5">
        <f>IF(OR($A2052="", $B2052="", $E2052="", $F2052="", $G2052="", $H2052=""), "",IF(AND($E2052=$G2052, $F2052=$H2052), 3, IF(SIGN($E2052-$F2052)=SIGN($G2052-$H2052), 1, 0))))</f>
        <v/>
      </c>
    </row>
    <row r="2053">
      <c r="A2053" s="5" t="inlineStr"/>
      <c r="B2053" s="5" t="inlineStr"/>
      <c r="C2053" s="5">
        <f>IF($B2053="","",VLOOKUP($B2053,Jogos!$A$2:$K$105,8,FALSE))</f>
        <v/>
      </c>
      <c r="D2053" s="5">
        <f>IF($B2053="","",VLOOKUP($B2053,Jogos!$A$2:$K$105,10,FALSE))</f>
        <v/>
      </c>
      <c r="E2053" s="5" t="inlineStr"/>
      <c r="F2053" s="5" t="inlineStr"/>
      <c r="G2053" s="8">
        <f>IF($B2053="","",VLOOKUP($B2053,Jogos!$A$2:$K$105,9,FALSE))</f>
        <v/>
      </c>
      <c r="H2053" s="8">
        <f>IF($B2053="","",VLOOKUP($B2053,Jogos!$A$2:$K$105,11,FALSE))</f>
        <v/>
      </c>
      <c r="I2053" s="5">
        <f>IF(OR($A2053="", $B2053="", $E2053="", $F2053="", $G2053="", $H2053=""), "",IF(AND($E2053=$G2053, $F2053=$H2053), 3, IF(SIGN($E2053-$F2053)=SIGN($G2053-$H2053), 1, 0))))</f>
        <v/>
      </c>
    </row>
    <row r="2054">
      <c r="A2054" s="5" t="inlineStr"/>
      <c r="B2054" s="5" t="inlineStr"/>
      <c r="C2054" s="5">
        <f>IF($B2054="","",VLOOKUP($B2054,Jogos!$A$2:$K$105,8,FALSE))</f>
        <v/>
      </c>
      <c r="D2054" s="5">
        <f>IF($B2054="","",VLOOKUP($B2054,Jogos!$A$2:$K$105,10,FALSE))</f>
        <v/>
      </c>
      <c r="E2054" s="5" t="inlineStr"/>
      <c r="F2054" s="5" t="inlineStr"/>
      <c r="G2054" s="8">
        <f>IF($B2054="","",VLOOKUP($B2054,Jogos!$A$2:$K$105,9,FALSE))</f>
        <v/>
      </c>
      <c r="H2054" s="8">
        <f>IF($B2054="","",VLOOKUP($B2054,Jogos!$A$2:$K$105,11,FALSE))</f>
        <v/>
      </c>
      <c r="I2054" s="5">
        <f>IF(OR($A2054="", $B2054="", $E2054="", $F2054="", $G2054="", $H2054=""), "",IF(AND($E2054=$G2054, $F2054=$H2054), 3, IF(SIGN($E2054-$F2054)=SIGN($G2054-$H2054), 1, 0))))</f>
        <v/>
      </c>
    </row>
    <row r="2055">
      <c r="A2055" s="5" t="inlineStr"/>
      <c r="B2055" s="5" t="inlineStr"/>
      <c r="C2055" s="5">
        <f>IF($B2055="","",VLOOKUP($B2055,Jogos!$A$2:$K$105,8,FALSE))</f>
        <v/>
      </c>
      <c r="D2055" s="5">
        <f>IF($B2055="","",VLOOKUP($B2055,Jogos!$A$2:$K$105,10,FALSE))</f>
        <v/>
      </c>
      <c r="E2055" s="5" t="inlineStr"/>
      <c r="F2055" s="5" t="inlineStr"/>
      <c r="G2055" s="8">
        <f>IF($B2055="","",VLOOKUP($B2055,Jogos!$A$2:$K$105,9,FALSE))</f>
        <v/>
      </c>
      <c r="H2055" s="8">
        <f>IF($B2055="","",VLOOKUP($B2055,Jogos!$A$2:$K$105,11,FALSE))</f>
        <v/>
      </c>
      <c r="I2055" s="5">
        <f>IF(OR($A2055="", $B2055="", $E2055="", $F2055="", $G2055="", $H2055=""), "",IF(AND($E2055=$G2055, $F2055=$H2055), 3, IF(SIGN($E2055-$F2055)=SIGN($G2055-$H2055), 1, 0))))</f>
        <v/>
      </c>
    </row>
    <row r="2056">
      <c r="A2056" s="5" t="inlineStr"/>
      <c r="B2056" s="5" t="inlineStr"/>
      <c r="C2056" s="5">
        <f>IF($B2056="","",VLOOKUP($B2056,Jogos!$A$2:$K$105,8,FALSE))</f>
        <v/>
      </c>
      <c r="D2056" s="5">
        <f>IF($B2056="","",VLOOKUP($B2056,Jogos!$A$2:$K$105,10,FALSE))</f>
        <v/>
      </c>
      <c r="E2056" s="5" t="inlineStr"/>
      <c r="F2056" s="5" t="inlineStr"/>
      <c r="G2056" s="8">
        <f>IF($B2056="","",VLOOKUP($B2056,Jogos!$A$2:$K$105,9,FALSE))</f>
        <v/>
      </c>
      <c r="H2056" s="8">
        <f>IF($B2056="","",VLOOKUP($B2056,Jogos!$A$2:$K$105,11,FALSE))</f>
        <v/>
      </c>
      <c r="I2056" s="5">
        <f>IF(OR($A2056="", $B2056="", $E2056="", $F2056="", $G2056="", $H2056=""), "",IF(AND($E2056=$G2056, $F2056=$H2056), 3, IF(SIGN($E2056-$F2056)=SIGN($G2056-$H2056), 1, 0))))</f>
        <v/>
      </c>
    </row>
    <row r="2057">
      <c r="A2057" s="5" t="inlineStr"/>
      <c r="B2057" s="5" t="inlineStr"/>
      <c r="C2057" s="5">
        <f>IF($B2057="","",VLOOKUP($B2057,Jogos!$A$2:$K$105,8,FALSE))</f>
        <v/>
      </c>
      <c r="D2057" s="5">
        <f>IF($B2057="","",VLOOKUP($B2057,Jogos!$A$2:$K$105,10,FALSE))</f>
        <v/>
      </c>
      <c r="E2057" s="5" t="inlineStr"/>
      <c r="F2057" s="5" t="inlineStr"/>
      <c r="G2057" s="8">
        <f>IF($B2057="","",VLOOKUP($B2057,Jogos!$A$2:$K$105,9,FALSE))</f>
        <v/>
      </c>
      <c r="H2057" s="8">
        <f>IF($B2057="","",VLOOKUP($B2057,Jogos!$A$2:$K$105,11,FALSE))</f>
        <v/>
      </c>
      <c r="I2057" s="5">
        <f>IF(OR($A2057="", $B2057="", $E2057="", $F2057="", $G2057="", $H2057=""), "",IF(AND($E2057=$G2057, $F2057=$H2057), 3, IF(SIGN($E2057-$F2057)=SIGN($G2057-$H2057), 1, 0))))</f>
        <v/>
      </c>
    </row>
    <row r="2058">
      <c r="A2058" s="5" t="inlineStr"/>
      <c r="B2058" s="5" t="inlineStr"/>
      <c r="C2058" s="5">
        <f>IF($B2058="","",VLOOKUP($B2058,Jogos!$A$2:$K$105,8,FALSE))</f>
        <v/>
      </c>
      <c r="D2058" s="5">
        <f>IF($B2058="","",VLOOKUP($B2058,Jogos!$A$2:$K$105,10,FALSE))</f>
        <v/>
      </c>
      <c r="E2058" s="5" t="inlineStr"/>
      <c r="F2058" s="5" t="inlineStr"/>
      <c r="G2058" s="8">
        <f>IF($B2058="","",VLOOKUP($B2058,Jogos!$A$2:$K$105,9,FALSE))</f>
        <v/>
      </c>
      <c r="H2058" s="8">
        <f>IF($B2058="","",VLOOKUP($B2058,Jogos!$A$2:$K$105,11,FALSE))</f>
        <v/>
      </c>
      <c r="I2058" s="5">
        <f>IF(OR($A2058="", $B2058="", $E2058="", $F2058="", $G2058="", $H2058=""), "",IF(AND($E2058=$G2058, $F2058=$H2058), 3, IF(SIGN($E2058-$F2058)=SIGN($G2058-$H2058), 1, 0))))</f>
        <v/>
      </c>
    </row>
    <row r="2059">
      <c r="A2059" s="5" t="inlineStr"/>
      <c r="B2059" s="5" t="inlineStr"/>
      <c r="C2059" s="5">
        <f>IF($B2059="","",VLOOKUP($B2059,Jogos!$A$2:$K$105,8,FALSE))</f>
        <v/>
      </c>
      <c r="D2059" s="5">
        <f>IF($B2059="","",VLOOKUP($B2059,Jogos!$A$2:$K$105,10,FALSE))</f>
        <v/>
      </c>
      <c r="E2059" s="5" t="inlineStr"/>
      <c r="F2059" s="5" t="inlineStr"/>
      <c r="G2059" s="8">
        <f>IF($B2059="","",VLOOKUP($B2059,Jogos!$A$2:$K$105,9,FALSE))</f>
        <v/>
      </c>
      <c r="H2059" s="8">
        <f>IF($B2059="","",VLOOKUP($B2059,Jogos!$A$2:$K$105,11,FALSE))</f>
        <v/>
      </c>
      <c r="I2059" s="5">
        <f>IF(OR($A2059="", $B2059="", $E2059="", $F2059="", $G2059="", $H2059=""), "",IF(AND($E2059=$G2059, $F2059=$H2059), 3, IF(SIGN($E2059-$F2059)=SIGN($G2059-$H2059), 1, 0))))</f>
        <v/>
      </c>
    </row>
    <row r="2060">
      <c r="A2060" s="5" t="inlineStr"/>
      <c r="B2060" s="5" t="inlineStr"/>
      <c r="C2060" s="5">
        <f>IF($B2060="","",VLOOKUP($B2060,Jogos!$A$2:$K$105,8,FALSE))</f>
        <v/>
      </c>
      <c r="D2060" s="5">
        <f>IF($B2060="","",VLOOKUP($B2060,Jogos!$A$2:$K$105,10,FALSE))</f>
        <v/>
      </c>
      <c r="E2060" s="5" t="inlineStr"/>
      <c r="F2060" s="5" t="inlineStr"/>
      <c r="G2060" s="8">
        <f>IF($B2060="","",VLOOKUP($B2060,Jogos!$A$2:$K$105,9,FALSE))</f>
        <v/>
      </c>
      <c r="H2060" s="8">
        <f>IF($B2060="","",VLOOKUP($B2060,Jogos!$A$2:$K$105,11,FALSE))</f>
        <v/>
      </c>
      <c r="I2060" s="5">
        <f>IF(OR($A2060="", $B2060="", $E2060="", $F2060="", $G2060="", $H2060=""), "",IF(AND($E2060=$G2060, $F2060=$H2060), 3, IF(SIGN($E2060-$F2060)=SIGN($G2060-$H2060), 1, 0))))</f>
        <v/>
      </c>
    </row>
    <row r="2061">
      <c r="A2061" s="5" t="inlineStr"/>
      <c r="B2061" s="5" t="inlineStr"/>
      <c r="C2061" s="5">
        <f>IF($B2061="","",VLOOKUP($B2061,Jogos!$A$2:$K$105,8,FALSE))</f>
        <v/>
      </c>
      <c r="D2061" s="5">
        <f>IF($B2061="","",VLOOKUP($B2061,Jogos!$A$2:$K$105,10,FALSE))</f>
        <v/>
      </c>
      <c r="E2061" s="5" t="inlineStr"/>
      <c r="F2061" s="5" t="inlineStr"/>
      <c r="G2061" s="8">
        <f>IF($B2061="","",VLOOKUP($B2061,Jogos!$A$2:$K$105,9,FALSE))</f>
        <v/>
      </c>
      <c r="H2061" s="8">
        <f>IF($B2061="","",VLOOKUP($B2061,Jogos!$A$2:$K$105,11,FALSE))</f>
        <v/>
      </c>
      <c r="I2061" s="5">
        <f>IF(OR($A2061="", $B2061="", $E2061="", $F2061="", $G2061="", $H2061=""), "",IF(AND($E2061=$G2061, $F2061=$H2061), 3, IF(SIGN($E2061-$F2061)=SIGN($G2061-$H2061), 1, 0))))</f>
        <v/>
      </c>
    </row>
    <row r="2062">
      <c r="A2062" s="5" t="inlineStr"/>
      <c r="B2062" s="5" t="inlineStr"/>
      <c r="C2062" s="5">
        <f>IF($B2062="","",VLOOKUP($B2062,Jogos!$A$2:$K$105,8,FALSE))</f>
        <v/>
      </c>
      <c r="D2062" s="5">
        <f>IF($B2062="","",VLOOKUP($B2062,Jogos!$A$2:$K$105,10,FALSE))</f>
        <v/>
      </c>
      <c r="E2062" s="5" t="inlineStr"/>
      <c r="F2062" s="5" t="inlineStr"/>
      <c r="G2062" s="8">
        <f>IF($B2062="","",VLOOKUP($B2062,Jogos!$A$2:$K$105,9,FALSE))</f>
        <v/>
      </c>
      <c r="H2062" s="8">
        <f>IF($B2062="","",VLOOKUP($B2062,Jogos!$A$2:$K$105,11,FALSE))</f>
        <v/>
      </c>
      <c r="I2062" s="5">
        <f>IF(OR($A2062="", $B2062="", $E2062="", $F2062="", $G2062="", $H2062=""), "",IF(AND($E2062=$G2062, $F2062=$H2062), 3, IF(SIGN($E2062-$F2062)=SIGN($G2062-$H2062), 1, 0))))</f>
        <v/>
      </c>
    </row>
    <row r="2063">
      <c r="A2063" s="5" t="inlineStr"/>
      <c r="B2063" s="5" t="inlineStr"/>
      <c r="C2063" s="5">
        <f>IF($B2063="","",VLOOKUP($B2063,Jogos!$A$2:$K$105,8,FALSE))</f>
        <v/>
      </c>
      <c r="D2063" s="5">
        <f>IF($B2063="","",VLOOKUP($B2063,Jogos!$A$2:$K$105,10,FALSE))</f>
        <v/>
      </c>
      <c r="E2063" s="5" t="inlineStr"/>
      <c r="F2063" s="5" t="inlineStr"/>
      <c r="G2063" s="8">
        <f>IF($B2063="","",VLOOKUP($B2063,Jogos!$A$2:$K$105,9,FALSE))</f>
        <v/>
      </c>
      <c r="H2063" s="8">
        <f>IF($B2063="","",VLOOKUP($B2063,Jogos!$A$2:$K$105,11,FALSE))</f>
        <v/>
      </c>
      <c r="I2063" s="5">
        <f>IF(OR($A2063="", $B2063="", $E2063="", $F2063="", $G2063="", $H2063=""), "",IF(AND($E2063=$G2063, $F2063=$H2063), 3, IF(SIGN($E2063-$F2063)=SIGN($G2063-$H2063), 1, 0))))</f>
        <v/>
      </c>
    </row>
    <row r="2064">
      <c r="A2064" s="5" t="inlineStr"/>
      <c r="B2064" s="5" t="inlineStr"/>
      <c r="C2064" s="5">
        <f>IF($B2064="","",VLOOKUP($B2064,Jogos!$A$2:$K$105,8,FALSE))</f>
        <v/>
      </c>
      <c r="D2064" s="5">
        <f>IF($B2064="","",VLOOKUP($B2064,Jogos!$A$2:$K$105,10,FALSE))</f>
        <v/>
      </c>
      <c r="E2064" s="5" t="inlineStr"/>
      <c r="F2064" s="5" t="inlineStr"/>
      <c r="G2064" s="8">
        <f>IF($B2064="","",VLOOKUP($B2064,Jogos!$A$2:$K$105,9,FALSE))</f>
        <v/>
      </c>
      <c r="H2064" s="8">
        <f>IF($B2064="","",VLOOKUP($B2064,Jogos!$A$2:$K$105,11,FALSE))</f>
        <v/>
      </c>
      <c r="I2064" s="5">
        <f>IF(OR($A2064="", $B2064="", $E2064="", $F2064="", $G2064="", $H2064=""), "",IF(AND($E2064=$G2064, $F2064=$H2064), 3, IF(SIGN($E2064-$F2064)=SIGN($G2064-$H2064), 1, 0))))</f>
        <v/>
      </c>
    </row>
    <row r="2065">
      <c r="A2065" s="5" t="inlineStr"/>
      <c r="B2065" s="5" t="inlineStr"/>
      <c r="C2065" s="5">
        <f>IF($B2065="","",VLOOKUP($B2065,Jogos!$A$2:$K$105,8,FALSE))</f>
        <v/>
      </c>
      <c r="D2065" s="5">
        <f>IF($B2065="","",VLOOKUP($B2065,Jogos!$A$2:$K$105,10,FALSE))</f>
        <v/>
      </c>
      <c r="E2065" s="5" t="inlineStr"/>
      <c r="F2065" s="5" t="inlineStr"/>
      <c r="G2065" s="8">
        <f>IF($B2065="","",VLOOKUP($B2065,Jogos!$A$2:$K$105,9,FALSE))</f>
        <v/>
      </c>
      <c r="H2065" s="8">
        <f>IF($B2065="","",VLOOKUP($B2065,Jogos!$A$2:$K$105,11,FALSE))</f>
        <v/>
      </c>
      <c r="I2065" s="5">
        <f>IF(OR($A2065="", $B2065="", $E2065="", $F2065="", $G2065="", $H2065=""), "",IF(AND($E2065=$G2065, $F2065=$H2065), 3, IF(SIGN($E2065-$F2065)=SIGN($G2065-$H2065), 1, 0))))</f>
        <v/>
      </c>
    </row>
    <row r="2066">
      <c r="A2066" s="5" t="inlineStr"/>
      <c r="B2066" s="5" t="inlineStr"/>
      <c r="C2066" s="5">
        <f>IF($B2066="","",VLOOKUP($B2066,Jogos!$A$2:$K$105,8,FALSE))</f>
        <v/>
      </c>
      <c r="D2066" s="5">
        <f>IF($B2066="","",VLOOKUP($B2066,Jogos!$A$2:$K$105,10,FALSE))</f>
        <v/>
      </c>
      <c r="E2066" s="5" t="inlineStr"/>
      <c r="F2066" s="5" t="inlineStr"/>
      <c r="G2066" s="8">
        <f>IF($B2066="","",VLOOKUP($B2066,Jogos!$A$2:$K$105,9,FALSE))</f>
        <v/>
      </c>
      <c r="H2066" s="8">
        <f>IF($B2066="","",VLOOKUP($B2066,Jogos!$A$2:$K$105,11,FALSE))</f>
        <v/>
      </c>
      <c r="I2066" s="5">
        <f>IF(OR($A2066="", $B2066="", $E2066="", $F2066="", $G2066="", $H2066=""), "",IF(AND($E2066=$G2066, $F2066=$H2066), 3, IF(SIGN($E2066-$F2066)=SIGN($G2066-$H2066), 1, 0))))</f>
        <v/>
      </c>
    </row>
    <row r="2067">
      <c r="A2067" s="5" t="inlineStr"/>
      <c r="B2067" s="5" t="inlineStr"/>
      <c r="C2067" s="5">
        <f>IF($B2067="","",VLOOKUP($B2067,Jogos!$A$2:$K$105,8,FALSE))</f>
        <v/>
      </c>
      <c r="D2067" s="5">
        <f>IF($B2067="","",VLOOKUP($B2067,Jogos!$A$2:$K$105,10,FALSE))</f>
        <v/>
      </c>
      <c r="E2067" s="5" t="inlineStr"/>
      <c r="F2067" s="5" t="inlineStr"/>
      <c r="G2067" s="8">
        <f>IF($B2067="","",VLOOKUP($B2067,Jogos!$A$2:$K$105,9,FALSE))</f>
        <v/>
      </c>
      <c r="H2067" s="8">
        <f>IF($B2067="","",VLOOKUP($B2067,Jogos!$A$2:$K$105,11,FALSE))</f>
        <v/>
      </c>
      <c r="I2067" s="5">
        <f>IF(OR($A2067="", $B2067="", $E2067="", $F2067="", $G2067="", $H2067=""), "",IF(AND($E2067=$G2067, $F2067=$H2067), 3, IF(SIGN($E2067-$F2067)=SIGN($G2067-$H2067), 1, 0))))</f>
        <v/>
      </c>
    </row>
    <row r="2068">
      <c r="A2068" s="5" t="inlineStr"/>
      <c r="B2068" s="5" t="inlineStr"/>
      <c r="C2068" s="5">
        <f>IF($B2068="","",VLOOKUP($B2068,Jogos!$A$2:$K$105,8,FALSE))</f>
        <v/>
      </c>
      <c r="D2068" s="5">
        <f>IF($B2068="","",VLOOKUP($B2068,Jogos!$A$2:$K$105,10,FALSE))</f>
        <v/>
      </c>
      <c r="E2068" s="5" t="inlineStr"/>
      <c r="F2068" s="5" t="inlineStr"/>
      <c r="G2068" s="8">
        <f>IF($B2068="","",VLOOKUP($B2068,Jogos!$A$2:$K$105,9,FALSE))</f>
        <v/>
      </c>
      <c r="H2068" s="8">
        <f>IF($B2068="","",VLOOKUP($B2068,Jogos!$A$2:$K$105,11,FALSE))</f>
        <v/>
      </c>
      <c r="I2068" s="5">
        <f>IF(OR($A2068="", $B2068="", $E2068="", $F2068="", $G2068="", $H2068=""), "",IF(AND($E2068=$G2068, $F2068=$H2068), 3, IF(SIGN($E2068-$F2068)=SIGN($G2068-$H2068), 1, 0))))</f>
        <v/>
      </c>
    </row>
    <row r="2069">
      <c r="A2069" s="5" t="inlineStr"/>
      <c r="B2069" s="5" t="inlineStr"/>
      <c r="C2069" s="5">
        <f>IF($B2069="","",VLOOKUP($B2069,Jogos!$A$2:$K$105,8,FALSE))</f>
        <v/>
      </c>
      <c r="D2069" s="5">
        <f>IF($B2069="","",VLOOKUP($B2069,Jogos!$A$2:$K$105,10,FALSE))</f>
        <v/>
      </c>
      <c r="E2069" s="5" t="inlineStr"/>
      <c r="F2069" s="5" t="inlineStr"/>
      <c r="G2069" s="8">
        <f>IF($B2069="","",VLOOKUP($B2069,Jogos!$A$2:$K$105,9,FALSE))</f>
        <v/>
      </c>
      <c r="H2069" s="8">
        <f>IF($B2069="","",VLOOKUP($B2069,Jogos!$A$2:$K$105,11,FALSE))</f>
        <v/>
      </c>
      <c r="I2069" s="5">
        <f>IF(OR($A2069="", $B2069="", $E2069="", $F2069="", $G2069="", $H2069=""), "",IF(AND($E2069=$G2069, $F2069=$H2069), 3, IF(SIGN($E2069-$F2069)=SIGN($G2069-$H2069), 1, 0))))</f>
        <v/>
      </c>
    </row>
    <row r="2070">
      <c r="A2070" s="5" t="inlineStr"/>
      <c r="B2070" s="5" t="inlineStr"/>
      <c r="C2070" s="5">
        <f>IF($B2070="","",VLOOKUP($B2070,Jogos!$A$2:$K$105,8,FALSE))</f>
        <v/>
      </c>
      <c r="D2070" s="5">
        <f>IF($B2070="","",VLOOKUP($B2070,Jogos!$A$2:$K$105,10,FALSE))</f>
        <v/>
      </c>
      <c r="E2070" s="5" t="inlineStr"/>
      <c r="F2070" s="5" t="inlineStr"/>
      <c r="G2070" s="8">
        <f>IF($B2070="","",VLOOKUP($B2070,Jogos!$A$2:$K$105,9,FALSE))</f>
        <v/>
      </c>
      <c r="H2070" s="8">
        <f>IF($B2070="","",VLOOKUP($B2070,Jogos!$A$2:$K$105,11,FALSE))</f>
        <v/>
      </c>
      <c r="I2070" s="5">
        <f>IF(OR($A2070="", $B2070="", $E2070="", $F2070="", $G2070="", $H2070=""), "",IF(AND($E2070=$G2070, $F2070=$H2070), 3, IF(SIGN($E2070-$F2070)=SIGN($G2070-$H2070), 1, 0))))</f>
        <v/>
      </c>
    </row>
    <row r="2071">
      <c r="A2071" s="5" t="inlineStr"/>
      <c r="B2071" s="5" t="inlineStr"/>
      <c r="C2071" s="5">
        <f>IF($B2071="","",VLOOKUP($B2071,Jogos!$A$2:$K$105,8,FALSE))</f>
        <v/>
      </c>
      <c r="D2071" s="5">
        <f>IF($B2071="","",VLOOKUP($B2071,Jogos!$A$2:$K$105,10,FALSE))</f>
        <v/>
      </c>
      <c r="E2071" s="5" t="inlineStr"/>
      <c r="F2071" s="5" t="inlineStr"/>
      <c r="G2071" s="8">
        <f>IF($B2071="","",VLOOKUP($B2071,Jogos!$A$2:$K$105,9,FALSE))</f>
        <v/>
      </c>
      <c r="H2071" s="8">
        <f>IF($B2071="","",VLOOKUP($B2071,Jogos!$A$2:$K$105,11,FALSE))</f>
        <v/>
      </c>
      <c r="I2071" s="5">
        <f>IF(OR($A2071="", $B2071="", $E2071="", $F2071="", $G2071="", $H2071=""), "",IF(AND($E2071=$G2071, $F2071=$H2071), 3, IF(SIGN($E2071-$F2071)=SIGN($G2071-$H2071), 1, 0))))</f>
        <v/>
      </c>
    </row>
    <row r="2072">
      <c r="A2072" s="5" t="inlineStr"/>
      <c r="B2072" s="5" t="inlineStr"/>
      <c r="C2072" s="5">
        <f>IF($B2072="","",VLOOKUP($B2072,Jogos!$A$2:$K$105,8,FALSE))</f>
        <v/>
      </c>
      <c r="D2072" s="5">
        <f>IF($B2072="","",VLOOKUP($B2072,Jogos!$A$2:$K$105,10,FALSE))</f>
        <v/>
      </c>
      <c r="E2072" s="5" t="inlineStr"/>
      <c r="F2072" s="5" t="inlineStr"/>
      <c r="G2072" s="8">
        <f>IF($B2072="","",VLOOKUP($B2072,Jogos!$A$2:$K$105,9,FALSE))</f>
        <v/>
      </c>
      <c r="H2072" s="8">
        <f>IF($B2072="","",VLOOKUP($B2072,Jogos!$A$2:$K$105,11,FALSE))</f>
        <v/>
      </c>
      <c r="I2072" s="5">
        <f>IF(OR($A2072="", $B2072="", $E2072="", $F2072="", $G2072="", $H2072=""), "",IF(AND($E2072=$G2072, $F2072=$H2072), 3, IF(SIGN($E2072-$F2072)=SIGN($G2072-$H2072), 1, 0))))</f>
        <v/>
      </c>
    </row>
    <row r="2073">
      <c r="A2073" s="5" t="inlineStr"/>
      <c r="B2073" s="5" t="inlineStr"/>
      <c r="C2073" s="5">
        <f>IF($B2073="","",VLOOKUP($B2073,Jogos!$A$2:$K$105,8,FALSE))</f>
        <v/>
      </c>
      <c r="D2073" s="5">
        <f>IF($B2073="","",VLOOKUP($B2073,Jogos!$A$2:$K$105,10,FALSE))</f>
        <v/>
      </c>
      <c r="E2073" s="5" t="inlineStr"/>
      <c r="F2073" s="5" t="inlineStr"/>
      <c r="G2073" s="8">
        <f>IF($B2073="","",VLOOKUP($B2073,Jogos!$A$2:$K$105,9,FALSE))</f>
        <v/>
      </c>
      <c r="H2073" s="8">
        <f>IF($B2073="","",VLOOKUP($B2073,Jogos!$A$2:$K$105,11,FALSE))</f>
        <v/>
      </c>
      <c r="I2073" s="5">
        <f>IF(OR($A2073="", $B2073="", $E2073="", $F2073="", $G2073="", $H2073=""), "",IF(AND($E2073=$G2073, $F2073=$H2073), 3, IF(SIGN($E2073-$F2073)=SIGN($G2073-$H2073), 1, 0))))</f>
        <v/>
      </c>
    </row>
    <row r="2074">
      <c r="A2074" s="5" t="inlineStr"/>
      <c r="B2074" s="5" t="inlineStr"/>
      <c r="C2074" s="5">
        <f>IF($B2074="","",VLOOKUP($B2074,Jogos!$A$2:$K$105,8,FALSE))</f>
        <v/>
      </c>
      <c r="D2074" s="5">
        <f>IF($B2074="","",VLOOKUP($B2074,Jogos!$A$2:$K$105,10,FALSE))</f>
        <v/>
      </c>
      <c r="E2074" s="5" t="inlineStr"/>
      <c r="F2074" s="5" t="inlineStr"/>
      <c r="G2074" s="8">
        <f>IF($B2074="","",VLOOKUP($B2074,Jogos!$A$2:$K$105,9,FALSE))</f>
        <v/>
      </c>
      <c r="H2074" s="8">
        <f>IF($B2074="","",VLOOKUP($B2074,Jogos!$A$2:$K$105,11,FALSE))</f>
        <v/>
      </c>
      <c r="I2074" s="5">
        <f>IF(OR($A2074="", $B2074="", $E2074="", $F2074="", $G2074="", $H2074=""), "",IF(AND($E2074=$G2074, $F2074=$H2074), 3, IF(SIGN($E2074-$F2074)=SIGN($G2074-$H2074), 1, 0))))</f>
        <v/>
      </c>
    </row>
    <row r="2075">
      <c r="A2075" s="5" t="inlineStr"/>
      <c r="B2075" s="5" t="inlineStr"/>
      <c r="C2075" s="5">
        <f>IF($B2075="","",VLOOKUP($B2075,Jogos!$A$2:$K$105,8,FALSE))</f>
        <v/>
      </c>
      <c r="D2075" s="5">
        <f>IF($B2075="","",VLOOKUP($B2075,Jogos!$A$2:$K$105,10,FALSE))</f>
        <v/>
      </c>
      <c r="E2075" s="5" t="inlineStr"/>
      <c r="F2075" s="5" t="inlineStr"/>
      <c r="G2075" s="8">
        <f>IF($B2075="","",VLOOKUP($B2075,Jogos!$A$2:$K$105,9,FALSE))</f>
        <v/>
      </c>
      <c r="H2075" s="8">
        <f>IF($B2075="","",VLOOKUP($B2075,Jogos!$A$2:$K$105,11,FALSE))</f>
        <v/>
      </c>
      <c r="I2075" s="5">
        <f>IF(OR($A2075="", $B2075="", $E2075="", $F2075="", $G2075="", $H2075=""), "",IF(AND($E2075=$G2075, $F2075=$H2075), 3, IF(SIGN($E2075-$F2075)=SIGN($G2075-$H2075), 1, 0))))</f>
        <v/>
      </c>
    </row>
    <row r="2076">
      <c r="A2076" s="5" t="inlineStr"/>
      <c r="B2076" s="5" t="inlineStr"/>
      <c r="C2076" s="5">
        <f>IF($B2076="","",VLOOKUP($B2076,Jogos!$A$2:$K$105,8,FALSE))</f>
        <v/>
      </c>
      <c r="D2076" s="5">
        <f>IF($B2076="","",VLOOKUP($B2076,Jogos!$A$2:$K$105,10,FALSE))</f>
        <v/>
      </c>
      <c r="E2076" s="5" t="inlineStr"/>
      <c r="F2076" s="5" t="inlineStr"/>
      <c r="G2076" s="8">
        <f>IF($B2076="","",VLOOKUP($B2076,Jogos!$A$2:$K$105,9,FALSE))</f>
        <v/>
      </c>
      <c r="H2076" s="8">
        <f>IF($B2076="","",VLOOKUP($B2076,Jogos!$A$2:$K$105,11,FALSE))</f>
        <v/>
      </c>
      <c r="I2076" s="5">
        <f>IF(OR($A2076="", $B2076="", $E2076="", $F2076="", $G2076="", $H2076=""), "",IF(AND($E2076=$G2076, $F2076=$H2076), 3, IF(SIGN($E2076-$F2076)=SIGN($G2076-$H2076), 1, 0))))</f>
        <v/>
      </c>
    </row>
    <row r="2077">
      <c r="A2077" s="5" t="inlineStr"/>
      <c r="B2077" s="5" t="inlineStr"/>
      <c r="C2077" s="5">
        <f>IF($B2077="","",VLOOKUP($B2077,Jogos!$A$2:$K$105,8,FALSE))</f>
        <v/>
      </c>
      <c r="D2077" s="5">
        <f>IF($B2077="","",VLOOKUP($B2077,Jogos!$A$2:$K$105,10,FALSE))</f>
        <v/>
      </c>
      <c r="E2077" s="5" t="inlineStr"/>
      <c r="F2077" s="5" t="inlineStr"/>
      <c r="G2077" s="8">
        <f>IF($B2077="","",VLOOKUP($B2077,Jogos!$A$2:$K$105,9,FALSE))</f>
        <v/>
      </c>
      <c r="H2077" s="8">
        <f>IF($B2077="","",VLOOKUP($B2077,Jogos!$A$2:$K$105,11,FALSE))</f>
        <v/>
      </c>
      <c r="I2077" s="5">
        <f>IF(OR($A2077="", $B2077="", $E2077="", $F2077="", $G2077="", $H2077=""), "",IF(AND($E2077=$G2077, $F2077=$H2077), 3, IF(SIGN($E2077-$F2077)=SIGN($G2077-$H2077), 1, 0))))</f>
        <v/>
      </c>
    </row>
    <row r="2078">
      <c r="A2078" s="5" t="inlineStr"/>
      <c r="B2078" s="5" t="inlineStr"/>
      <c r="C2078" s="5">
        <f>IF($B2078="","",VLOOKUP($B2078,Jogos!$A$2:$K$105,8,FALSE))</f>
        <v/>
      </c>
      <c r="D2078" s="5">
        <f>IF($B2078="","",VLOOKUP($B2078,Jogos!$A$2:$K$105,10,FALSE))</f>
        <v/>
      </c>
      <c r="E2078" s="5" t="inlineStr"/>
      <c r="F2078" s="5" t="inlineStr"/>
      <c r="G2078" s="8">
        <f>IF($B2078="","",VLOOKUP($B2078,Jogos!$A$2:$K$105,9,FALSE))</f>
        <v/>
      </c>
      <c r="H2078" s="8">
        <f>IF($B2078="","",VLOOKUP($B2078,Jogos!$A$2:$K$105,11,FALSE))</f>
        <v/>
      </c>
      <c r="I2078" s="5">
        <f>IF(OR($A2078="", $B2078="", $E2078="", $F2078="", $G2078="", $H2078=""), "",IF(AND($E2078=$G2078, $F2078=$H2078), 3, IF(SIGN($E2078-$F2078)=SIGN($G2078-$H2078), 1, 0))))</f>
        <v/>
      </c>
    </row>
    <row r="2079">
      <c r="A2079" s="5" t="inlineStr"/>
      <c r="B2079" s="5" t="inlineStr"/>
      <c r="C2079" s="5">
        <f>IF($B2079="","",VLOOKUP($B2079,Jogos!$A$2:$K$105,8,FALSE))</f>
        <v/>
      </c>
      <c r="D2079" s="5">
        <f>IF($B2079="","",VLOOKUP($B2079,Jogos!$A$2:$K$105,10,FALSE))</f>
        <v/>
      </c>
      <c r="E2079" s="5" t="inlineStr"/>
      <c r="F2079" s="5" t="inlineStr"/>
      <c r="G2079" s="8">
        <f>IF($B2079="","",VLOOKUP($B2079,Jogos!$A$2:$K$105,9,FALSE))</f>
        <v/>
      </c>
      <c r="H2079" s="8">
        <f>IF($B2079="","",VLOOKUP($B2079,Jogos!$A$2:$K$105,11,FALSE))</f>
        <v/>
      </c>
      <c r="I2079" s="5">
        <f>IF(OR($A2079="", $B2079="", $E2079="", $F2079="", $G2079="", $H2079=""), "",IF(AND($E2079=$G2079, $F2079=$H2079), 3, IF(SIGN($E2079-$F2079)=SIGN($G2079-$H2079), 1, 0))))</f>
        <v/>
      </c>
    </row>
    <row r="2080">
      <c r="A2080" s="5" t="inlineStr"/>
      <c r="B2080" s="5" t="inlineStr"/>
      <c r="C2080" s="5">
        <f>IF($B2080="","",VLOOKUP($B2080,Jogos!$A$2:$K$105,8,FALSE))</f>
        <v/>
      </c>
      <c r="D2080" s="5">
        <f>IF($B2080="","",VLOOKUP($B2080,Jogos!$A$2:$K$105,10,FALSE))</f>
        <v/>
      </c>
      <c r="E2080" s="5" t="inlineStr"/>
      <c r="F2080" s="5" t="inlineStr"/>
      <c r="G2080" s="8">
        <f>IF($B2080="","",VLOOKUP($B2080,Jogos!$A$2:$K$105,9,FALSE))</f>
        <v/>
      </c>
      <c r="H2080" s="8">
        <f>IF($B2080="","",VLOOKUP($B2080,Jogos!$A$2:$K$105,11,FALSE))</f>
        <v/>
      </c>
      <c r="I2080" s="5">
        <f>IF(OR($A2080="", $B2080="", $E2080="", $F2080="", $G2080="", $H2080=""), "",IF(AND($E2080=$G2080, $F2080=$H2080), 3, IF(SIGN($E2080-$F2080)=SIGN($G2080-$H2080), 1, 0))))</f>
        <v/>
      </c>
    </row>
    <row r="2081">
      <c r="A2081" s="5" t="inlineStr"/>
      <c r="B2081" s="5" t="inlineStr"/>
      <c r="C2081" s="5">
        <f>IF($B2081="","",VLOOKUP($B2081,Jogos!$A$2:$K$105,8,FALSE))</f>
        <v/>
      </c>
      <c r="D2081" s="5">
        <f>IF($B2081="","",VLOOKUP($B2081,Jogos!$A$2:$K$105,10,FALSE))</f>
        <v/>
      </c>
      <c r="E2081" s="5" t="inlineStr"/>
      <c r="F2081" s="5" t="inlineStr"/>
      <c r="G2081" s="8">
        <f>IF($B2081="","",VLOOKUP($B2081,Jogos!$A$2:$K$105,9,FALSE))</f>
        <v/>
      </c>
      <c r="H2081" s="8">
        <f>IF($B2081="","",VLOOKUP($B2081,Jogos!$A$2:$K$105,11,FALSE))</f>
        <v/>
      </c>
      <c r="I2081" s="5">
        <f>IF(OR($A2081="", $B2081="", $E2081="", $F2081="", $G2081="", $H2081=""), "",IF(AND($E2081=$G2081, $F2081=$H2081), 3, IF(SIGN($E2081-$F2081)=SIGN($G2081-$H2081), 1, 0))))</f>
        <v/>
      </c>
    </row>
    <row r="2082">
      <c r="A2082" s="5" t="inlineStr"/>
      <c r="B2082" s="5" t="inlineStr"/>
      <c r="C2082" s="5">
        <f>IF($B2082="","",VLOOKUP($B2082,Jogos!$A$2:$K$105,8,FALSE))</f>
        <v/>
      </c>
      <c r="D2082" s="5">
        <f>IF($B2082="","",VLOOKUP($B2082,Jogos!$A$2:$K$105,10,FALSE))</f>
        <v/>
      </c>
      <c r="E2082" s="5" t="inlineStr"/>
      <c r="F2082" s="5" t="inlineStr"/>
      <c r="G2082" s="8">
        <f>IF($B2082="","",VLOOKUP($B2082,Jogos!$A$2:$K$105,9,FALSE))</f>
        <v/>
      </c>
      <c r="H2082" s="8">
        <f>IF($B2082="","",VLOOKUP($B2082,Jogos!$A$2:$K$105,11,FALSE))</f>
        <v/>
      </c>
      <c r="I2082" s="5">
        <f>IF(OR($A2082="", $B2082="", $E2082="", $F2082="", $G2082="", $H2082=""), "",IF(AND($E2082=$G2082, $F2082=$H2082), 3, IF(SIGN($E2082-$F2082)=SIGN($G2082-$H2082), 1, 0))))</f>
        <v/>
      </c>
    </row>
    <row r="2083">
      <c r="A2083" s="5" t="inlineStr"/>
      <c r="B2083" s="5" t="inlineStr"/>
      <c r="C2083" s="5">
        <f>IF($B2083="","",VLOOKUP($B2083,Jogos!$A$2:$K$105,8,FALSE))</f>
        <v/>
      </c>
      <c r="D2083" s="5">
        <f>IF($B2083="","",VLOOKUP($B2083,Jogos!$A$2:$K$105,10,FALSE))</f>
        <v/>
      </c>
      <c r="E2083" s="5" t="inlineStr"/>
      <c r="F2083" s="5" t="inlineStr"/>
      <c r="G2083" s="8">
        <f>IF($B2083="","",VLOOKUP($B2083,Jogos!$A$2:$K$105,9,FALSE))</f>
        <v/>
      </c>
      <c r="H2083" s="8">
        <f>IF($B2083="","",VLOOKUP($B2083,Jogos!$A$2:$K$105,11,FALSE))</f>
        <v/>
      </c>
      <c r="I2083" s="5">
        <f>IF(OR($A2083="", $B2083="", $E2083="", $F2083="", $G2083="", $H2083=""), "",IF(AND($E2083=$G2083, $F2083=$H2083), 3, IF(SIGN($E2083-$F2083)=SIGN($G2083-$H2083), 1, 0))))</f>
        <v/>
      </c>
    </row>
    <row r="2084">
      <c r="A2084" s="5" t="inlineStr"/>
      <c r="B2084" s="5" t="inlineStr"/>
      <c r="C2084" s="5">
        <f>IF($B2084="","",VLOOKUP($B2084,Jogos!$A$2:$K$105,8,FALSE))</f>
        <v/>
      </c>
      <c r="D2084" s="5">
        <f>IF($B2084="","",VLOOKUP($B2084,Jogos!$A$2:$K$105,10,FALSE))</f>
        <v/>
      </c>
      <c r="E2084" s="5" t="inlineStr"/>
      <c r="F2084" s="5" t="inlineStr"/>
      <c r="G2084" s="8">
        <f>IF($B2084="","",VLOOKUP($B2084,Jogos!$A$2:$K$105,9,FALSE))</f>
        <v/>
      </c>
      <c r="H2084" s="8">
        <f>IF($B2084="","",VLOOKUP($B2084,Jogos!$A$2:$K$105,11,FALSE))</f>
        <v/>
      </c>
      <c r="I2084" s="5">
        <f>IF(OR($A2084="", $B2084="", $E2084="", $F2084="", $G2084="", $H2084=""), "",IF(AND($E2084=$G2084, $F2084=$H2084), 3, IF(SIGN($E2084-$F2084)=SIGN($G2084-$H2084), 1, 0))))</f>
        <v/>
      </c>
    </row>
    <row r="2085">
      <c r="A2085" s="5" t="inlineStr"/>
      <c r="B2085" s="5" t="inlineStr"/>
      <c r="C2085" s="5">
        <f>IF($B2085="","",VLOOKUP($B2085,Jogos!$A$2:$K$105,8,FALSE))</f>
        <v/>
      </c>
      <c r="D2085" s="5">
        <f>IF($B2085="","",VLOOKUP($B2085,Jogos!$A$2:$K$105,10,FALSE))</f>
        <v/>
      </c>
      <c r="E2085" s="5" t="inlineStr"/>
      <c r="F2085" s="5" t="inlineStr"/>
      <c r="G2085" s="8">
        <f>IF($B2085="","",VLOOKUP($B2085,Jogos!$A$2:$K$105,9,FALSE))</f>
        <v/>
      </c>
      <c r="H2085" s="8">
        <f>IF($B2085="","",VLOOKUP($B2085,Jogos!$A$2:$K$105,11,FALSE))</f>
        <v/>
      </c>
      <c r="I2085" s="5">
        <f>IF(OR($A2085="", $B2085="", $E2085="", $F2085="", $G2085="", $H2085=""), "",IF(AND($E2085=$G2085, $F2085=$H2085), 3, IF(SIGN($E2085-$F2085)=SIGN($G2085-$H2085), 1, 0))))</f>
        <v/>
      </c>
    </row>
    <row r="2086">
      <c r="A2086" s="5" t="inlineStr"/>
      <c r="B2086" s="5" t="inlineStr"/>
      <c r="C2086" s="5">
        <f>IF($B2086="","",VLOOKUP($B2086,Jogos!$A$2:$K$105,8,FALSE))</f>
        <v/>
      </c>
      <c r="D2086" s="5">
        <f>IF($B2086="","",VLOOKUP($B2086,Jogos!$A$2:$K$105,10,FALSE))</f>
        <v/>
      </c>
      <c r="E2086" s="5" t="inlineStr"/>
      <c r="F2086" s="5" t="inlineStr"/>
      <c r="G2086" s="8">
        <f>IF($B2086="","",VLOOKUP($B2086,Jogos!$A$2:$K$105,9,FALSE))</f>
        <v/>
      </c>
      <c r="H2086" s="8">
        <f>IF($B2086="","",VLOOKUP($B2086,Jogos!$A$2:$K$105,11,FALSE))</f>
        <v/>
      </c>
      <c r="I2086" s="5">
        <f>IF(OR($A2086="", $B2086="", $E2086="", $F2086="", $G2086="", $H2086=""), "",IF(AND($E2086=$G2086, $F2086=$H2086), 3, IF(SIGN($E2086-$F2086)=SIGN($G2086-$H2086), 1, 0))))</f>
        <v/>
      </c>
    </row>
    <row r="2087">
      <c r="A2087" s="5" t="inlineStr"/>
      <c r="B2087" s="5" t="inlineStr"/>
      <c r="C2087" s="5">
        <f>IF($B2087="","",VLOOKUP($B2087,Jogos!$A$2:$K$105,8,FALSE))</f>
        <v/>
      </c>
      <c r="D2087" s="5">
        <f>IF($B2087="","",VLOOKUP($B2087,Jogos!$A$2:$K$105,10,FALSE))</f>
        <v/>
      </c>
      <c r="E2087" s="5" t="inlineStr"/>
      <c r="F2087" s="5" t="inlineStr"/>
      <c r="G2087" s="8">
        <f>IF($B2087="","",VLOOKUP($B2087,Jogos!$A$2:$K$105,9,FALSE))</f>
        <v/>
      </c>
      <c r="H2087" s="8">
        <f>IF($B2087="","",VLOOKUP($B2087,Jogos!$A$2:$K$105,11,FALSE))</f>
        <v/>
      </c>
      <c r="I2087" s="5">
        <f>IF(OR($A2087="", $B2087="", $E2087="", $F2087="", $G2087="", $H2087=""), "",IF(AND($E2087=$G2087, $F2087=$H2087), 3, IF(SIGN($E2087-$F2087)=SIGN($G2087-$H2087), 1, 0))))</f>
        <v/>
      </c>
    </row>
    <row r="2088">
      <c r="A2088" s="5" t="inlineStr"/>
      <c r="B2088" s="5" t="inlineStr"/>
      <c r="C2088" s="5">
        <f>IF($B2088="","",VLOOKUP($B2088,Jogos!$A$2:$K$105,8,FALSE))</f>
        <v/>
      </c>
      <c r="D2088" s="5">
        <f>IF($B2088="","",VLOOKUP($B2088,Jogos!$A$2:$K$105,10,FALSE))</f>
        <v/>
      </c>
      <c r="E2088" s="5" t="inlineStr"/>
      <c r="F2088" s="5" t="inlineStr"/>
      <c r="G2088" s="8">
        <f>IF($B2088="","",VLOOKUP($B2088,Jogos!$A$2:$K$105,9,FALSE))</f>
        <v/>
      </c>
      <c r="H2088" s="8">
        <f>IF($B2088="","",VLOOKUP($B2088,Jogos!$A$2:$K$105,11,FALSE))</f>
        <v/>
      </c>
      <c r="I2088" s="5">
        <f>IF(OR($A2088="", $B2088="", $E2088="", $F2088="", $G2088="", $H2088=""), "",IF(AND($E2088=$G2088, $F2088=$H2088), 3, IF(SIGN($E2088-$F2088)=SIGN($G2088-$H2088), 1, 0))))</f>
        <v/>
      </c>
    </row>
    <row r="2089">
      <c r="A2089" s="5" t="inlineStr"/>
      <c r="B2089" s="5" t="inlineStr"/>
      <c r="C2089" s="5">
        <f>IF($B2089="","",VLOOKUP($B2089,Jogos!$A$2:$K$105,8,FALSE))</f>
        <v/>
      </c>
      <c r="D2089" s="5">
        <f>IF($B2089="","",VLOOKUP($B2089,Jogos!$A$2:$K$105,10,FALSE))</f>
        <v/>
      </c>
      <c r="E2089" s="5" t="inlineStr"/>
      <c r="F2089" s="5" t="inlineStr"/>
      <c r="G2089" s="8">
        <f>IF($B2089="","",VLOOKUP($B2089,Jogos!$A$2:$K$105,9,FALSE))</f>
        <v/>
      </c>
      <c r="H2089" s="8">
        <f>IF($B2089="","",VLOOKUP($B2089,Jogos!$A$2:$K$105,11,FALSE))</f>
        <v/>
      </c>
      <c r="I2089" s="5">
        <f>IF(OR($A2089="", $B2089="", $E2089="", $F2089="", $G2089="", $H2089=""), "",IF(AND($E2089=$G2089, $F2089=$H2089), 3, IF(SIGN($E2089-$F2089)=SIGN($G2089-$H2089), 1, 0))))</f>
        <v/>
      </c>
    </row>
    <row r="2090">
      <c r="A2090" s="5" t="inlineStr"/>
      <c r="B2090" s="5" t="inlineStr"/>
      <c r="C2090" s="5">
        <f>IF($B2090="","",VLOOKUP($B2090,Jogos!$A$2:$K$105,8,FALSE))</f>
        <v/>
      </c>
      <c r="D2090" s="5">
        <f>IF($B2090="","",VLOOKUP($B2090,Jogos!$A$2:$K$105,10,FALSE))</f>
        <v/>
      </c>
      <c r="E2090" s="5" t="inlineStr"/>
      <c r="F2090" s="5" t="inlineStr"/>
      <c r="G2090" s="8">
        <f>IF($B2090="","",VLOOKUP($B2090,Jogos!$A$2:$K$105,9,FALSE))</f>
        <v/>
      </c>
      <c r="H2090" s="8">
        <f>IF($B2090="","",VLOOKUP($B2090,Jogos!$A$2:$K$105,11,FALSE))</f>
        <v/>
      </c>
      <c r="I2090" s="5">
        <f>IF(OR($A2090="", $B2090="", $E2090="", $F2090="", $G2090="", $H2090=""), "",IF(AND($E2090=$G2090, $F2090=$H2090), 3, IF(SIGN($E2090-$F2090)=SIGN($G2090-$H2090), 1, 0))))</f>
        <v/>
      </c>
    </row>
    <row r="2091">
      <c r="A2091" s="5" t="inlineStr"/>
      <c r="B2091" s="5" t="inlineStr"/>
      <c r="C2091" s="5">
        <f>IF($B2091="","",VLOOKUP($B2091,Jogos!$A$2:$K$105,8,FALSE))</f>
        <v/>
      </c>
      <c r="D2091" s="5">
        <f>IF($B2091="","",VLOOKUP($B2091,Jogos!$A$2:$K$105,10,FALSE))</f>
        <v/>
      </c>
      <c r="E2091" s="5" t="inlineStr"/>
      <c r="F2091" s="5" t="inlineStr"/>
      <c r="G2091" s="8">
        <f>IF($B2091="","",VLOOKUP($B2091,Jogos!$A$2:$K$105,9,FALSE))</f>
        <v/>
      </c>
      <c r="H2091" s="8">
        <f>IF($B2091="","",VLOOKUP($B2091,Jogos!$A$2:$K$105,11,FALSE))</f>
        <v/>
      </c>
      <c r="I2091" s="5">
        <f>IF(OR($A2091="", $B2091="", $E2091="", $F2091="", $G2091="", $H2091=""), "",IF(AND($E2091=$G2091, $F2091=$H2091), 3, IF(SIGN($E2091-$F2091)=SIGN($G2091-$H2091), 1, 0))))</f>
        <v/>
      </c>
    </row>
    <row r="2092">
      <c r="A2092" s="5" t="inlineStr"/>
      <c r="B2092" s="5" t="inlineStr"/>
      <c r="C2092" s="5">
        <f>IF($B2092="","",VLOOKUP($B2092,Jogos!$A$2:$K$105,8,FALSE))</f>
        <v/>
      </c>
      <c r="D2092" s="5">
        <f>IF($B2092="","",VLOOKUP($B2092,Jogos!$A$2:$K$105,10,FALSE))</f>
        <v/>
      </c>
      <c r="E2092" s="5" t="inlineStr"/>
      <c r="F2092" s="5" t="inlineStr"/>
      <c r="G2092" s="8">
        <f>IF($B2092="","",VLOOKUP($B2092,Jogos!$A$2:$K$105,9,FALSE))</f>
        <v/>
      </c>
      <c r="H2092" s="8">
        <f>IF($B2092="","",VLOOKUP($B2092,Jogos!$A$2:$K$105,11,FALSE))</f>
        <v/>
      </c>
      <c r="I2092" s="5">
        <f>IF(OR($A2092="", $B2092="", $E2092="", $F2092="", $G2092="", $H2092=""), "",IF(AND($E2092=$G2092, $F2092=$H2092), 3, IF(SIGN($E2092-$F2092)=SIGN($G2092-$H2092), 1, 0))))</f>
        <v/>
      </c>
    </row>
    <row r="2093">
      <c r="A2093" s="5" t="inlineStr"/>
      <c r="B2093" s="5" t="inlineStr"/>
      <c r="C2093" s="5">
        <f>IF($B2093="","",VLOOKUP($B2093,Jogos!$A$2:$K$105,8,FALSE))</f>
        <v/>
      </c>
      <c r="D2093" s="5">
        <f>IF($B2093="","",VLOOKUP($B2093,Jogos!$A$2:$K$105,10,FALSE))</f>
        <v/>
      </c>
      <c r="E2093" s="5" t="inlineStr"/>
      <c r="F2093" s="5" t="inlineStr"/>
      <c r="G2093" s="8">
        <f>IF($B2093="","",VLOOKUP($B2093,Jogos!$A$2:$K$105,9,FALSE))</f>
        <v/>
      </c>
      <c r="H2093" s="8">
        <f>IF($B2093="","",VLOOKUP($B2093,Jogos!$A$2:$K$105,11,FALSE))</f>
        <v/>
      </c>
      <c r="I2093" s="5">
        <f>IF(OR($A2093="", $B2093="", $E2093="", $F2093="", $G2093="", $H2093=""), "",IF(AND($E2093=$G2093, $F2093=$H2093), 3, IF(SIGN($E2093-$F2093)=SIGN($G2093-$H2093), 1, 0))))</f>
        <v/>
      </c>
    </row>
    <row r="2094">
      <c r="A2094" s="5" t="inlineStr"/>
      <c r="B2094" s="5" t="inlineStr"/>
      <c r="C2094" s="5">
        <f>IF($B2094="","",VLOOKUP($B2094,Jogos!$A$2:$K$105,8,FALSE))</f>
        <v/>
      </c>
      <c r="D2094" s="5">
        <f>IF($B2094="","",VLOOKUP($B2094,Jogos!$A$2:$K$105,10,FALSE))</f>
        <v/>
      </c>
      <c r="E2094" s="5" t="inlineStr"/>
      <c r="F2094" s="5" t="inlineStr"/>
      <c r="G2094" s="8">
        <f>IF($B2094="","",VLOOKUP($B2094,Jogos!$A$2:$K$105,9,FALSE))</f>
        <v/>
      </c>
      <c r="H2094" s="8">
        <f>IF($B2094="","",VLOOKUP($B2094,Jogos!$A$2:$K$105,11,FALSE))</f>
        <v/>
      </c>
      <c r="I2094" s="5">
        <f>IF(OR($A2094="", $B2094="", $E2094="", $F2094="", $G2094="", $H2094=""), "",IF(AND($E2094=$G2094, $F2094=$H2094), 3, IF(SIGN($E2094-$F2094)=SIGN($G2094-$H2094), 1, 0))))</f>
        <v/>
      </c>
    </row>
    <row r="2095">
      <c r="A2095" s="5" t="inlineStr"/>
      <c r="B2095" s="5" t="inlineStr"/>
      <c r="C2095" s="5">
        <f>IF($B2095="","",VLOOKUP($B2095,Jogos!$A$2:$K$105,8,FALSE))</f>
        <v/>
      </c>
      <c r="D2095" s="5">
        <f>IF($B2095="","",VLOOKUP($B2095,Jogos!$A$2:$K$105,10,FALSE))</f>
        <v/>
      </c>
      <c r="E2095" s="5" t="inlineStr"/>
      <c r="F2095" s="5" t="inlineStr"/>
      <c r="G2095" s="8">
        <f>IF($B2095="","",VLOOKUP($B2095,Jogos!$A$2:$K$105,9,FALSE))</f>
        <v/>
      </c>
      <c r="H2095" s="8">
        <f>IF($B2095="","",VLOOKUP($B2095,Jogos!$A$2:$K$105,11,FALSE))</f>
        <v/>
      </c>
      <c r="I2095" s="5">
        <f>IF(OR($A2095="", $B2095="", $E2095="", $F2095="", $G2095="", $H2095=""), "",IF(AND($E2095=$G2095, $F2095=$H2095), 3, IF(SIGN($E2095-$F2095)=SIGN($G2095-$H2095), 1, 0))))</f>
        <v/>
      </c>
    </row>
    <row r="2096">
      <c r="A2096" s="5" t="inlineStr"/>
      <c r="B2096" s="5" t="inlineStr"/>
      <c r="C2096" s="5">
        <f>IF($B2096="","",VLOOKUP($B2096,Jogos!$A$2:$K$105,8,FALSE))</f>
        <v/>
      </c>
      <c r="D2096" s="5">
        <f>IF($B2096="","",VLOOKUP($B2096,Jogos!$A$2:$K$105,10,FALSE))</f>
        <v/>
      </c>
      <c r="E2096" s="5" t="inlineStr"/>
      <c r="F2096" s="5" t="inlineStr"/>
      <c r="G2096" s="8">
        <f>IF($B2096="","",VLOOKUP($B2096,Jogos!$A$2:$K$105,9,FALSE))</f>
        <v/>
      </c>
      <c r="H2096" s="8">
        <f>IF($B2096="","",VLOOKUP($B2096,Jogos!$A$2:$K$105,11,FALSE))</f>
        <v/>
      </c>
      <c r="I2096" s="5">
        <f>IF(OR($A2096="", $B2096="", $E2096="", $F2096="", $G2096="", $H2096=""), "",IF(AND($E2096=$G2096, $F2096=$H2096), 3, IF(SIGN($E2096-$F2096)=SIGN($G2096-$H2096), 1, 0))))</f>
        <v/>
      </c>
    </row>
    <row r="2097">
      <c r="A2097" s="5" t="inlineStr"/>
      <c r="B2097" s="5" t="inlineStr"/>
      <c r="C2097" s="5">
        <f>IF($B2097="","",VLOOKUP($B2097,Jogos!$A$2:$K$105,8,FALSE))</f>
        <v/>
      </c>
      <c r="D2097" s="5">
        <f>IF($B2097="","",VLOOKUP($B2097,Jogos!$A$2:$K$105,10,FALSE))</f>
        <v/>
      </c>
      <c r="E2097" s="5" t="inlineStr"/>
      <c r="F2097" s="5" t="inlineStr"/>
      <c r="G2097" s="8">
        <f>IF($B2097="","",VLOOKUP($B2097,Jogos!$A$2:$K$105,9,FALSE))</f>
        <v/>
      </c>
      <c r="H2097" s="8">
        <f>IF($B2097="","",VLOOKUP($B2097,Jogos!$A$2:$K$105,11,FALSE))</f>
        <v/>
      </c>
      <c r="I2097" s="5">
        <f>IF(OR($A2097="", $B2097="", $E2097="", $F2097="", $G2097="", $H2097=""), "",IF(AND($E2097=$G2097, $F2097=$H2097), 3, IF(SIGN($E2097-$F2097)=SIGN($G2097-$H2097), 1, 0))))</f>
        <v/>
      </c>
    </row>
    <row r="2098">
      <c r="A2098" s="5" t="inlineStr"/>
      <c r="B2098" s="5" t="inlineStr"/>
      <c r="C2098" s="5">
        <f>IF($B2098="","",VLOOKUP($B2098,Jogos!$A$2:$K$105,8,FALSE))</f>
        <v/>
      </c>
      <c r="D2098" s="5">
        <f>IF($B2098="","",VLOOKUP($B2098,Jogos!$A$2:$K$105,10,FALSE))</f>
        <v/>
      </c>
      <c r="E2098" s="5" t="inlineStr"/>
      <c r="F2098" s="5" t="inlineStr"/>
      <c r="G2098" s="8">
        <f>IF($B2098="","",VLOOKUP($B2098,Jogos!$A$2:$K$105,9,FALSE))</f>
        <v/>
      </c>
      <c r="H2098" s="8">
        <f>IF($B2098="","",VLOOKUP($B2098,Jogos!$A$2:$K$105,11,FALSE))</f>
        <v/>
      </c>
      <c r="I2098" s="5">
        <f>IF(OR($A2098="", $B2098="", $E2098="", $F2098="", $G2098="", $H2098=""), "",IF(AND($E2098=$G2098, $F2098=$H2098), 3, IF(SIGN($E2098-$F2098)=SIGN($G2098-$H2098), 1, 0))))</f>
        <v/>
      </c>
    </row>
    <row r="2099">
      <c r="A2099" s="5" t="inlineStr"/>
      <c r="B2099" s="5" t="inlineStr"/>
      <c r="C2099" s="5">
        <f>IF($B2099="","",VLOOKUP($B2099,Jogos!$A$2:$K$105,8,FALSE))</f>
        <v/>
      </c>
      <c r="D2099" s="5">
        <f>IF($B2099="","",VLOOKUP($B2099,Jogos!$A$2:$K$105,10,FALSE))</f>
        <v/>
      </c>
      <c r="E2099" s="5" t="inlineStr"/>
      <c r="F2099" s="5" t="inlineStr"/>
      <c r="G2099" s="8">
        <f>IF($B2099="","",VLOOKUP($B2099,Jogos!$A$2:$K$105,9,FALSE))</f>
        <v/>
      </c>
      <c r="H2099" s="8">
        <f>IF($B2099="","",VLOOKUP($B2099,Jogos!$A$2:$K$105,11,FALSE))</f>
        <v/>
      </c>
      <c r="I2099" s="5">
        <f>IF(OR($A2099="", $B2099="", $E2099="", $F2099="", $G2099="", $H2099=""), "",IF(AND($E2099=$G2099, $F2099=$H2099), 3, IF(SIGN($E2099-$F2099)=SIGN($G2099-$H2099), 1, 0))))</f>
        <v/>
      </c>
    </row>
    <row r="2100">
      <c r="A2100" s="5" t="inlineStr"/>
      <c r="B2100" s="5" t="inlineStr"/>
      <c r="C2100" s="5">
        <f>IF($B2100="","",VLOOKUP($B2100,Jogos!$A$2:$K$105,8,FALSE))</f>
        <v/>
      </c>
      <c r="D2100" s="5">
        <f>IF($B2100="","",VLOOKUP($B2100,Jogos!$A$2:$K$105,10,FALSE))</f>
        <v/>
      </c>
      <c r="E2100" s="5" t="inlineStr"/>
      <c r="F2100" s="5" t="inlineStr"/>
      <c r="G2100" s="8">
        <f>IF($B2100="","",VLOOKUP($B2100,Jogos!$A$2:$K$105,9,FALSE))</f>
        <v/>
      </c>
      <c r="H2100" s="8">
        <f>IF($B2100="","",VLOOKUP($B2100,Jogos!$A$2:$K$105,11,FALSE))</f>
        <v/>
      </c>
      <c r="I2100" s="5">
        <f>IF(OR($A2100="", $B2100="", $E2100="", $F2100="", $G2100="", $H2100=""), "",IF(AND($E2100=$G2100, $F2100=$H2100), 3, IF(SIGN($E2100-$F2100)=SIGN($G2100-$H2100), 1, 0))))</f>
        <v/>
      </c>
    </row>
    <row r="2101">
      <c r="A2101" s="5" t="inlineStr"/>
      <c r="B2101" s="5" t="inlineStr"/>
      <c r="C2101" s="5">
        <f>IF($B2101="","",VLOOKUP($B2101,Jogos!$A$2:$K$105,8,FALSE))</f>
        <v/>
      </c>
      <c r="D2101" s="5">
        <f>IF($B2101="","",VLOOKUP($B2101,Jogos!$A$2:$K$105,10,FALSE))</f>
        <v/>
      </c>
      <c r="E2101" s="5" t="inlineStr"/>
      <c r="F2101" s="5" t="inlineStr"/>
      <c r="G2101" s="8">
        <f>IF($B2101="","",VLOOKUP($B2101,Jogos!$A$2:$K$105,9,FALSE))</f>
        <v/>
      </c>
      <c r="H2101" s="8">
        <f>IF($B2101="","",VLOOKUP($B2101,Jogos!$A$2:$K$105,11,FALSE))</f>
        <v/>
      </c>
      <c r="I2101" s="5">
        <f>IF(OR($A2101="", $B2101="", $E2101="", $F2101="", $G2101="", $H2101=""), "",IF(AND($E2101=$G2101, $F2101=$H2101), 3, IF(SIGN($E2101-$F2101)=SIGN($G2101-$H2101), 1, 0))))</f>
        <v/>
      </c>
    </row>
    <row r="2102">
      <c r="A2102" s="5" t="inlineStr"/>
      <c r="B2102" s="5" t="inlineStr"/>
      <c r="C2102" s="5">
        <f>IF($B2102="","",VLOOKUP($B2102,Jogos!$A$2:$K$105,8,FALSE))</f>
        <v/>
      </c>
      <c r="D2102" s="5">
        <f>IF($B2102="","",VLOOKUP($B2102,Jogos!$A$2:$K$105,10,FALSE))</f>
        <v/>
      </c>
      <c r="E2102" s="5" t="inlineStr"/>
      <c r="F2102" s="5" t="inlineStr"/>
      <c r="G2102" s="8">
        <f>IF($B2102="","",VLOOKUP($B2102,Jogos!$A$2:$K$105,9,FALSE))</f>
        <v/>
      </c>
      <c r="H2102" s="8">
        <f>IF($B2102="","",VLOOKUP($B2102,Jogos!$A$2:$K$105,11,FALSE))</f>
        <v/>
      </c>
      <c r="I2102" s="5">
        <f>IF(OR($A2102="", $B2102="", $E2102="", $F2102="", $G2102="", $H2102=""), "",IF(AND($E2102=$G2102, $F2102=$H2102), 3, IF(SIGN($E2102-$F2102)=SIGN($G2102-$H2102), 1, 0))))</f>
        <v/>
      </c>
    </row>
    <row r="2103">
      <c r="A2103" s="5" t="inlineStr"/>
      <c r="B2103" s="5" t="inlineStr"/>
      <c r="C2103" s="5">
        <f>IF($B2103="","",VLOOKUP($B2103,Jogos!$A$2:$K$105,8,FALSE))</f>
        <v/>
      </c>
      <c r="D2103" s="5">
        <f>IF($B2103="","",VLOOKUP($B2103,Jogos!$A$2:$K$105,10,FALSE))</f>
        <v/>
      </c>
      <c r="E2103" s="5" t="inlineStr"/>
      <c r="F2103" s="5" t="inlineStr"/>
      <c r="G2103" s="8">
        <f>IF($B2103="","",VLOOKUP($B2103,Jogos!$A$2:$K$105,9,FALSE))</f>
        <v/>
      </c>
      <c r="H2103" s="8">
        <f>IF($B2103="","",VLOOKUP($B2103,Jogos!$A$2:$K$105,11,FALSE))</f>
        <v/>
      </c>
      <c r="I2103" s="5">
        <f>IF(OR($A2103="", $B2103="", $E2103="", $F2103="", $G2103="", $H2103=""), "",IF(AND($E2103=$G2103, $F2103=$H2103), 3, IF(SIGN($E2103-$F2103)=SIGN($G2103-$H2103), 1, 0))))</f>
        <v/>
      </c>
    </row>
    <row r="2104">
      <c r="A2104" s="5" t="inlineStr"/>
      <c r="B2104" s="5" t="inlineStr"/>
      <c r="C2104" s="5">
        <f>IF($B2104="","",VLOOKUP($B2104,Jogos!$A$2:$K$105,8,FALSE))</f>
        <v/>
      </c>
      <c r="D2104" s="5">
        <f>IF($B2104="","",VLOOKUP($B2104,Jogos!$A$2:$K$105,10,FALSE))</f>
        <v/>
      </c>
      <c r="E2104" s="5" t="inlineStr"/>
      <c r="F2104" s="5" t="inlineStr"/>
      <c r="G2104" s="8">
        <f>IF($B2104="","",VLOOKUP($B2104,Jogos!$A$2:$K$105,9,FALSE))</f>
        <v/>
      </c>
      <c r="H2104" s="8">
        <f>IF($B2104="","",VLOOKUP($B2104,Jogos!$A$2:$K$105,11,FALSE))</f>
        <v/>
      </c>
      <c r="I2104" s="5">
        <f>IF(OR($A2104="", $B2104="", $E2104="", $F2104="", $G2104="", $H2104=""), "",IF(AND($E2104=$G2104, $F2104=$H2104), 3, IF(SIGN($E2104-$F2104)=SIGN($G2104-$H2104), 1, 0))))</f>
        <v/>
      </c>
    </row>
    <row r="2105">
      <c r="A2105" s="5" t="inlineStr"/>
      <c r="B2105" s="5" t="inlineStr"/>
      <c r="C2105" s="5">
        <f>IF($B2105="","",VLOOKUP($B2105,Jogos!$A$2:$K$105,8,FALSE))</f>
        <v/>
      </c>
      <c r="D2105" s="5">
        <f>IF($B2105="","",VLOOKUP($B2105,Jogos!$A$2:$K$105,10,FALSE))</f>
        <v/>
      </c>
      <c r="E2105" s="5" t="inlineStr"/>
      <c r="F2105" s="5" t="inlineStr"/>
      <c r="G2105" s="8">
        <f>IF($B2105="","",VLOOKUP($B2105,Jogos!$A$2:$K$105,9,FALSE))</f>
        <v/>
      </c>
      <c r="H2105" s="8">
        <f>IF($B2105="","",VLOOKUP($B2105,Jogos!$A$2:$K$105,11,FALSE))</f>
        <v/>
      </c>
      <c r="I2105" s="5">
        <f>IF(OR($A2105="", $B2105="", $E2105="", $F2105="", $G2105="", $H2105=""), "",IF(AND($E2105=$G2105, $F2105=$H2105), 3, IF(SIGN($E2105-$F2105)=SIGN($G2105-$H2105), 1, 0))))</f>
        <v/>
      </c>
    </row>
    <row r="2106">
      <c r="A2106" s="5" t="inlineStr"/>
      <c r="B2106" s="5" t="inlineStr"/>
      <c r="C2106" s="5">
        <f>IF($B2106="","",VLOOKUP($B2106,Jogos!$A$2:$K$105,8,FALSE))</f>
        <v/>
      </c>
      <c r="D2106" s="5">
        <f>IF($B2106="","",VLOOKUP($B2106,Jogos!$A$2:$K$105,10,FALSE))</f>
        <v/>
      </c>
      <c r="E2106" s="5" t="inlineStr"/>
      <c r="F2106" s="5" t="inlineStr"/>
      <c r="G2106" s="8">
        <f>IF($B2106="","",VLOOKUP($B2106,Jogos!$A$2:$K$105,9,FALSE))</f>
        <v/>
      </c>
      <c r="H2106" s="8">
        <f>IF($B2106="","",VLOOKUP($B2106,Jogos!$A$2:$K$105,11,FALSE))</f>
        <v/>
      </c>
      <c r="I2106" s="5">
        <f>IF(OR($A2106="", $B2106="", $E2106="", $F2106="", $G2106="", $H2106=""), "",IF(AND($E2106=$G2106, $F2106=$H2106), 3, IF(SIGN($E2106-$F2106)=SIGN($G2106-$H2106), 1, 0))))</f>
        <v/>
      </c>
    </row>
    <row r="2107">
      <c r="A2107" s="5" t="inlineStr"/>
      <c r="B2107" s="5" t="inlineStr"/>
      <c r="C2107" s="5">
        <f>IF($B2107="","",VLOOKUP($B2107,Jogos!$A$2:$K$105,8,FALSE))</f>
        <v/>
      </c>
      <c r="D2107" s="5">
        <f>IF($B2107="","",VLOOKUP($B2107,Jogos!$A$2:$K$105,10,FALSE))</f>
        <v/>
      </c>
      <c r="E2107" s="5" t="inlineStr"/>
      <c r="F2107" s="5" t="inlineStr"/>
      <c r="G2107" s="8">
        <f>IF($B2107="","",VLOOKUP($B2107,Jogos!$A$2:$K$105,9,FALSE))</f>
        <v/>
      </c>
      <c r="H2107" s="8">
        <f>IF($B2107="","",VLOOKUP($B2107,Jogos!$A$2:$K$105,11,FALSE))</f>
        <v/>
      </c>
      <c r="I2107" s="5">
        <f>IF(OR($A2107="", $B2107="", $E2107="", $F2107="", $G2107="", $H2107=""), "",IF(AND($E2107=$G2107, $F2107=$H2107), 3, IF(SIGN($E2107-$F2107)=SIGN($G2107-$H2107), 1, 0))))</f>
        <v/>
      </c>
    </row>
    <row r="2108">
      <c r="A2108" s="5" t="inlineStr"/>
      <c r="B2108" s="5" t="inlineStr"/>
      <c r="C2108" s="5">
        <f>IF($B2108="","",VLOOKUP($B2108,Jogos!$A$2:$K$105,8,FALSE))</f>
        <v/>
      </c>
      <c r="D2108" s="5">
        <f>IF($B2108="","",VLOOKUP($B2108,Jogos!$A$2:$K$105,10,FALSE))</f>
        <v/>
      </c>
      <c r="E2108" s="5" t="inlineStr"/>
      <c r="F2108" s="5" t="inlineStr"/>
      <c r="G2108" s="8">
        <f>IF($B2108="","",VLOOKUP($B2108,Jogos!$A$2:$K$105,9,FALSE))</f>
        <v/>
      </c>
      <c r="H2108" s="8">
        <f>IF($B2108="","",VLOOKUP($B2108,Jogos!$A$2:$K$105,11,FALSE))</f>
        <v/>
      </c>
      <c r="I2108" s="5">
        <f>IF(OR($A2108="", $B2108="", $E2108="", $F2108="", $G2108="", $H2108=""), "",IF(AND($E2108=$G2108, $F2108=$H2108), 3, IF(SIGN($E2108-$F2108)=SIGN($G2108-$H2108), 1, 0))))</f>
        <v/>
      </c>
    </row>
    <row r="2109">
      <c r="A2109" s="5" t="inlineStr"/>
      <c r="B2109" s="5" t="inlineStr"/>
      <c r="C2109" s="5">
        <f>IF($B2109="","",VLOOKUP($B2109,Jogos!$A$2:$K$105,8,FALSE))</f>
        <v/>
      </c>
      <c r="D2109" s="5">
        <f>IF($B2109="","",VLOOKUP($B2109,Jogos!$A$2:$K$105,10,FALSE))</f>
        <v/>
      </c>
      <c r="E2109" s="5" t="inlineStr"/>
      <c r="F2109" s="5" t="inlineStr"/>
      <c r="G2109" s="8">
        <f>IF($B2109="","",VLOOKUP($B2109,Jogos!$A$2:$K$105,9,FALSE))</f>
        <v/>
      </c>
      <c r="H2109" s="8">
        <f>IF($B2109="","",VLOOKUP($B2109,Jogos!$A$2:$K$105,11,FALSE))</f>
        <v/>
      </c>
      <c r="I2109" s="5">
        <f>IF(OR($A2109="", $B2109="", $E2109="", $F2109="", $G2109="", $H2109=""), "",IF(AND($E2109=$G2109, $F2109=$H2109), 3, IF(SIGN($E2109-$F2109)=SIGN($G2109-$H2109), 1, 0))))</f>
        <v/>
      </c>
    </row>
    <row r="2110">
      <c r="A2110" s="5" t="inlineStr"/>
      <c r="B2110" s="5" t="inlineStr"/>
      <c r="C2110" s="5">
        <f>IF($B2110="","",VLOOKUP($B2110,Jogos!$A$2:$K$105,8,FALSE))</f>
        <v/>
      </c>
      <c r="D2110" s="5">
        <f>IF($B2110="","",VLOOKUP($B2110,Jogos!$A$2:$K$105,10,FALSE))</f>
        <v/>
      </c>
      <c r="E2110" s="5" t="inlineStr"/>
      <c r="F2110" s="5" t="inlineStr"/>
      <c r="G2110" s="8">
        <f>IF($B2110="","",VLOOKUP($B2110,Jogos!$A$2:$K$105,9,FALSE))</f>
        <v/>
      </c>
      <c r="H2110" s="8">
        <f>IF($B2110="","",VLOOKUP($B2110,Jogos!$A$2:$K$105,11,FALSE))</f>
        <v/>
      </c>
      <c r="I2110" s="5">
        <f>IF(OR($A2110="", $B2110="", $E2110="", $F2110="", $G2110="", $H2110=""), "",IF(AND($E2110=$G2110, $F2110=$H2110), 3, IF(SIGN($E2110-$F2110)=SIGN($G2110-$H2110), 1, 0))))</f>
        <v/>
      </c>
    </row>
    <row r="2111">
      <c r="A2111" s="5" t="inlineStr"/>
      <c r="B2111" s="5" t="inlineStr"/>
      <c r="C2111" s="5">
        <f>IF($B2111="","",VLOOKUP($B2111,Jogos!$A$2:$K$105,8,FALSE))</f>
        <v/>
      </c>
      <c r="D2111" s="5">
        <f>IF($B2111="","",VLOOKUP($B2111,Jogos!$A$2:$K$105,10,FALSE))</f>
        <v/>
      </c>
      <c r="E2111" s="5" t="inlineStr"/>
      <c r="F2111" s="5" t="inlineStr"/>
      <c r="G2111" s="8">
        <f>IF($B2111="","",VLOOKUP($B2111,Jogos!$A$2:$K$105,9,FALSE))</f>
        <v/>
      </c>
      <c r="H2111" s="8">
        <f>IF($B2111="","",VLOOKUP($B2111,Jogos!$A$2:$K$105,11,FALSE))</f>
        <v/>
      </c>
      <c r="I2111" s="5">
        <f>IF(OR($A2111="", $B2111="", $E2111="", $F2111="", $G2111="", $H2111=""), "",IF(AND($E2111=$G2111, $F2111=$H2111), 3, IF(SIGN($E2111-$F2111)=SIGN($G2111-$H2111), 1, 0))))</f>
        <v/>
      </c>
    </row>
    <row r="2112">
      <c r="A2112" s="5" t="inlineStr"/>
      <c r="B2112" s="5" t="inlineStr"/>
      <c r="C2112" s="5">
        <f>IF($B2112="","",VLOOKUP($B2112,Jogos!$A$2:$K$105,8,FALSE))</f>
        <v/>
      </c>
      <c r="D2112" s="5">
        <f>IF($B2112="","",VLOOKUP($B2112,Jogos!$A$2:$K$105,10,FALSE))</f>
        <v/>
      </c>
      <c r="E2112" s="5" t="inlineStr"/>
      <c r="F2112" s="5" t="inlineStr"/>
      <c r="G2112" s="8">
        <f>IF($B2112="","",VLOOKUP($B2112,Jogos!$A$2:$K$105,9,FALSE))</f>
        <v/>
      </c>
      <c r="H2112" s="8">
        <f>IF($B2112="","",VLOOKUP($B2112,Jogos!$A$2:$K$105,11,FALSE))</f>
        <v/>
      </c>
      <c r="I2112" s="5">
        <f>IF(OR($A2112="", $B2112="", $E2112="", $F2112="", $G2112="", $H2112=""), "",IF(AND($E2112=$G2112, $F2112=$H2112), 3, IF(SIGN($E2112-$F2112)=SIGN($G2112-$H2112), 1, 0))))</f>
        <v/>
      </c>
    </row>
    <row r="2113">
      <c r="A2113" s="5" t="inlineStr"/>
      <c r="B2113" s="5" t="inlineStr"/>
      <c r="C2113" s="5">
        <f>IF($B2113="","",VLOOKUP($B2113,Jogos!$A$2:$K$105,8,FALSE))</f>
        <v/>
      </c>
      <c r="D2113" s="5">
        <f>IF($B2113="","",VLOOKUP($B2113,Jogos!$A$2:$K$105,10,FALSE))</f>
        <v/>
      </c>
      <c r="E2113" s="5" t="inlineStr"/>
      <c r="F2113" s="5" t="inlineStr"/>
      <c r="G2113" s="8">
        <f>IF($B2113="","",VLOOKUP($B2113,Jogos!$A$2:$K$105,9,FALSE))</f>
        <v/>
      </c>
      <c r="H2113" s="8">
        <f>IF($B2113="","",VLOOKUP($B2113,Jogos!$A$2:$K$105,11,FALSE))</f>
        <v/>
      </c>
      <c r="I2113" s="5">
        <f>IF(OR($A2113="", $B2113="", $E2113="", $F2113="", $G2113="", $H2113=""), "",IF(AND($E2113=$G2113, $F2113=$H2113), 3, IF(SIGN($E2113-$F2113)=SIGN($G2113-$H2113), 1, 0))))</f>
        <v/>
      </c>
    </row>
    <row r="2114">
      <c r="A2114" s="5" t="inlineStr"/>
      <c r="B2114" s="5" t="inlineStr"/>
      <c r="C2114" s="5">
        <f>IF($B2114="","",VLOOKUP($B2114,Jogos!$A$2:$K$105,8,FALSE))</f>
        <v/>
      </c>
      <c r="D2114" s="5">
        <f>IF($B2114="","",VLOOKUP($B2114,Jogos!$A$2:$K$105,10,FALSE))</f>
        <v/>
      </c>
      <c r="E2114" s="5" t="inlineStr"/>
      <c r="F2114" s="5" t="inlineStr"/>
      <c r="G2114" s="8">
        <f>IF($B2114="","",VLOOKUP($B2114,Jogos!$A$2:$K$105,9,FALSE))</f>
        <v/>
      </c>
      <c r="H2114" s="8">
        <f>IF($B2114="","",VLOOKUP($B2114,Jogos!$A$2:$K$105,11,FALSE))</f>
        <v/>
      </c>
      <c r="I2114" s="5">
        <f>IF(OR($A2114="", $B2114="", $E2114="", $F2114="", $G2114="", $H2114=""), "",IF(AND($E2114=$G2114, $F2114=$H2114), 3, IF(SIGN($E2114-$F2114)=SIGN($G2114-$H2114), 1, 0))))</f>
        <v/>
      </c>
    </row>
    <row r="2115">
      <c r="A2115" s="5" t="inlineStr"/>
      <c r="B2115" s="5" t="inlineStr"/>
      <c r="C2115" s="5">
        <f>IF($B2115="","",VLOOKUP($B2115,Jogos!$A$2:$K$105,8,FALSE))</f>
        <v/>
      </c>
      <c r="D2115" s="5">
        <f>IF($B2115="","",VLOOKUP($B2115,Jogos!$A$2:$K$105,10,FALSE))</f>
        <v/>
      </c>
      <c r="E2115" s="5" t="inlineStr"/>
      <c r="F2115" s="5" t="inlineStr"/>
      <c r="G2115" s="8">
        <f>IF($B2115="","",VLOOKUP($B2115,Jogos!$A$2:$K$105,9,FALSE))</f>
        <v/>
      </c>
      <c r="H2115" s="8">
        <f>IF($B2115="","",VLOOKUP($B2115,Jogos!$A$2:$K$105,11,FALSE))</f>
        <v/>
      </c>
      <c r="I2115" s="5">
        <f>IF(OR($A2115="", $B2115="", $E2115="", $F2115="", $G2115="", $H2115=""), "",IF(AND($E2115=$G2115, $F2115=$H2115), 3, IF(SIGN($E2115-$F2115)=SIGN($G2115-$H2115), 1, 0))))</f>
        <v/>
      </c>
    </row>
    <row r="2116">
      <c r="A2116" s="5" t="inlineStr"/>
      <c r="B2116" s="5" t="inlineStr"/>
      <c r="C2116" s="5">
        <f>IF($B2116="","",VLOOKUP($B2116,Jogos!$A$2:$K$105,8,FALSE))</f>
        <v/>
      </c>
      <c r="D2116" s="5">
        <f>IF($B2116="","",VLOOKUP($B2116,Jogos!$A$2:$K$105,10,FALSE))</f>
        <v/>
      </c>
      <c r="E2116" s="5" t="inlineStr"/>
      <c r="F2116" s="5" t="inlineStr"/>
      <c r="G2116" s="8">
        <f>IF($B2116="","",VLOOKUP($B2116,Jogos!$A$2:$K$105,9,FALSE))</f>
        <v/>
      </c>
      <c r="H2116" s="8">
        <f>IF($B2116="","",VLOOKUP($B2116,Jogos!$A$2:$K$105,11,FALSE))</f>
        <v/>
      </c>
      <c r="I2116" s="5">
        <f>IF(OR($A2116="", $B2116="", $E2116="", $F2116="", $G2116="", $H2116=""), "",IF(AND($E2116=$G2116, $F2116=$H2116), 3, IF(SIGN($E2116-$F2116)=SIGN($G2116-$H2116), 1, 0))))</f>
        <v/>
      </c>
    </row>
    <row r="2117">
      <c r="A2117" s="5" t="inlineStr"/>
      <c r="B2117" s="5" t="inlineStr"/>
      <c r="C2117" s="5">
        <f>IF($B2117="","",VLOOKUP($B2117,Jogos!$A$2:$K$105,8,FALSE))</f>
        <v/>
      </c>
      <c r="D2117" s="5">
        <f>IF($B2117="","",VLOOKUP($B2117,Jogos!$A$2:$K$105,10,FALSE))</f>
        <v/>
      </c>
      <c r="E2117" s="5" t="inlineStr"/>
      <c r="F2117" s="5" t="inlineStr"/>
      <c r="G2117" s="8">
        <f>IF($B2117="","",VLOOKUP($B2117,Jogos!$A$2:$K$105,9,FALSE))</f>
        <v/>
      </c>
      <c r="H2117" s="8">
        <f>IF($B2117="","",VLOOKUP($B2117,Jogos!$A$2:$K$105,11,FALSE))</f>
        <v/>
      </c>
      <c r="I2117" s="5">
        <f>IF(OR($A2117="", $B2117="", $E2117="", $F2117="", $G2117="", $H2117=""), "",IF(AND($E2117=$G2117, $F2117=$H2117), 3, IF(SIGN($E2117-$F2117)=SIGN($G2117-$H2117), 1, 0))))</f>
        <v/>
      </c>
    </row>
    <row r="2118">
      <c r="A2118" s="5" t="inlineStr"/>
      <c r="B2118" s="5" t="inlineStr"/>
      <c r="C2118" s="5">
        <f>IF($B2118="","",VLOOKUP($B2118,Jogos!$A$2:$K$105,8,FALSE))</f>
        <v/>
      </c>
      <c r="D2118" s="5">
        <f>IF($B2118="","",VLOOKUP($B2118,Jogos!$A$2:$K$105,10,FALSE))</f>
        <v/>
      </c>
      <c r="E2118" s="5" t="inlineStr"/>
      <c r="F2118" s="5" t="inlineStr"/>
      <c r="G2118" s="8">
        <f>IF($B2118="","",VLOOKUP($B2118,Jogos!$A$2:$K$105,9,FALSE))</f>
        <v/>
      </c>
      <c r="H2118" s="8">
        <f>IF($B2118="","",VLOOKUP($B2118,Jogos!$A$2:$K$105,11,FALSE))</f>
        <v/>
      </c>
      <c r="I2118" s="5">
        <f>IF(OR($A2118="", $B2118="", $E2118="", $F2118="", $G2118="", $H2118=""), "",IF(AND($E2118=$G2118, $F2118=$H2118), 3, IF(SIGN($E2118-$F2118)=SIGN($G2118-$H2118), 1, 0))))</f>
        <v/>
      </c>
    </row>
    <row r="2119">
      <c r="A2119" s="5" t="inlineStr"/>
      <c r="B2119" s="5" t="inlineStr"/>
      <c r="C2119" s="5">
        <f>IF($B2119="","",VLOOKUP($B2119,Jogos!$A$2:$K$105,8,FALSE))</f>
        <v/>
      </c>
      <c r="D2119" s="5">
        <f>IF($B2119="","",VLOOKUP($B2119,Jogos!$A$2:$K$105,10,FALSE))</f>
        <v/>
      </c>
      <c r="E2119" s="5" t="inlineStr"/>
      <c r="F2119" s="5" t="inlineStr"/>
      <c r="G2119" s="8">
        <f>IF($B2119="","",VLOOKUP($B2119,Jogos!$A$2:$K$105,9,FALSE))</f>
        <v/>
      </c>
      <c r="H2119" s="8">
        <f>IF($B2119="","",VLOOKUP($B2119,Jogos!$A$2:$K$105,11,FALSE))</f>
        <v/>
      </c>
      <c r="I2119" s="5">
        <f>IF(OR($A2119="", $B2119="", $E2119="", $F2119="", $G2119="", $H2119=""), "",IF(AND($E2119=$G2119, $F2119=$H2119), 3, IF(SIGN($E2119-$F2119)=SIGN($G2119-$H2119), 1, 0))))</f>
        <v/>
      </c>
    </row>
    <row r="2120">
      <c r="A2120" s="5" t="inlineStr"/>
      <c r="B2120" s="5" t="inlineStr"/>
      <c r="C2120" s="5">
        <f>IF($B2120="","",VLOOKUP($B2120,Jogos!$A$2:$K$105,8,FALSE))</f>
        <v/>
      </c>
      <c r="D2120" s="5">
        <f>IF($B2120="","",VLOOKUP($B2120,Jogos!$A$2:$K$105,10,FALSE))</f>
        <v/>
      </c>
      <c r="E2120" s="5" t="inlineStr"/>
      <c r="F2120" s="5" t="inlineStr"/>
      <c r="G2120" s="8">
        <f>IF($B2120="","",VLOOKUP($B2120,Jogos!$A$2:$K$105,9,FALSE))</f>
        <v/>
      </c>
      <c r="H2120" s="8">
        <f>IF($B2120="","",VLOOKUP($B2120,Jogos!$A$2:$K$105,11,FALSE))</f>
        <v/>
      </c>
      <c r="I2120" s="5">
        <f>IF(OR($A2120="", $B2120="", $E2120="", $F2120="", $G2120="", $H2120=""), "",IF(AND($E2120=$G2120, $F2120=$H2120), 3, IF(SIGN($E2120-$F2120)=SIGN($G2120-$H2120), 1, 0))))</f>
        <v/>
      </c>
    </row>
    <row r="2121">
      <c r="A2121" s="5" t="inlineStr"/>
      <c r="B2121" s="5" t="inlineStr"/>
      <c r="C2121" s="5">
        <f>IF($B2121="","",VLOOKUP($B2121,Jogos!$A$2:$K$105,8,FALSE))</f>
        <v/>
      </c>
      <c r="D2121" s="5">
        <f>IF($B2121="","",VLOOKUP($B2121,Jogos!$A$2:$K$105,10,FALSE))</f>
        <v/>
      </c>
      <c r="E2121" s="5" t="inlineStr"/>
      <c r="F2121" s="5" t="inlineStr"/>
      <c r="G2121" s="8">
        <f>IF($B2121="","",VLOOKUP($B2121,Jogos!$A$2:$K$105,9,FALSE))</f>
        <v/>
      </c>
      <c r="H2121" s="8">
        <f>IF($B2121="","",VLOOKUP($B2121,Jogos!$A$2:$K$105,11,FALSE))</f>
        <v/>
      </c>
      <c r="I2121" s="5">
        <f>IF(OR($A2121="", $B2121="", $E2121="", $F2121="", $G2121="", $H2121=""), "",IF(AND($E2121=$G2121, $F2121=$H2121), 3, IF(SIGN($E2121-$F2121)=SIGN($G2121-$H2121), 1, 0))))</f>
        <v/>
      </c>
    </row>
    <row r="2122">
      <c r="A2122" s="5" t="inlineStr"/>
      <c r="B2122" s="5" t="inlineStr"/>
      <c r="C2122" s="5">
        <f>IF($B2122="","",VLOOKUP($B2122,Jogos!$A$2:$K$105,8,FALSE))</f>
        <v/>
      </c>
      <c r="D2122" s="5">
        <f>IF($B2122="","",VLOOKUP($B2122,Jogos!$A$2:$K$105,10,FALSE))</f>
        <v/>
      </c>
      <c r="E2122" s="5" t="inlineStr"/>
      <c r="F2122" s="5" t="inlineStr"/>
      <c r="G2122" s="8">
        <f>IF($B2122="","",VLOOKUP($B2122,Jogos!$A$2:$K$105,9,FALSE))</f>
        <v/>
      </c>
      <c r="H2122" s="8">
        <f>IF($B2122="","",VLOOKUP($B2122,Jogos!$A$2:$K$105,11,FALSE))</f>
        <v/>
      </c>
      <c r="I2122" s="5">
        <f>IF(OR($A2122="", $B2122="", $E2122="", $F2122="", $G2122="", $H2122=""), "",IF(AND($E2122=$G2122, $F2122=$H2122), 3, IF(SIGN($E2122-$F2122)=SIGN($G2122-$H2122), 1, 0))))</f>
        <v/>
      </c>
    </row>
    <row r="2123">
      <c r="A2123" s="5" t="inlineStr"/>
      <c r="B2123" s="5" t="inlineStr"/>
      <c r="C2123" s="5">
        <f>IF($B2123="","",VLOOKUP($B2123,Jogos!$A$2:$K$105,8,FALSE))</f>
        <v/>
      </c>
      <c r="D2123" s="5">
        <f>IF($B2123="","",VLOOKUP($B2123,Jogos!$A$2:$K$105,10,FALSE))</f>
        <v/>
      </c>
      <c r="E2123" s="5" t="inlineStr"/>
      <c r="F2123" s="5" t="inlineStr"/>
      <c r="G2123" s="8">
        <f>IF($B2123="","",VLOOKUP($B2123,Jogos!$A$2:$K$105,9,FALSE))</f>
        <v/>
      </c>
      <c r="H2123" s="8">
        <f>IF($B2123="","",VLOOKUP($B2123,Jogos!$A$2:$K$105,11,FALSE))</f>
        <v/>
      </c>
      <c r="I2123" s="5">
        <f>IF(OR($A2123="", $B2123="", $E2123="", $F2123="", $G2123="", $H2123=""), "",IF(AND($E2123=$G2123, $F2123=$H2123), 3, IF(SIGN($E2123-$F2123)=SIGN($G2123-$H2123), 1, 0))))</f>
        <v/>
      </c>
    </row>
    <row r="2124">
      <c r="A2124" s="5" t="inlineStr"/>
      <c r="B2124" s="5" t="inlineStr"/>
      <c r="C2124" s="5">
        <f>IF($B2124="","",VLOOKUP($B2124,Jogos!$A$2:$K$105,8,FALSE))</f>
        <v/>
      </c>
      <c r="D2124" s="5">
        <f>IF($B2124="","",VLOOKUP($B2124,Jogos!$A$2:$K$105,10,FALSE))</f>
        <v/>
      </c>
      <c r="E2124" s="5" t="inlineStr"/>
      <c r="F2124" s="5" t="inlineStr"/>
      <c r="G2124" s="8">
        <f>IF($B2124="","",VLOOKUP($B2124,Jogos!$A$2:$K$105,9,FALSE))</f>
        <v/>
      </c>
      <c r="H2124" s="8">
        <f>IF($B2124="","",VLOOKUP($B2124,Jogos!$A$2:$K$105,11,FALSE))</f>
        <v/>
      </c>
      <c r="I2124" s="5">
        <f>IF(OR($A2124="", $B2124="", $E2124="", $F2124="", $G2124="", $H2124=""), "",IF(AND($E2124=$G2124, $F2124=$H2124), 3, IF(SIGN($E2124-$F2124)=SIGN($G2124-$H2124), 1, 0))))</f>
        <v/>
      </c>
    </row>
    <row r="2125">
      <c r="A2125" s="5" t="inlineStr"/>
      <c r="B2125" s="5" t="inlineStr"/>
      <c r="C2125" s="5">
        <f>IF($B2125="","",VLOOKUP($B2125,Jogos!$A$2:$K$105,8,FALSE))</f>
        <v/>
      </c>
      <c r="D2125" s="5">
        <f>IF($B2125="","",VLOOKUP($B2125,Jogos!$A$2:$K$105,10,FALSE))</f>
        <v/>
      </c>
      <c r="E2125" s="5" t="inlineStr"/>
      <c r="F2125" s="5" t="inlineStr"/>
      <c r="G2125" s="8">
        <f>IF($B2125="","",VLOOKUP($B2125,Jogos!$A$2:$K$105,9,FALSE))</f>
        <v/>
      </c>
      <c r="H2125" s="8">
        <f>IF($B2125="","",VLOOKUP($B2125,Jogos!$A$2:$K$105,11,FALSE))</f>
        <v/>
      </c>
      <c r="I2125" s="5">
        <f>IF(OR($A2125="", $B2125="", $E2125="", $F2125="", $G2125="", $H2125=""), "",IF(AND($E2125=$G2125, $F2125=$H2125), 3, IF(SIGN($E2125-$F2125)=SIGN($G2125-$H2125), 1, 0))))</f>
        <v/>
      </c>
    </row>
    <row r="2126">
      <c r="A2126" s="5" t="inlineStr"/>
      <c r="B2126" s="5" t="inlineStr"/>
      <c r="C2126" s="5">
        <f>IF($B2126="","",VLOOKUP($B2126,Jogos!$A$2:$K$105,8,FALSE))</f>
        <v/>
      </c>
      <c r="D2126" s="5">
        <f>IF($B2126="","",VLOOKUP($B2126,Jogos!$A$2:$K$105,10,FALSE))</f>
        <v/>
      </c>
      <c r="E2126" s="5" t="inlineStr"/>
      <c r="F2126" s="5" t="inlineStr"/>
      <c r="G2126" s="8">
        <f>IF($B2126="","",VLOOKUP($B2126,Jogos!$A$2:$K$105,9,FALSE))</f>
        <v/>
      </c>
      <c r="H2126" s="8">
        <f>IF($B2126="","",VLOOKUP($B2126,Jogos!$A$2:$K$105,11,FALSE))</f>
        <v/>
      </c>
      <c r="I2126" s="5">
        <f>IF(OR($A2126="", $B2126="", $E2126="", $F2126="", $G2126="", $H2126=""), "",IF(AND($E2126=$G2126, $F2126=$H2126), 3, IF(SIGN($E2126-$F2126)=SIGN($G2126-$H2126), 1, 0))))</f>
        <v/>
      </c>
    </row>
    <row r="2127">
      <c r="A2127" s="5" t="inlineStr"/>
      <c r="B2127" s="5" t="inlineStr"/>
      <c r="C2127" s="5">
        <f>IF($B2127="","",VLOOKUP($B2127,Jogos!$A$2:$K$105,8,FALSE))</f>
        <v/>
      </c>
      <c r="D2127" s="5">
        <f>IF($B2127="","",VLOOKUP($B2127,Jogos!$A$2:$K$105,10,FALSE))</f>
        <v/>
      </c>
      <c r="E2127" s="5" t="inlineStr"/>
      <c r="F2127" s="5" t="inlineStr"/>
      <c r="G2127" s="8">
        <f>IF($B2127="","",VLOOKUP($B2127,Jogos!$A$2:$K$105,9,FALSE))</f>
        <v/>
      </c>
      <c r="H2127" s="8">
        <f>IF($B2127="","",VLOOKUP($B2127,Jogos!$A$2:$K$105,11,FALSE))</f>
        <v/>
      </c>
      <c r="I2127" s="5">
        <f>IF(OR($A2127="", $B2127="", $E2127="", $F2127="", $G2127="", $H2127=""), "",IF(AND($E2127=$G2127, $F2127=$H2127), 3, IF(SIGN($E2127-$F2127)=SIGN($G2127-$H2127), 1, 0))))</f>
        <v/>
      </c>
    </row>
    <row r="2128">
      <c r="A2128" s="5" t="inlineStr"/>
      <c r="B2128" s="5" t="inlineStr"/>
      <c r="C2128" s="5">
        <f>IF($B2128="","",VLOOKUP($B2128,Jogos!$A$2:$K$105,8,FALSE))</f>
        <v/>
      </c>
      <c r="D2128" s="5">
        <f>IF($B2128="","",VLOOKUP($B2128,Jogos!$A$2:$K$105,10,FALSE))</f>
        <v/>
      </c>
      <c r="E2128" s="5" t="inlineStr"/>
      <c r="F2128" s="5" t="inlineStr"/>
      <c r="G2128" s="8">
        <f>IF($B2128="","",VLOOKUP($B2128,Jogos!$A$2:$K$105,9,FALSE))</f>
        <v/>
      </c>
      <c r="H2128" s="8">
        <f>IF($B2128="","",VLOOKUP($B2128,Jogos!$A$2:$K$105,11,FALSE))</f>
        <v/>
      </c>
      <c r="I2128" s="5">
        <f>IF(OR($A2128="", $B2128="", $E2128="", $F2128="", $G2128="", $H2128=""), "",IF(AND($E2128=$G2128, $F2128=$H2128), 3, IF(SIGN($E2128-$F2128)=SIGN($G2128-$H2128), 1, 0))))</f>
        <v/>
      </c>
    </row>
    <row r="2129">
      <c r="A2129" s="5" t="inlineStr"/>
      <c r="B2129" s="5" t="inlineStr"/>
      <c r="C2129" s="5">
        <f>IF($B2129="","",VLOOKUP($B2129,Jogos!$A$2:$K$105,8,FALSE))</f>
        <v/>
      </c>
      <c r="D2129" s="5">
        <f>IF($B2129="","",VLOOKUP($B2129,Jogos!$A$2:$K$105,10,FALSE))</f>
        <v/>
      </c>
      <c r="E2129" s="5" t="inlineStr"/>
      <c r="F2129" s="5" t="inlineStr"/>
      <c r="G2129" s="8">
        <f>IF($B2129="","",VLOOKUP($B2129,Jogos!$A$2:$K$105,9,FALSE))</f>
        <v/>
      </c>
      <c r="H2129" s="8">
        <f>IF($B2129="","",VLOOKUP($B2129,Jogos!$A$2:$K$105,11,FALSE))</f>
        <v/>
      </c>
      <c r="I2129" s="5">
        <f>IF(OR($A2129="", $B2129="", $E2129="", $F2129="", $G2129="", $H2129=""), "",IF(AND($E2129=$G2129, $F2129=$H2129), 3, IF(SIGN($E2129-$F2129)=SIGN($G2129-$H2129), 1, 0))))</f>
        <v/>
      </c>
    </row>
    <row r="2130">
      <c r="A2130" s="5" t="inlineStr"/>
      <c r="B2130" s="5" t="inlineStr"/>
      <c r="C2130" s="5">
        <f>IF($B2130="","",VLOOKUP($B2130,Jogos!$A$2:$K$105,8,FALSE))</f>
        <v/>
      </c>
      <c r="D2130" s="5">
        <f>IF($B2130="","",VLOOKUP($B2130,Jogos!$A$2:$K$105,10,FALSE))</f>
        <v/>
      </c>
      <c r="E2130" s="5" t="inlineStr"/>
      <c r="F2130" s="5" t="inlineStr"/>
      <c r="G2130" s="8">
        <f>IF($B2130="","",VLOOKUP($B2130,Jogos!$A$2:$K$105,9,FALSE))</f>
        <v/>
      </c>
      <c r="H2130" s="8">
        <f>IF($B2130="","",VLOOKUP($B2130,Jogos!$A$2:$K$105,11,FALSE))</f>
        <v/>
      </c>
      <c r="I2130" s="5">
        <f>IF(OR($A2130="", $B2130="", $E2130="", $F2130="", $G2130="", $H2130=""), "",IF(AND($E2130=$G2130, $F2130=$H2130), 3, IF(SIGN($E2130-$F2130)=SIGN($G2130-$H2130), 1, 0))))</f>
        <v/>
      </c>
    </row>
    <row r="2131">
      <c r="A2131" s="5" t="inlineStr"/>
      <c r="B2131" s="5" t="inlineStr"/>
      <c r="C2131" s="5">
        <f>IF($B2131="","",VLOOKUP($B2131,Jogos!$A$2:$K$105,8,FALSE))</f>
        <v/>
      </c>
      <c r="D2131" s="5">
        <f>IF($B2131="","",VLOOKUP($B2131,Jogos!$A$2:$K$105,10,FALSE))</f>
        <v/>
      </c>
      <c r="E2131" s="5" t="inlineStr"/>
      <c r="F2131" s="5" t="inlineStr"/>
      <c r="G2131" s="8">
        <f>IF($B2131="","",VLOOKUP($B2131,Jogos!$A$2:$K$105,9,FALSE))</f>
        <v/>
      </c>
      <c r="H2131" s="8">
        <f>IF($B2131="","",VLOOKUP($B2131,Jogos!$A$2:$K$105,11,FALSE))</f>
        <v/>
      </c>
      <c r="I2131" s="5">
        <f>IF(OR($A2131="", $B2131="", $E2131="", $F2131="", $G2131="", $H2131=""), "",IF(AND($E2131=$G2131, $F2131=$H2131), 3, IF(SIGN($E2131-$F2131)=SIGN($G2131-$H2131), 1, 0))))</f>
        <v/>
      </c>
    </row>
    <row r="2132">
      <c r="A2132" s="5" t="inlineStr"/>
      <c r="B2132" s="5" t="inlineStr"/>
      <c r="C2132" s="5">
        <f>IF($B2132="","",VLOOKUP($B2132,Jogos!$A$2:$K$105,8,FALSE))</f>
        <v/>
      </c>
      <c r="D2132" s="5">
        <f>IF($B2132="","",VLOOKUP($B2132,Jogos!$A$2:$K$105,10,FALSE))</f>
        <v/>
      </c>
      <c r="E2132" s="5" t="inlineStr"/>
      <c r="F2132" s="5" t="inlineStr"/>
      <c r="G2132" s="8">
        <f>IF($B2132="","",VLOOKUP($B2132,Jogos!$A$2:$K$105,9,FALSE))</f>
        <v/>
      </c>
      <c r="H2132" s="8">
        <f>IF($B2132="","",VLOOKUP($B2132,Jogos!$A$2:$K$105,11,FALSE))</f>
        <v/>
      </c>
      <c r="I2132" s="5">
        <f>IF(OR($A2132="", $B2132="", $E2132="", $F2132="", $G2132="", $H2132=""), "",IF(AND($E2132=$G2132, $F2132=$H2132), 3, IF(SIGN($E2132-$F2132)=SIGN($G2132-$H2132), 1, 0))))</f>
        <v/>
      </c>
    </row>
    <row r="2133">
      <c r="A2133" s="5" t="inlineStr"/>
      <c r="B2133" s="5" t="inlineStr"/>
      <c r="C2133" s="5">
        <f>IF($B2133="","",VLOOKUP($B2133,Jogos!$A$2:$K$105,8,FALSE))</f>
        <v/>
      </c>
      <c r="D2133" s="5">
        <f>IF($B2133="","",VLOOKUP($B2133,Jogos!$A$2:$K$105,10,FALSE))</f>
        <v/>
      </c>
      <c r="E2133" s="5" t="inlineStr"/>
      <c r="F2133" s="5" t="inlineStr"/>
      <c r="G2133" s="8">
        <f>IF($B2133="","",VLOOKUP($B2133,Jogos!$A$2:$K$105,9,FALSE))</f>
        <v/>
      </c>
      <c r="H2133" s="8">
        <f>IF($B2133="","",VLOOKUP($B2133,Jogos!$A$2:$K$105,11,FALSE))</f>
        <v/>
      </c>
      <c r="I2133" s="5">
        <f>IF(OR($A2133="", $B2133="", $E2133="", $F2133="", $G2133="", $H2133=""), "",IF(AND($E2133=$G2133, $F2133=$H2133), 3, IF(SIGN($E2133-$F2133)=SIGN($G2133-$H2133), 1, 0))))</f>
        <v/>
      </c>
    </row>
    <row r="2134">
      <c r="A2134" s="5" t="inlineStr"/>
      <c r="B2134" s="5" t="inlineStr"/>
      <c r="C2134" s="5">
        <f>IF($B2134="","",VLOOKUP($B2134,Jogos!$A$2:$K$105,8,FALSE))</f>
        <v/>
      </c>
      <c r="D2134" s="5">
        <f>IF($B2134="","",VLOOKUP($B2134,Jogos!$A$2:$K$105,10,FALSE))</f>
        <v/>
      </c>
      <c r="E2134" s="5" t="inlineStr"/>
      <c r="F2134" s="5" t="inlineStr"/>
      <c r="G2134" s="8">
        <f>IF($B2134="","",VLOOKUP($B2134,Jogos!$A$2:$K$105,9,FALSE))</f>
        <v/>
      </c>
      <c r="H2134" s="8">
        <f>IF($B2134="","",VLOOKUP($B2134,Jogos!$A$2:$K$105,11,FALSE))</f>
        <v/>
      </c>
      <c r="I2134" s="5">
        <f>IF(OR($A2134="", $B2134="", $E2134="", $F2134="", $G2134="", $H2134=""), "",IF(AND($E2134=$G2134, $F2134=$H2134), 3, IF(SIGN($E2134-$F2134)=SIGN($G2134-$H2134), 1, 0))))</f>
        <v/>
      </c>
    </row>
    <row r="2135">
      <c r="A2135" s="5" t="inlineStr"/>
      <c r="B2135" s="5" t="inlineStr"/>
      <c r="C2135" s="5">
        <f>IF($B2135="","",VLOOKUP($B2135,Jogos!$A$2:$K$105,8,FALSE))</f>
        <v/>
      </c>
      <c r="D2135" s="5">
        <f>IF($B2135="","",VLOOKUP($B2135,Jogos!$A$2:$K$105,10,FALSE))</f>
        <v/>
      </c>
      <c r="E2135" s="5" t="inlineStr"/>
      <c r="F2135" s="5" t="inlineStr"/>
      <c r="G2135" s="8">
        <f>IF($B2135="","",VLOOKUP($B2135,Jogos!$A$2:$K$105,9,FALSE))</f>
        <v/>
      </c>
      <c r="H2135" s="8">
        <f>IF($B2135="","",VLOOKUP($B2135,Jogos!$A$2:$K$105,11,FALSE))</f>
        <v/>
      </c>
      <c r="I2135" s="5">
        <f>IF(OR($A2135="", $B2135="", $E2135="", $F2135="", $G2135="", $H2135=""), "",IF(AND($E2135=$G2135, $F2135=$H2135), 3, IF(SIGN($E2135-$F2135)=SIGN($G2135-$H2135), 1, 0))))</f>
        <v/>
      </c>
    </row>
    <row r="2136">
      <c r="A2136" s="5" t="inlineStr"/>
      <c r="B2136" s="5" t="inlineStr"/>
      <c r="C2136" s="5">
        <f>IF($B2136="","",VLOOKUP($B2136,Jogos!$A$2:$K$105,8,FALSE))</f>
        <v/>
      </c>
      <c r="D2136" s="5">
        <f>IF($B2136="","",VLOOKUP($B2136,Jogos!$A$2:$K$105,10,FALSE))</f>
        <v/>
      </c>
      <c r="E2136" s="5" t="inlineStr"/>
      <c r="F2136" s="5" t="inlineStr"/>
      <c r="G2136" s="8">
        <f>IF($B2136="","",VLOOKUP($B2136,Jogos!$A$2:$K$105,9,FALSE))</f>
        <v/>
      </c>
      <c r="H2136" s="8">
        <f>IF($B2136="","",VLOOKUP($B2136,Jogos!$A$2:$K$105,11,FALSE))</f>
        <v/>
      </c>
      <c r="I2136" s="5">
        <f>IF(OR($A2136="", $B2136="", $E2136="", $F2136="", $G2136="", $H2136=""), "",IF(AND($E2136=$G2136, $F2136=$H2136), 3, IF(SIGN($E2136-$F2136)=SIGN($G2136-$H2136), 1, 0))))</f>
        <v/>
      </c>
    </row>
    <row r="2137">
      <c r="A2137" s="5" t="inlineStr"/>
      <c r="B2137" s="5" t="inlineStr"/>
      <c r="C2137" s="5">
        <f>IF($B2137="","",VLOOKUP($B2137,Jogos!$A$2:$K$105,8,FALSE))</f>
        <v/>
      </c>
      <c r="D2137" s="5">
        <f>IF($B2137="","",VLOOKUP($B2137,Jogos!$A$2:$K$105,10,FALSE))</f>
        <v/>
      </c>
      <c r="E2137" s="5" t="inlineStr"/>
      <c r="F2137" s="5" t="inlineStr"/>
      <c r="G2137" s="8">
        <f>IF($B2137="","",VLOOKUP($B2137,Jogos!$A$2:$K$105,9,FALSE))</f>
        <v/>
      </c>
      <c r="H2137" s="8">
        <f>IF($B2137="","",VLOOKUP($B2137,Jogos!$A$2:$K$105,11,FALSE))</f>
        <v/>
      </c>
      <c r="I2137" s="5">
        <f>IF(OR($A2137="", $B2137="", $E2137="", $F2137="", $G2137="", $H2137=""), "",IF(AND($E2137=$G2137, $F2137=$H2137), 3, IF(SIGN($E2137-$F2137)=SIGN($G2137-$H2137), 1, 0))))</f>
        <v/>
      </c>
    </row>
    <row r="2138">
      <c r="A2138" s="5" t="inlineStr"/>
      <c r="B2138" s="5" t="inlineStr"/>
      <c r="C2138" s="5">
        <f>IF($B2138="","",VLOOKUP($B2138,Jogos!$A$2:$K$105,8,FALSE))</f>
        <v/>
      </c>
      <c r="D2138" s="5">
        <f>IF($B2138="","",VLOOKUP($B2138,Jogos!$A$2:$K$105,10,FALSE))</f>
        <v/>
      </c>
      <c r="E2138" s="5" t="inlineStr"/>
      <c r="F2138" s="5" t="inlineStr"/>
      <c r="G2138" s="8">
        <f>IF($B2138="","",VLOOKUP($B2138,Jogos!$A$2:$K$105,9,FALSE))</f>
        <v/>
      </c>
      <c r="H2138" s="8">
        <f>IF($B2138="","",VLOOKUP($B2138,Jogos!$A$2:$K$105,11,FALSE))</f>
        <v/>
      </c>
      <c r="I2138" s="5">
        <f>IF(OR($A2138="", $B2138="", $E2138="", $F2138="", $G2138="", $H2138=""), "",IF(AND($E2138=$G2138, $F2138=$H2138), 3, IF(SIGN($E2138-$F2138)=SIGN($G2138-$H2138), 1, 0))))</f>
        <v/>
      </c>
    </row>
    <row r="2139">
      <c r="A2139" s="5" t="inlineStr"/>
      <c r="B2139" s="5" t="inlineStr"/>
      <c r="C2139" s="5">
        <f>IF($B2139="","",VLOOKUP($B2139,Jogos!$A$2:$K$105,8,FALSE))</f>
        <v/>
      </c>
      <c r="D2139" s="5">
        <f>IF($B2139="","",VLOOKUP($B2139,Jogos!$A$2:$K$105,10,FALSE))</f>
        <v/>
      </c>
      <c r="E2139" s="5" t="inlineStr"/>
      <c r="F2139" s="5" t="inlineStr"/>
      <c r="G2139" s="8">
        <f>IF($B2139="","",VLOOKUP($B2139,Jogos!$A$2:$K$105,9,FALSE))</f>
        <v/>
      </c>
      <c r="H2139" s="8">
        <f>IF($B2139="","",VLOOKUP($B2139,Jogos!$A$2:$K$105,11,FALSE))</f>
        <v/>
      </c>
      <c r="I2139" s="5">
        <f>IF(OR($A2139="", $B2139="", $E2139="", $F2139="", $G2139="", $H2139=""), "",IF(AND($E2139=$G2139, $F2139=$H2139), 3, IF(SIGN($E2139-$F2139)=SIGN($G2139-$H2139), 1, 0))))</f>
        <v/>
      </c>
    </row>
    <row r="2140">
      <c r="A2140" s="5" t="inlineStr"/>
      <c r="B2140" s="5" t="inlineStr"/>
      <c r="C2140" s="5">
        <f>IF($B2140="","",VLOOKUP($B2140,Jogos!$A$2:$K$105,8,FALSE))</f>
        <v/>
      </c>
      <c r="D2140" s="5">
        <f>IF($B2140="","",VLOOKUP($B2140,Jogos!$A$2:$K$105,10,FALSE))</f>
        <v/>
      </c>
      <c r="E2140" s="5" t="inlineStr"/>
      <c r="F2140" s="5" t="inlineStr"/>
      <c r="G2140" s="8">
        <f>IF($B2140="","",VLOOKUP($B2140,Jogos!$A$2:$K$105,9,FALSE))</f>
        <v/>
      </c>
      <c r="H2140" s="8">
        <f>IF($B2140="","",VLOOKUP($B2140,Jogos!$A$2:$K$105,11,FALSE))</f>
        <v/>
      </c>
      <c r="I2140" s="5">
        <f>IF(OR($A2140="", $B2140="", $E2140="", $F2140="", $G2140="", $H2140=""), "",IF(AND($E2140=$G2140, $F2140=$H2140), 3, IF(SIGN($E2140-$F2140)=SIGN($G2140-$H2140), 1, 0))))</f>
        <v/>
      </c>
    </row>
    <row r="2141">
      <c r="A2141" s="5" t="inlineStr"/>
      <c r="B2141" s="5" t="inlineStr"/>
      <c r="C2141" s="5">
        <f>IF($B2141="","",VLOOKUP($B2141,Jogos!$A$2:$K$105,8,FALSE))</f>
        <v/>
      </c>
      <c r="D2141" s="5">
        <f>IF($B2141="","",VLOOKUP($B2141,Jogos!$A$2:$K$105,10,FALSE))</f>
        <v/>
      </c>
      <c r="E2141" s="5" t="inlineStr"/>
      <c r="F2141" s="5" t="inlineStr"/>
      <c r="G2141" s="8">
        <f>IF($B2141="","",VLOOKUP($B2141,Jogos!$A$2:$K$105,9,FALSE))</f>
        <v/>
      </c>
      <c r="H2141" s="8">
        <f>IF($B2141="","",VLOOKUP($B2141,Jogos!$A$2:$K$105,11,FALSE))</f>
        <v/>
      </c>
      <c r="I2141" s="5">
        <f>IF(OR($A2141="", $B2141="", $E2141="", $F2141="", $G2141="", $H2141=""), "",IF(AND($E2141=$G2141, $F2141=$H2141), 3, IF(SIGN($E2141-$F2141)=SIGN($G2141-$H2141), 1, 0))))</f>
        <v/>
      </c>
    </row>
    <row r="2142">
      <c r="A2142" s="5" t="inlineStr"/>
      <c r="B2142" s="5" t="inlineStr"/>
      <c r="C2142" s="5">
        <f>IF($B2142="","",VLOOKUP($B2142,Jogos!$A$2:$K$105,8,FALSE))</f>
        <v/>
      </c>
      <c r="D2142" s="5">
        <f>IF($B2142="","",VLOOKUP($B2142,Jogos!$A$2:$K$105,10,FALSE))</f>
        <v/>
      </c>
      <c r="E2142" s="5" t="inlineStr"/>
      <c r="F2142" s="5" t="inlineStr"/>
      <c r="G2142" s="8">
        <f>IF($B2142="","",VLOOKUP($B2142,Jogos!$A$2:$K$105,9,FALSE))</f>
        <v/>
      </c>
      <c r="H2142" s="8">
        <f>IF($B2142="","",VLOOKUP($B2142,Jogos!$A$2:$K$105,11,FALSE))</f>
        <v/>
      </c>
      <c r="I2142" s="5">
        <f>IF(OR($A2142="", $B2142="", $E2142="", $F2142="", $G2142="", $H2142=""), "",IF(AND($E2142=$G2142, $F2142=$H2142), 3, IF(SIGN($E2142-$F2142)=SIGN($G2142-$H2142), 1, 0))))</f>
        <v/>
      </c>
    </row>
    <row r="2143">
      <c r="A2143" s="5" t="inlineStr"/>
      <c r="B2143" s="5" t="inlineStr"/>
      <c r="C2143" s="5">
        <f>IF($B2143="","",VLOOKUP($B2143,Jogos!$A$2:$K$105,8,FALSE))</f>
        <v/>
      </c>
      <c r="D2143" s="5">
        <f>IF($B2143="","",VLOOKUP($B2143,Jogos!$A$2:$K$105,10,FALSE))</f>
        <v/>
      </c>
      <c r="E2143" s="5" t="inlineStr"/>
      <c r="F2143" s="5" t="inlineStr"/>
      <c r="G2143" s="8">
        <f>IF($B2143="","",VLOOKUP($B2143,Jogos!$A$2:$K$105,9,FALSE))</f>
        <v/>
      </c>
      <c r="H2143" s="8">
        <f>IF($B2143="","",VLOOKUP($B2143,Jogos!$A$2:$K$105,11,FALSE))</f>
        <v/>
      </c>
      <c r="I2143" s="5">
        <f>IF(OR($A2143="", $B2143="", $E2143="", $F2143="", $G2143="", $H2143=""), "",IF(AND($E2143=$G2143, $F2143=$H2143), 3, IF(SIGN($E2143-$F2143)=SIGN($G2143-$H2143), 1, 0))))</f>
        <v/>
      </c>
    </row>
    <row r="2144">
      <c r="A2144" s="5" t="inlineStr"/>
      <c r="B2144" s="5" t="inlineStr"/>
      <c r="C2144" s="5">
        <f>IF($B2144="","",VLOOKUP($B2144,Jogos!$A$2:$K$105,8,FALSE))</f>
        <v/>
      </c>
      <c r="D2144" s="5">
        <f>IF($B2144="","",VLOOKUP($B2144,Jogos!$A$2:$K$105,10,FALSE))</f>
        <v/>
      </c>
      <c r="E2144" s="5" t="inlineStr"/>
      <c r="F2144" s="5" t="inlineStr"/>
      <c r="G2144" s="8">
        <f>IF($B2144="","",VLOOKUP($B2144,Jogos!$A$2:$K$105,9,FALSE))</f>
        <v/>
      </c>
      <c r="H2144" s="8">
        <f>IF($B2144="","",VLOOKUP($B2144,Jogos!$A$2:$K$105,11,FALSE))</f>
        <v/>
      </c>
      <c r="I2144" s="5">
        <f>IF(OR($A2144="", $B2144="", $E2144="", $F2144="", $G2144="", $H2144=""), "",IF(AND($E2144=$G2144, $F2144=$H2144), 3, IF(SIGN($E2144-$F2144)=SIGN($G2144-$H2144), 1, 0))))</f>
        <v/>
      </c>
    </row>
    <row r="2145">
      <c r="A2145" s="5" t="inlineStr"/>
      <c r="B2145" s="5" t="inlineStr"/>
      <c r="C2145" s="5">
        <f>IF($B2145="","",VLOOKUP($B2145,Jogos!$A$2:$K$105,8,FALSE))</f>
        <v/>
      </c>
      <c r="D2145" s="5">
        <f>IF($B2145="","",VLOOKUP($B2145,Jogos!$A$2:$K$105,10,FALSE))</f>
        <v/>
      </c>
      <c r="E2145" s="5" t="inlineStr"/>
      <c r="F2145" s="5" t="inlineStr"/>
      <c r="G2145" s="8">
        <f>IF($B2145="","",VLOOKUP($B2145,Jogos!$A$2:$K$105,9,FALSE))</f>
        <v/>
      </c>
      <c r="H2145" s="8">
        <f>IF($B2145="","",VLOOKUP($B2145,Jogos!$A$2:$K$105,11,FALSE))</f>
        <v/>
      </c>
      <c r="I2145" s="5">
        <f>IF(OR($A2145="", $B2145="", $E2145="", $F2145="", $G2145="", $H2145=""), "",IF(AND($E2145=$G2145, $F2145=$H2145), 3, IF(SIGN($E2145-$F2145)=SIGN($G2145-$H2145), 1, 0))))</f>
        <v/>
      </c>
    </row>
    <row r="2146">
      <c r="A2146" s="5" t="inlineStr"/>
      <c r="B2146" s="5" t="inlineStr"/>
      <c r="C2146" s="5">
        <f>IF($B2146="","",VLOOKUP($B2146,Jogos!$A$2:$K$105,8,FALSE))</f>
        <v/>
      </c>
      <c r="D2146" s="5">
        <f>IF($B2146="","",VLOOKUP($B2146,Jogos!$A$2:$K$105,10,FALSE))</f>
        <v/>
      </c>
      <c r="E2146" s="5" t="inlineStr"/>
      <c r="F2146" s="5" t="inlineStr"/>
      <c r="G2146" s="8">
        <f>IF($B2146="","",VLOOKUP($B2146,Jogos!$A$2:$K$105,9,FALSE))</f>
        <v/>
      </c>
      <c r="H2146" s="8">
        <f>IF($B2146="","",VLOOKUP($B2146,Jogos!$A$2:$K$105,11,FALSE))</f>
        <v/>
      </c>
      <c r="I2146" s="5">
        <f>IF(OR($A2146="", $B2146="", $E2146="", $F2146="", $G2146="", $H2146=""), "",IF(AND($E2146=$G2146, $F2146=$H2146), 3, IF(SIGN($E2146-$F2146)=SIGN($G2146-$H2146), 1, 0))))</f>
        <v/>
      </c>
    </row>
    <row r="2147">
      <c r="A2147" s="5" t="inlineStr"/>
      <c r="B2147" s="5" t="inlineStr"/>
      <c r="C2147" s="5">
        <f>IF($B2147="","",VLOOKUP($B2147,Jogos!$A$2:$K$105,8,FALSE))</f>
        <v/>
      </c>
      <c r="D2147" s="5">
        <f>IF($B2147="","",VLOOKUP($B2147,Jogos!$A$2:$K$105,10,FALSE))</f>
        <v/>
      </c>
      <c r="E2147" s="5" t="inlineStr"/>
      <c r="F2147" s="5" t="inlineStr"/>
      <c r="G2147" s="8">
        <f>IF($B2147="","",VLOOKUP($B2147,Jogos!$A$2:$K$105,9,FALSE))</f>
        <v/>
      </c>
      <c r="H2147" s="8">
        <f>IF($B2147="","",VLOOKUP($B2147,Jogos!$A$2:$K$105,11,FALSE))</f>
        <v/>
      </c>
      <c r="I2147" s="5">
        <f>IF(OR($A2147="", $B2147="", $E2147="", $F2147="", $G2147="", $H2147=""), "",IF(AND($E2147=$G2147, $F2147=$H2147), 3, IF(SIGN($E2147-$F2147)=SIGN($G2147-$H2147), 1, 0))))</f>
        <v/>
      </c>
    </row>
    <row r="2148">
      <c r="A2148" s="5" t="inlineStr"/>
      <c r="B2148" s="5" t="inlineStr"/>
      <c r="C2148" s="5">
        <f>IF($B2148="","",VLOOKUP($B2148,Jogos!$A$2:$K$105,8,FALSE))</f>
        <v/>
      </c>
      <c r="D2148" s="5">
        <f>IF($B2148="","",VLOOKUP($B2148,Jogos!$A$2:$K$105,10,FALSE))</f>
        <v/>
      </c>
      <c r="E2148" s="5" t="inlineStr"/>
      <c r="F2148" s="5" t="inlineStr"/>
      <c r="G2148" s="8">
        <f>IF($B2148="","",VLOOKUP($B2148,Jogos!$A$2:$K$105,9,FALSE))</f>
        <v/>
      </c>
      <c r="H2148" s="8">
        <f>IF($B2148="","",VLOOKUP($B2148,Jogos!$A$2:$K$105,11,FALSE))</f>
        <v/>
      </c>
      <c r="I2148" s="5">
        <f>IF(OR($A2148="", $B2148="", $E2148="", $F2148="", $G2148="", $H2148=""), "",IF(AND($E2148=$G2148, $F2148=$H2148), 3, IF(SIGN($E2148-$F2148)=SIGN($G2148-$H2148), 1, 0))))</f>
        <v/>
      </c>
    </row>
    <row r="2149">
      <c r="A2149" s="5" t="inlineStr"/>
      <c r="B2149" s="5" t="inlineStr"/>
      <c r="C2149" s="5">
        <f>IF($B2149="","",VLOOKUP($B2149,Jogos!$A$2:$K$105,8,FALSE))</f>
        <v/>
      </c>
      <c r="D2149" s="5">
        <f>IF($B2149="","",VLOOKUP($B2149,Jogos!$A$2:$K$105,10,FALSE))</f>
        <v/>
      </c>
      <c r="E2149" s="5" t="inlineStr"/>
      <c r="F2149" s="5" t="inlineStr"/>
      <c r="G2149" s="8">
        <f>IF($B2149="","",VLOOKUP($B2149,Jogos!$A$2:$K$105,9,FALSE))</f>
        <v/>
      </c>
      <c r="H2149" s="8">
        <f>IF($B2149="","",VLOOKUP($B2149,Jogos!$A$2:$K$105,11,FALSE))</f>
        <v/>
      </c>
      <c r="I2149" s="5">
        <f>IF(OR($A2149="", $B2149="", $E2149="", $F2149="", $G2149="", $H2149=""), "",IF(AND($E2149=$G2149, $F2149=$H2149), 3, IF(SIGN($E2149-$F2149)=SIGN($G2149-$H2149), 1, 0))))</f>
        <v/>
      </c>
    </row>
    <row r="2150">
      <c r="A2150" s="5" t="inlineStr"/>
      <c r="B2150" s="5" t="inlineStr"/>
      <c r="C2150" s="5">
        <f>IF($B2150="","",VLOOKUP($B2150,Jogos!$A$2:$K$105,8,FALSE))</f>
        <v/>
      </c>
      <c r="D2150" s="5">
        <f>IF($B2150="","",VLOOKUP($B2150,Jogos!$A$2:$K$105,10,FALSE))</f>
        <v/>
      </c>
      <c r="E2150" s="5" t="inlineStr"/>
      <c r="F2150" s="5" t="inlineStr"/>
      <c r="G2150" s="8">
        <f>IF($B2150="","",VLOOKUP($B2150,Jogos!$A$2:$K$105,9,FALSE))</f>
        <v/>
      </c>
      <c r="H2150" s="8">
        <f>IF($B2150="","",VLOOKUP($B2150,Jogos!$A$2:$K$105,11,FALSE))</f>
        <v/>
      </c>
      <c r="I2150" s="5">
        <f>IF(OR($A2150="", $B2150="", $E2150="", $F2150="", $G2150="", $H2150=""), "",IF(AND($E2150=$G2150, $F2150=$H2150), 3, IF(SIGN($E2150-$F2150)=SIGN($G2150-$H2150), 1, 0))))</f>
        <v/>
      </c>
    </row>
    <row r="2151">
      <c r="A2151" s="5" t="inlineStr"/>
      <c r="B2151" s="5" t="inlineStr"/>
      <c r="C2151" s="5">
        <f>IF($B2151="","",VLOOKUP($B2151,Jogos!$A$2:$K$105,8,FALSE))</f>
        <v/>
      </c>
      <c r="D2151" s="5">
        <f>IF($B2151="","",VLOOKUP($B2151,Jogos!$A$2:$K$105,10,FALSE))</f>
        <v/>
      </c>
      <c r="E2151" s="5" t="inlineStr"/>
      <c r="F2151" s="5" t="inlineStr"/>
      <c r="G2151" s="8">
        <f>IF($B2151="","",VLOOKUP($B2151,Jogos!$A$2:$K$105,9,FALSE))</f>
        <v/>
      </c>
      <c r="H2151" s="8">
        <f>IF($B2151="","",VLOOKUP($B2151,Jogos!$A$2:$K$105,11,FALSE))</f>
        <v/>
      </c>
      <c r="I2151" s="5">
        <f>IF(OR($A2151="", $B2151="", $E2151="", $F2151="", $G2151="", $H2151=""), "",IF(AND($E2151=$G2151, $F2151=$H2151), 3, IF(SIGN($E2151-$F2151)=SIGN($G2151-$H2151), 1, 0))))</f>
        <v/>
      </c>
    </row>
    <row r="2152">
      <c r="A2152" s="5" t="inlineStr"/>
      <c r="B2152" s="5" t="inlineStr"/>
      <c r="C2152" s="5">
        <f>IF($B2152="","",VLOOKUP($B2152,Jogos!$A$2:$K$105,8,FALSE))</f>
        <v/>
      </c>
      <c r="D2152" s="5">
        <f>IF($B2152="","",VLOOKUP($B2152,Jogos!$A$2:$K$105,10,FALSE))</f>
        <v/>
      </c>
      <c r="E2152" s="5" t="inlineStr"/>
      <c r="F2152" s="5" t="inlineStr"/>
      <c r="G2152" s="8">
        <f>IF($B2152="","",VLOOKUP($B2152,Jogos!$A$2:$K$105,9,FALSE))</f>
        <v/>
      </c>
      <c r="H2152" s="8">
        <f>IF($B2152="","",VLOOKUP($B2152,Jogos!$A$2:$K$105,11,FALSE))</f>
        <v/>
      </c>
      <c r="I2152" s="5">
        <f>IF(OR($A2152="", $B2152="", $E2152="", $F2152="", $G2152="", $H2152=""), "",IF(AND($E2152=$G2152, $F2152=$H2152), 3, IF(SIGN($E2152-$F2152)=SIGN($G2152-$H2152), 1, 0))))</f>
        <v/>
      </c>
    </row>
    <row r="2153">
      <c r="A2153" s="5" t="inlineStr"/>
      <c r="B2153" s="5" t="inlineStr"/>
      <c r="C2153" s="5">
        <f>IF($B2153="","",VLOOKUP($B2153,Jogos!$A$2:$K$105,8,FALSE))</f>
        <v/>
      </c>
      <c r="D2153" s="5">
        <f>IF($B2153="","",VLOOKUP($B2153,Jogos!$A$2:$K$105,10,FALSE))</f>
        <v/>
      </c>
      <c r="E2153" s="5" t="inlineStr"/>
      <c r="F2153" s="5" t="inlineStr"/>
      <c r="G2153" s="8">
        <f>IF($B2153="","",VLOOKUP($B2153,Jogos!$A$2:$K$105,9,FALSE))</f>
        <v/>
      </c>
      <c r="H2153" s="8">
        <f>IF($B2153="","",VLOOKUP($B2153,Jogos!$A$2:$K$105,11,FALSE))</f>
        <v/>
      </c>
      <c r="I2153" s="5">
        <f>IF(OR($A2153="", $B2153="", $E2153="", $F2153="", $G2153="", $H2153=""), "",IF(AND($E2153=$G2153, $F2153=$H2153), 3, IF(SIGN($E2153-$F2153)=SIGN($G2153-$H2153), 1, 0))))</f>
        <v/>
      </c>
    </row>
    <row r="2154">
      <c r="A2154" s="5" t="inlineStr"/>
      <c r="B2154" s="5" t="inlineStr"/>
      <c r="C2154" s="5">
        <f>IF($B2154="","",VLOOKUP($B2154,Jogos!$A$2:$K$105,8,FALSE))</f>
        <v/>
      </c>
      <c r="D2154" s="5">
        <f>IF($B2154="","",VLOOKUP($B2154,Jogos!$A$2:$K$105,10,FALSE))</f>
        <v/>
      </c>
      <c r="E2154" s="5" t="inlineStr"/>
      <c r="F2154" s="5" t="inlineStr"/>
      <c r="G2154" s="8">
        <f>IF($B2154="","",VLOOKUP($B2154,Jogos!$A$2:$K$105,9,FALSE))</f>
        <v/>
      </c>
      <c r="H2154" s="8">
        <f>IF($B2154="","",VLOOKUP($B2154,Jogos!$A$2:$K$105,11,FALSE))</f>
        <v/>
      </c>
      <c r="I2154" s="5">
        <f>IF(OR($A2154="", $B2154="", $E2154="", $F2154="", $G2154="", $H2154=""), "",IF(AND($E2154=$G2154, $F2154=$H2154), 3, IF(SIGN($E2154-$F2154)=SIGN($G2154-$H2154), 1, 0))))</f>
        <v/>
      </c>
    </row>
    <row r="2155">
      <c r="A2155" s="5" t="inlineStr"/>
      <c r="B2155" s="5" t="inlineStr"/>
      <c r="C2155" s="5">
        <f>IF($B2155="","",VLOOKUP($B2155,Jogos!$A$2:$K$105,8,FALSE))</f>
        <v/>
      </c>
      <c r="D2155" s="5">
        <f>IF($B2155="","",VLOOKUP($B2155,Jogos!$A$2:$K$105,10,FALSE))</f>
        <v/>
      </c>
      <c r="E2155" s="5" t="inlineStr"/>
      <c r="F2155" s="5" t="inlineStr"/>
      <c r="G2155" s="8">
        <f>IF($B2155="","",VLOOKUP($B2155,Jogos!$A$2:$K$105,9,FALSE))</f>
        <v/>
      </c>
      <c r="H2155" s="8">
        <f>IF($B2155="","",VLOOKUP($B2155,Jogos!$A$2:$K$105,11,FALSE))</f>
        <v/>
      </c>
      <c r="I2155" s="5">
        <f>IF(OR($A2155="", $B2155="", $E2155="", $F2155="", $G2155="", $H2155=""), "",IF(AND($E2155=$G2155, $F2155=$H2155), 3, IF(SIGN($E2155-$F2155)=SIGN($G2155-$H2155), 1, 0))))</f>
        <v/>
      </c>
    </row>
    <row r="2156">
      <c r="A2156" s="5" t="inlineStr"/>
      <c r="B2156" s="5" t="inlineStr"/>
      <c r="C2156" s="5">
        <f>IF($B2156="","",VLOOKUP($B2156,Jogos!$A$2:$K$105,8,FALSE))</f>
        <v/>
      </c>
      <c r="D2156" s="5">
        <f>IF($B2156="","",VLOOKUP($B2156,Jogos!$A$2:$K$105,10,FALSE))</f>
        <v/>
      </c>
      <c r="E2156" s="5" t="inlineStr"/>
      <c r="F2156" s="5" t="inlineStr"/>
      <c r="G2156" s="8">
        <f>IF($B2156="","",VLOOKUP($B2156,Jogos!$A$2:$K$105,9,FALSE))</f>
        <v/>
      </c>
      <c r="H2156" s="8">
        <f>IF($B2156="","",VLOOKUP($B2156,Jogos!$A$2:$K$105,11,FALSE))</f>
        <v/>
      </c>
      <c r="I2156" s="5">
        <f>IF(OR($A2156="", $B2156="", $E2156="", $F2156="", $G2156="", $H2156=""), "",IF(AND($E2156=$G2156, $F2156=$H2156), 3, IF(SIGN($E2156-$F2156)=SIGN($G2156-$H2156), 1, 0))))</f>
        <v/>
      </c>
    </row>
    <row r="2157">
      <c r="A2157" s="5" t="inlineStr"/>
      <c r="B2157" s="5" t="inlineStr"/>
      <c r="C2157" s="5">
        <f>IF($B2157="","",VLOOKUP($B2157,Jogos!$A$2:$K$105,8,FALSE))</f>
        <v/>
      </c>
      <c r="D2157" s="5">
        <f>IF($B2157="","",VLOOKUP($B2157,Jogos!$A$2:$K$105,10,FALSE))</f>
        <v/>
      </c>
      <c r="E2157" s="5" t="inlineStr"/>
      <c r="F2157" s="5" t="inlineStr"/>
      <c r="G2157" s="8">
        <f>IF($B2157="","",VLOOKUP($B2157,Jogos!$A$2:$K$105,9,FALSE))</f>
        <v/>
      </c>
      <c r="H2157" s="8">
        <f>IF($B2157="","",VLOOKUP($B2157,Jogos!$A$2:$K$105,11,FALSE))</f>
        <v/>
      </c>
      <c r="I2157" s="5">
        <f>IF(OR($A2157="", $B2157="", $E2157="", $F2157="", $G2157="", $H2157=""), "",IF(AND($E2157=$G2157, $F2157=$H2157), 3, IF(SIGN($E2157-$F2157)=SIGN($G2157-$H2157), 1, 0))))</f>
        <v/>
      </c>
    </row>
    <row r="2158">
      <c r="A2158" s="5" t="inlineStr"/>
      <c r="B2158" s="5" t="inlineStr"/>
      <c r="C2158" s="5">
        <f>IF($B2158="","",VLOOKUP($B2158,Jogos!$A$2:$K$105,8,FALSE))</f>
        <v/>
      </c>
      <c r="D2158" s="5">
        <f>IF($B2158="","",VLOOKUP($B2158,Jogos!$A$2:$K$105,10,FALSE))</f>
        <v/>
      </c>
      <c r="E2158" s="5" t="inlineStr"/>
      <c r="F2158" s="5" t="inlineStr"/>
      <c r="G2158" s="8">
        <f>IF($B2158="","",VLOOKUP($B2158,Jogos!$A$2:$K$105,9,FALSE))</f>
        <v/>
      </c>
      <c r="H2158" s="8">
        <f>IF($B2158="","",VLOOKUP($B2158,Jogos!$A$2:$K$105,11,FALSE))</f>
        <v/>
      </c>
      <c r="I2158" s="5">
        <f>IF(OR($A2158="", $B2158="", $E2158="", $F2158="", $G2158="", $H2158=""), "",IF(AND($E2158=$G2158, $F2158=$H2158), 3, IF(SIGN($E2158-$F2158)=SIGN($G2158-$H2158), 1, 0))))</f>
        <v/>
      </c>
    </row>
    <row r="2159">
      <c r="A2159" s="5" t="inlineStr"/>
      <c r="B2159" s="5" t="inlineStr"/>
      <c r="C2159" s="5">
        <f>IF($B2159="","",VLOOKUP($B2159,Jogos!$A$2:$K$105,8,FALSE))</f>
        <v/>
      </c>
      <c r="D2159" s="5">
        <f>IF($B2159="","",VLOOKUP($B2159,Jogos!$A$2:$K$105,10,FALSE))</f>
        <v/>
      </c>
      <c r="E2159" s="5" t="inlineStr"/>
      <c r="F2159" s="5" t="inlineStr"/>
      <c r="G2159" s="8">
        <f>IF($B2159="","",VLOOKUP($B2159,Jogos!$A$2:$K$105,9,FALSE))</f>
        <v/>
      </c>
      <c r="H2159" s="8">
        <f>IF($B2159="","",VLOOKUP($B2159,Jogos!$A$2:$K$105,11,FALSE))</f>
        <v/>
      </c>
      <c r="I2159" s="5">
        <f>IF(OR($A2159="", $B2159="", $E2159="", $F2159="", $G2159="", $H2159=""), "",IF(AND($E2159=$G2159, $F2159=$H2159), 3, IF(SIGN($E2159-$F2159)=SIGN($G2159-$H2159), 1, 0))))</f>
        <v/>
      </c>
    </row>
    <row r="2160">
      <c r="A2160" s="5" t="inlineStr"/>
      <c r="B2160" s="5" t="inlineStr"/>
      <c r="C2160" s="5">
        <f>IF($B2160="","",VLOOKUP($B2160,Jogos!$A$2:$K$105,8,FALSE))</f>
        <v/>
      </c>
      <c r="D2160" s="5">
        <f>IF($B2160="","",VLOOKUP($B2160,Jogos!$A$2:$K$105,10,FALSE))</f>
        <v/>
      </c>
      <c r="E2160" s="5" t="inlineStr"/>
      <c r="F2160" s="5" t="inlineStr"/>
      <c r="G2160" s="8">
        <f>IF($B2160="","",VLOOKUP($B2160,Jogos!$A$2:$K$105,9,FALSE))</f>
        <v/>
      </c>
      <c r="H2160" s="8">
        <f>IF($B2160="","",VLOOKUP($B2160,Jogos!$A$2:$K$105,11,FALSE))</f>
        <v/>
      </c>
      <c r="I2160" s="5">
        <f>IF(OR($A2160="", $B2160="", $E2160="", $F2160="", $G2160="", $H2160=""), "",IF(AND($E2160=$G2160, $F2160=$H2160), 3, IF(SIGN($E2160-$F2160)=SIGN($G2160-$H2160), 1, 0))))</f>
        <v/>
      </c>
    </row>
    <row r="2161">
      <c r="A2161" s="5" t="inlineStr"/>
      <c r="B2161" s="5" t="inlineStr"/>
      <c r="C2161" s="5">
        <f>IF($B2161="","",VLOOKUP($B2161,Jogos!$A$2:$K$105,8,FALSE))</f>
        <v/>
      </c>
      <c r="D2161" s="5">
        <f>IF($B2161="","",VLOOKUP($B2161,Jogos!$A$2:$K$105,10,FALSE))</f>
        <v/>
      </c>
      <c r="E2161" s="5" t="inlineStr"/>
      <c r="F2161" s="5" t="inlineStr"/>
      <c r="G2161" s="8">
        <f>IF($B2161="","",VLOOKUP($B2161,Jogos!$A$2:$K$105,9,FALSE))</f>
        <v/>
      </c>
      <c r="H2161" s="8">
        <f>IF($B2161="","",VLOOKUP($B2161,Jogos!$A$2:$K$105,11,FALSE))</f>
        <v/>
      </c>
      <c r="I2161" s="5">
        <f>IF(OR($A2161="", $B2161="", $E2161="", $F2161="", $G2161="", $H2161=""), "",IF(AND($E2161=$G2161, $F2161=$H2161), 3, IF(SIGN($E2161-$F2161)=SIGN($G2161-$H2161), 1, 0))))</f>
        <v/>
      </c>
    </row>
    <row r="2162">
      <c r="A2162" s="5" t="inlineStr"/>
      <c r="B2162" s="5" t="inlineStr"/>
      <c r="C2162" s="5">
        <f>IF($B2162="","",VLOOKUP($B2162,Jogos!$A$2:$K$105,8,FALSE))</f>
        <v/>
      </c>
      <c r="D2162" s="5">
        <f>IF($B2162="","",VLOOKUP($B2162,Jogos!$A$2:$K$105,10,FALSE))</f>
        <v/>
      </c>
      <c r="E2162" s="5" t="inlineStr"/>
      <c r="F2162" s="5" t="inlineStr"/>
      <c r="G2162" s="8">
        <f>IF($B2162="","",VLOOKUP($B2162,Jogos!$A$2:$K$105,9,FALSE))</f>
        <v/>
      </c>
      <c r="H2162" s="8">
        <f>IF($B2162="","",VLOOKUP($B2162,Jogos!$A$2:$K$105,11,FALSE))</f>
        <v/>
      </c>
      <c r="I2162" s="5">
        <f>IF(OR($A2162="", $B2162="", $E2162="", $F2162="", $G2162="", $H2162=""), "",IF(AND($E2162=$G2162, $F2162=$H2162), 3, IF(SIGN($E2162-$F2162)=SIGN($G2162-$H2162), 1, 0))))</f>
        <v/>
      </c>
    </row>
    <row r="2163">
      <c r="A2163" s="5" t="inlineStr"/>
      <c r="B2163" s="5" t="inlineStr"/>
      <c r="C2163" s="5">
        <f>IF($B2163="","",VLOOKUP($B2163,Jogos!$A$2:$K$105,8,FALSE))</f>
        <v/>
      </c>
      <c r="D2163" s="5">
        <f>IF($B2163="","",VLOOKUP($B2163,Jogos!$A$2:$K$105,10,FALSE))</f>
        <v/>
      </c>
      <c r="E2163" s="5" t="inlineStr"/>
      <c r="F2163" s="5" t="inlineStr"/>
      <c r="G2163" s="8">
        <f>IF($B2163="","",VLOOKUP($B2163,Jogos!$A$2:$K$105,9,FALSE))</f>
        <v/>
      </c>
      <c r="H2163" s="8">
        <f>IF($B2163="","",VLOOKUP($B2163,Jogos!$A$2:$K$105,11,FALSE))</f>
        <v/>
      </c>
      <c r="I2163" s="5">
        <f>IF(OR($A2163="", $B2163="", $E2163="", $F2163="", $G2163="", $H2163=""), "",IF(AND($E2163=$G2163, $F2163=$H2163), 3, IF(SIGN($E2163-$F2163)=SIGN($G2163-$H2163), 1, 0))))</f>
        <v/>
      </c>
    </row>
    <row r="2164">
      <c r="A2164" s="5" t="inlineStr"/>
      <c r="B2164" s="5" t="inlineStr"/>
      <c r="C2164" s="5">
        <f>IF($B2164="","",VLOOKUP($B2164,Jogos!$A$2:$K$105,8,FALSE))</f>
        <v/>
      </c>
      <c r="D2164" s="5">
        <f>IF($B2164="","",VLOOKUP($B2164,Jogos!$A$2:$K$105,10,FALSE))</f>
        <v/>
      </c>
      <c r="E2164" s="5" t="inlineStr"/>
      <c r="F2164" s="5" t="inlineStr"/>
      <c r="G2164" s="8">
        <f>IF($B2164="","",VLOOKUP($B2164,Jogos!$A$2:$K$105,9,FALSE))</f>
        <v/>
      </c>
      <c r="H2164" s="8">
        <f>IF($B2164="","",VLOOKUP($B2164,Jogos!$A$2:$K$105,11,FALSE))</f>
        <v/>
      </c>
      <c r="I2164" s="5">
        <f>IF(OR($A2164="", $B2164="", $E2164="", $F2164="", $G2164="", $H2164=""), "",IF(AND($E2164=$G2164, $F2164=$H2164), 3, IF(SIGN($E2164-$F2164)=SIGN($G2164-$H2164), 1, 0))))</f>
        <v/>
      </c>
    </row>
    <row r="2165">
      <c r="A2165" s="5" t="inlineStr"/>
      <c r="B2165" s="5" t="inlineStr"/>
      <c r="C2165" s="5">
        <f>IF($B2165="","",VLOOKUP($B2165,Jogos!$A$2:$K$105,8,FALSE))</f>
        <v/>
      </c>
      <c r="D2165" s="5">
        <f>IF($B2165="","",VLOOKUP($B2165,Jogos!$A$2:$K$105,10,FALSE))</f>
        <v/>
      </c>
      <c r="E2165" s="5" t="inlineStr"/>
      <c r="F2165" s="5" t="inlineStr"/>
      <c r="G2165" s="8">
        <f>IF($B2165="","",VLOOKUP($B2165,Jogos!$A$2:$K$105,9,FALSE))</f>
        <v/>
      </c>
      <c r="H2165" s="8">
        <f>IF($B2165="","",VLOOKUP($B2165,Jogos!$A$2:$K$105,11,FALSE))</f>
        <v/>
      </c>
      <c r="I2165" s="5">
        <f>IF(OR($A2165="", $B2165="", $E2165="", $F2165="", $G2165="", $H2165=""), "",IF(AND($E2165=$G2165, $F2165=$H2165), 3, IF(SIGN($E2165-$F2165)=SIGN($G2165-$H2165), 1, 0))))</f>
        <v/>
      </c>
    </row>
    <row r="2166">
      <c r="A2166" s="5" t="inlineStr"/>
      <c r="B2166" s="5" t="inlineStr"/>
      <c r="C2166" s="5">
        <f>IF($B2166="","",VLOOKUP($B2166,Jogos!$A$2:$K$105,8,FALSE))</f>
        <v/>
      </c>
      <c r="D2166" s="5">
        <f>IF($B2166="","",VLOOKUP($B2166,Jogos!$A$2:$K$105,10,FALSE))</f>
        <v/>
      </c>
      <c r="E2166" s="5" t="inlineStr"/>
      <c r="F2166" s="5" t="inlineStr"/>
      <c r="G2166" s="8">
        <f>IF($B2166="","",VLOOKUP($B2166,Jogos!$A$2:$K$105,9,FALSE))</f>
        <v/>
      </c>
      <c r="H2166" s="8">
        <f>IF($B2166="","",VLOOKUP($B2166,Jogos!$A$2:$K$105,11,FALSE))</f>
        <v/>
      </c>
      <c r="I2166" s="5">
        <f>IF(OR($A2166="", $B2166="", $E2166="", $F2166="", $G2166="", $H2166=""), "",IF(AND($E2166=$G2166, $F2166=$H2166), 3, IF(SIGN($E2166-$F2166)=SIGN($G2166-$H2166), 1, 0))))</f>
        <v/>
      </c>
    </row>
    <row r="2167">
      <c r="A2167" s="5" t="inlineStr"/>
      <c r="B2167" s="5" t="inlineStr"/>
      <c r="C2167" s="5">
        <f>IF($B2167="","",VLOOKUP($B2167,Jogos!$A$2:$K$105,8,FALSE))</f>
        <v/>
      </c>
      <c r="D2167" s="5">
        <f>IF($B2167="","",VLOOKUP($B2167,Jogos!$A$2:$K$105,10,FALSE))</f>
        <v/>
      </c>
      <c r="E2167" s="5" t="inlineStr"/>
      <c r="F2167" s="5" t="inlineStr"/>
      <c r="G2167" s="8">
        <f>IF($B2167="","",VLOOKUP($B2167,Jogos!$A$2:$K$105,9,FALSE))</f>
        <v/>
      </c>
      <c r="H2167" s="8">
        <f>IF($B2167="","",VLOOKUP($B2167,Jogos!$A$2:$K$105,11,FALSE))</f>
        <v/>
      </c>
      <c r="I2167" s="5">
        <f>IF(OR($A2167="", $B2167="", $E2167="", $F2167="", $G2167="", $H2167=""), "",IF(AND($E2167=$G2167, $F2167=$H2167), 3, IF(SIGN($E2167-$F2167)=SIGN($G2167-$H2167), 1, 0))))</f>
        <v/>
      </c>
    </row>
    <row r="2168">
      <c r="A2168" s="5" t="inlineStr"/>
      <c r="B2168" s="5" t="inlineStr"/>
      <c r="C2168" s="5">
        <f>IF($B2168="","",VLOOKUP($B2168,Jogos!$A$2:$K$105,8,FALSE))</f>
        <v/>
      </c>
      <c r="D2168" s="5">
        <f>IF($B2168="","",VLOOKUP($B2168,Jogos!$A$2:$K$105,10,FALSE))</f>
        <v/>
      </c>
      <c r="E2168" s="5" t="inlineStr"/>
      <c r="F2168" s="5" t="inlineStr"/>
      <c r="G2168" s="8">
        <f>IF($B2168="","",VLOOKUP($B2168,Jogos!$A$2:$K$105,9,FALSE))</f>
        <v/>
      </c>
      <c r="H2168" s="8">
        <f>IF($B2168="","",VLOOKUP($B2168,Jogos!$A$2:$K$105,11,FALSE))</f>
        <v/>
      </c>
      <c r="I2168" s="5">
        <f>IF(OR($A2168="", $B2168="", $E2168="", $F2168="", $G2168="", $H2168=""), "",IF(AND($E2168=$G2168, $F2168=$H2168), 3, IF(SIGN($E2168-$F2168)=SIGN($G2168-$H2168), 1, 0))))</f>
        <v/>
      </c>
    </row>
    <row r="2169">
      <c r="A2169" s="5" t="inlineStr"/>
      <c r="B2169" s="5" t="inlineStr"/>
      <c r="C2169" s="5">
        <f>IF($B2169="","",VLOOKUP($B2169,Jogos!$A$2:$K$105,8,FALSE))</f>
        <v/>
      </c>
      <c r="D2169" s="5">
        <f>IF($B2169="","",VLOOKUP($B2169,Jogos!$A$2:$K$105,10,FALSE))</f>
        <v/>
      </c>
      <c r="E2169" s="5" t="inlineStr"/>
      <c r="F2169" s="5" t="inlineStr"/>
      <c r="G2169" s="8">
        <f>IF($B2169="","",VLOOKUP($B2169,Jogos!$A$2:$K$105,9,FALSE))</f>
        <v/>
      </c>
      <c r="H2169" s="8">
        <f>IF($B2169="","",VLOOKUP($B2169,Jogos!$A$2:$K$105,11,FALSE))</f>
        <v/>
      </c>
      <c r="I2169" s="5">
        <f>IF(OR($A2169="", $B2169="", $E2169="", $F2169="", $G2169="", $H2169=""), "",IF(AND($E2169=$G2169, $F2169=$H2169), 3, IF(SIGN($E2169-$F2169)=SIGN($G2169-$H2169), 1, 0))))</f>
        <v/>
      </c>
    </row>
    <row r="2170">
      <c r="A2170" s="5" t="inlineStr"/>
      <c r="B2170" s="5" t="inlineStr"/>
      <c r="C2170" s="5">
        <f>IF($B2170="","",VLOOKUP($B2170,Jogos!$A$2:$K$105,8,FALSE))</f>
        <v/>
      </c>
      <c r="D2170" s="5">
        <f>IF($B2170="","",VLOOKUP($B2170,Jogos!$A$2:$K$105,10,FALSE))</f>
        <v/>
      </c>
      <c r="E2170" s="5" t="inlineStr"/>
      <c r="F2170" s="5" t="inlineStr"/>
      <c r="G2170" s="8">
        <f>IF($B2170="","",VLOOKUP($B2170,Jogos!$A$2:$K$105,9,FALSE))</f>
        <v/>
      </c>
      <c r="H2170" s="8">
        <f>IF($B2170="","",VLOOKUP($B2170,Jogos!$A$2:$K$105,11,FALSE))</f>
        <v/>
      </c>
      <c r="I2170" s="5">
        <f>IF(OR($A2170="", $B2170="", $E2170="", $F2170="", $G2170="", $H2170=""), "",IF(AND($E2170=$G2170, $F2170=$H2170), 3, IF(SIGN($E2170-$F2170)=SIGN($G2170-$H2170), 1, 0))))</f>
        <v/>
      </c>
    </row>
    <row r="2171">
      <c r="A2171" s="5" t="inlineStr"/>
      <c r="B2171" s="5" t="inlineStr"/>
      <c r="C2171" s="5">
        <f>IF($B2171="","",VLOOKUP($B2171,Jogos!$A$2:$K$105,8,FALSE))</f>
        <v/>
      </c>
      <c r="D2171" s="5">
        <f>IF($B2171="","",VLOOKUP($B2171,Jogos!$A$2:$K$105,10,FALSE))</f>
        <v/>
      </c>
      <c r="E2171" s="5" t="inlineStr"/>
      <c r="F2171" s="5" t="inlineStr"/>
      <c r="G2171" s="8">
        <f>IF($B2171="","",VLOOKUP($B2171,Jogos!$A$2:$K$105,9,FALSE))</f>
        <v/>
      </c>
      <c r="H2171" s="8">
        <f>IF($B2171="","",VLOOKUP($B2171,Jogos!$A$2:$K$105,11,FALSE))</f>
        <v/>
      </c>
      <c r="I2171" s="5">
        <f>IF(OR($A2171="", $B2171="", $E2171="", $F2171="", $G2171="", $H2171=""), "",IF(AND($E2171=$G2171, $F2171=$H2171), 3, IF(SIGN($E2171-$F2171)=SIGN($G2171-$H2171), 1, 0))))</f>
        <v/>
      </c>
    </row>
    <row r="2172">
      <c r="A2172" s="5" t="inlineStr"/>
      <c r="B2172" s="5" t="inlineStr"/>
      <c r="C2172" s="5">
        <f>IF($B2172="","",VLOOKUP($B2172,Jogos!$A$2:$K$105,8,FALSE))</f>
        <v/>
      </c>
      <c r="D2172" s="5">
        <f>IF($B2172="","",VLOOKUP($B2172,Jogos!$A$2:$K$105,10,FALSE))</f>
        <v/>
      </c>
      <c r="E2172" s="5" t="inlineStr"/>
      <c r="F2172" s="5" t="inlineStr"/>
      <c r="G2172" s="8">
        <f>IF($B2172="","",VLOOKUP($B2172,Jogos!$A$2:$K$105,9,FALSE))</f>
        <v/>
      </c>
      <c r="H2172" s="8">
        <f>IF($B2172="","",VLOOKUP($B2172,Jogos!$A$2:$K$105,11,FALSE))</f>
        <v/>
      </c>
      <c r="I2172" s="5">
        <f>IF(OR($A2172="", $B2172="", $E2172="", $F2172="", $G2172="", $H2172=""), "",IF(AND($E2172=$G2172, $F2172=$H2172), 3, IF(SIGN($E2172-$F2172)=SIGN($G2172-$H2172), 1, 0))))</f>
        <v/>
      </c>
    </row>
    <row r="2173">
      <c r="A2173" s="5" t="inlineStr"/>
      <c r="B2173" s="5" t="inlineStr"/>
      <c r="C2173" s="5">
        <f>IF($B2173="","",VLOOKUP($B2173,Jogos!$A$2:$K$105,8,FALSE))</f>
        <v/>
      </c>
      <c r="D2173" s="5">
        <f>IF($B2173="","",VLOOKUP($B2173,Jogos!$A$2:$K$105,10,FALSE))</f>
        <v/>
      </c>
      <c r="E2173" s="5" t="inlineStr"/>
      <c r="F2173" s="5" t="inlineStr"/>
      <c r="G2173" s="8">
        <f>IF($B2173="","",VLOOKUP($B2173,Jogos!$A$2:$K$105,9,FALSE))</f>
        <v/>
      </c>
      <c r="H2173" s="8">
        <f>IF($B2173="","",VLOOKUP($B2173,Jogos!$A$2:$K$105,11,FALSE))</f>
        <v/>
      </c>
      <c r="I2173" s="5">
        <f>IF(OR($A2173="", $B2173="", $E2173="", $F2173="", $G2173="", $H2173=""), "",IF(AND($E2173=$G2173, $F2173=$H2173), 3, IF(SIGN($E2173-$F2173)=SIGN($G2173-$H2173), 1, 0))))</f>
        <v/>
      </c>
    </row>
    <row r="2174">
      <c r="A2174" s="5" t="inlineStr"/>
      <c r="B2174" s="5" t="inlineStr"/>
      <c r="C2174" s="5">
        <f>IF($B2174="","",VLOOKUP($B2174,Jogos!$A$2:$K$105,8,FALSE))</f>
        <v/>
      </c>
      <c r="D2174" s="5">
        <f>IF($B2174="","",VLOOKUP($B2174,Jogos!$A$2:$K$105,10,FALSE))</f>
        <v/>
      </c>
      <c r="E2174" s="5" t="inlineStr"/>
      <c r="F2174" s="5" t="inlineStr"/>
      <c r="G2174" s="8">
        <f>IF($B2174="","",VLOOKUP($B2174,Jogos!$A$2:$K$105,9,FALSE))</f>
        <v/>
      </c>
      <c r="H2174" s="8">
        <f>IF($B2174="","",VLOOKUP($B2174,Jogos!$A$2:$K$105,11,FALSE))</f>
        <v/>
      </c>
      <c r="I2174" s="5">
        <f>IF(OR($A2174="", $B2174="", $E2174="", $F2174="", $G2174="", $H2174=""), "",IF(AND($E2174=$G2174, $F2174=$H2174), 3, IF(SIGN($E2174-$F2174)=SIGN($G2174-$H2174), 1, 0))))</f>
        <v/>
      </c>
    </row>
    <row r="2175">
      <c r="A2175" s="5" t="inlineStr"/>
      <c r="B2175" s="5" t="inlineStr"/>
      <c r="C2175" s="5">
        <f>IF($B2175="","",VLOOKUP($B2175,Jogos!$A$2:$K$105,8,FALSE))</f>
        <v/>
      </c>
      <c r="D2175" s="5">
        <f>IF($B2175="","",VLOOKUP($B2175,Jogos!$A$2:$K$105,10,FALSE))</f>
        <v/>
      </c>
      <c r="E2175" s="5" t="inlineStr"/>
      <c r="F2175" s="5" t="inlineStr"/>
      <c r="G2175" s="8">
        <f>IF($B2175="","",VLOOKUP($B2175,Jogos!$A$2:$K$105,9,FALSE))</f>
        <v/>
      </c>
      <c r="H2175" s="8">
        <f>IF($B2175="","",VLOOKUP($B2175,Jogos!$A$2:$K$105,11,FALSE))</f>
        <v/>
      </c>
      <c r="I2175" s="5">
        <f>IF(OR($A2175="", $B2175="", $E2175="", $F2175="", $G2175="", $H2175=""), "",IF(AND($E2175=$G2175, $F2175=$H2175), 3, IF(SIGN($E2175-$F2175)=SIGN($G2175-$H2175), 1, 0))))</f>
        <v/>
      </c>
    </row>
    <row r="2176">
      <c r="A2176" s="5" t="inlineStr"/>
      <c r="B2176" s="5" t="inlineStr"/>
      <c r="C2176" s="5">
        <f>IF($B2176="","",VLOOKUP($B2176,Jogos!$A$2:$K$105,8,FALSE))</f>
        <v/>
      </c>
      <c r="D2176" s="5">
        <f>IF($B2176="","",VLOOKUP($B2176,Jogos!$A$2:$K$105,10,FALSE))</f>
        <v/>
      </c>
      <c r="E2176" s="5" t="inlineStr"/>
      <c r="F2176" s="5" t="inlineStr"/>
      <c r="G2176" s="8">
        <f>IF($B2176="","",VLOOKUP($B2176,Jogos!$A$2:$K$105,9,FALSE))</f>
        <v/>
      </c>
      <c r="H2176" s="8">
        <f>IF($B2176="","",VLOOKUP($B2176,Jogos!$A$2:$K$105,11,FALSE))</f>
        <v/>
      </c>
      <c r="I2176" s="5">
        <f>IF(OR($A2176="", $B2176="", $E2176="", $F2176="", $G2176="", $H2176=""), "",IF(AND($E2176=$G2176, $F2176=$H2176), 3, IF(SIGN($E2176-$F2176)=SIGN($G2176-$H2176), 1, 0))))</f>
        <v/>
      </c>
    </row>
    <row r="2177">
      <c r="A2177" s="5" t="inlineStr"/>
      <c r="B2177" s="5" t="inlineStr"/>
      <c r="C2177" s="5">
        <f>IF($B2177="","",VLOOKUP($B2177,Jogos!$A$2:$K$105,8,FALSE))</f>
        <v/>
      </c>
      <c r="D2177" s="5">
        <f>IF($B2177="","",VLOOKUP($B2177,Jogos!$A$2:$K$105,10,FALSE))</f>
        <v/>
      </c>
      <c r="E2177" s="5" t="inlineStr"/>
      <c r="F2177" s="5" t="inlineStr"/>
      <c r="G2177" s="8">
        <f>IF($B2177="","",VLOOKUP($B2177,Jogos!$A$2:$K$105,9,FALSE))</f>
        <v/>
      </c>
      <c r="H2177" s="8">
        <f>IF($B2177="","",VLOOKUP($B2177,Jogos!$A$2:$K$105,11,FALSE))</f>
        <v/>
      </c>
      <c r="I2177" s="5">
        <f>IF(OR($A2177="", $B2177="", $E2177="", $F2177="", $G2177="", $H2177=""), "",IF(AND($E2177=$G2177, $F2177=$H2177), 3, IF(SIGN($E2177-$F2177)=SIGN($G2177-$H2177), 1, 0))))</f>
        <v/>
      </c>
    </row>
    <row r="2178">
      <c r="A2178" s="5" t="inlineStr"/>
      <c r="B2178" s="5" t="inlineStr"/>
      <c r="C2178" s="5">
        <f>IF($B2178="","",VLOOKUP($B2178,Jogos!$A$2:$K$105,8,FALSE))</f>
        <v/>
      </c>
      <c r="D2178" s="5">
        <f>IF($B2178="","",VLOOKUP($B2178,Jogos!$A$2:$K$105,10,FALSE))</f>
        <v/>
      </c>
      <c r="E2178" s="5" t="inlineStr"/>
      <c r="F2178" s="5" t="inlineStr"/>
      <c r="G2178" s="8">
        <f>IF($B2178="","",VLOOKUP($B2178,Jogos!$A$2:$K$105,9,FALSE))</f>
        <v/>
      </c>
      <c r="H2178" s="8">
        <f>IF($B2178="","",VLOOKUP($B2178,Jogos!$A$2:$K$105,11,FALSE))</f>
        <v/>
      </c>
      <c r="I2178" s="5">
        <f>IF(OR($A2178="", $B2178="", $E2178="", $F2178="", $G2178="", $H2178=""), "",IF(AND($E2178=$G2178, $F2178=$H2178), 3, IF(SIGN($E2178-$F2178)=SIGN($G2178-$H2178), 1, 0))))</f>
        <v/>
      </c>
    </row>
    <row r="2179">
      <c r="A2179" s="5" t="inlineStr"/>
      <c r="B2179" s="5" t="inlineStr"/>
      <c r="C2179" s="5">
        <f>IF($B2179="","",VLOOKUP($B2179,Jogos!$A$2:$K$105,8,FALSE))</f>
        <v/>
      </c>
      <c r="D2179" s="5">
        <f>IF($B2179="","",VLOOKUP($B2179,Jogos!$A$2:$K$105,10,FALSE))</f>
        <v/>
      </c>
      <c r="E2179" s="5" t="inlineStr"/>
      <c r="F2179" s="5" t="inlineStr"/>
      <c r="G2179" s="8">
        <f>IF($B2179="","",VLOOKUP($B2179,Jogos!$A$2:$K$105,9,FALSE))</f>
        <v/>
      </c>
      <c r="H2179" s="8">
        <f>IF($B2179="","",VLOOKUP($B2179,Jogos!$A$2:$K$105,11,FALSE))</f>
        <v/>
      </c>
      <c r="I2179" s="5">
        <f>IF(OR($A2179="", $B2179="", $E2179="", $F2179="", $G2179="", $H2179=""), "",IF(AND($E2179=$G2179, $F2179=$H2179), 3, IF(SIGN($E2179-$F2179)=SIGN($G2179-$H2179), 1, 0))))</f>
        <v/>
      </c>
    </row>
    <row r="2180">
      <c r="A2180" s="5" t="inlineStr"/>
      <c r="B2180" s="5" t="inlineStr"/>
      <c r="C2180" s="5">
        <f>IF($B2180="","",VLOOKUP($B2180,Jogos!$A$2:$K$105,8,FALSE))</f>
        <v/>
      </c>
      <c r="D2180" s="5">
        <f>IF($B2180="","",VLOOKUP($B2180,Jogos!$A$2:$K$105,10,FALSE))</f>
        <v/>
      </c>
      <c r="E2180" s="5" t="inlineStr"/>
      <c r="F2180" s="5" t="inlineStr"/>
      <c r="G2180" s="8">
        <f>IF($B2180="","",VLOOKUP($B2180,Jogos!$A$2:$K$105,9,FALSE))</f>
        <v/>
      </c>
      <c r="H2180" s="8">
        <f>IF($B2180="","",VLOOKUP($B2180,Jogos!$A$2:$K$105,11,FALSE))</f>
        <v/>
      </c>
      <c r="I2180" s="5">
        <f>IF(OR($A2180="", $B2180="", $E2180="", $F2180="", $G2180="", $H2180=""), "",IF(AND($E2180=$G2180, $F2180=$H2180), 3, IF(SIGN($E2180-$F2180)=SIGN($G2180-$H2180), 1, 0))))</f>
        <v/>
      </c>
    </row>
    <row r="2181">
      <c r="A2181" s="5" t="inlineStr"/>
      <c r="B2181" s="5" t="inlineStr"/>
      <c r="C2181" s="5">
        <f>IF($B2181="","",VLOOKUP($B2181,Jogos!$A$2:$K$105,8,FALSE))</f>
        <v/>
      </c>
      <c r="D2181" s="5">
        <f>IF($B2181="","",VLOOKUP($B2181,Jogos!$A$2:$K$105,10,FALSE))</f>
        <v/>
      </c>
      <c r="E2181" s="5" t="inlineStr"/>
      <c r="F2181" s="5" t="inlineStr"/>
      <c r="G2181" s="8">
        <f>IF($B2181="","",VLOOKUP($B2181,Jogos!$A$2:$K$105,9,FALSE))</f>
        <v/>
      </c>
      <c r="H2181" s="8">
        <f>IF($B2181="","",VLOOKUP($B2181,Jogos!$A$2:$K$105,11,FALSE))</f>
        <v/>
      </c>
      <c r="I2181" s="5">
        <f>IF(OR($A2181="", $B2181="", $E2181="", $F2181="", $G2181="", $H2181=""), "",IF(AND($E2181=$G2181, $F2181=$H2181), 3, IF(SIGN($E2181-$F2181)=SIGN($G2181-$H2181), 1, 0))))</f>
        <v/>
      </c>
    </row>
    <row r="2182">
      <c r="A2182" s="5" t="inlineStr"/>
      <c r="B2182" s="5" t="inlineStr"/>
      <c r="C2182" s="5">
        <f>IF($B2182="","",VLOOKUP($B2182,Jogos!$A$2:$K$105,8,FALSE))</f>
        <v/>
      </c>
      <c r="D2182" s="5">
        <f>IF($B2182="","",VLOOKUP($B2182,Jogos!$A$2:$K$105,10,FALSE))</f>
        <v/>
      </c>
      <c r="E2182" s="5" t="inlineStr"/>
      <c r="F2182" s="5" t="inlineStr"/>
      <c r="G2182" s="8">
        <f>IF($B2182="","",VLOOKUP($B2182,Jogos!$A$2:$K$105,9,FALSE))</f>
        <v/>
      </c>
      <c r="H2182" s="8">
        <f>IF($B2182="","",VLOOKUP($B2182,Jogos!$A$2:$K$105,11,FALSE))</f>
        <v/>
      </c>
      <c r="I2182" s="5">
        <f>IF(OR($A2182="", $B2182="", $E2182="", $F2182="", $G2182="", $H2182=""), "",IF(AND($E2182=$G2182, $F2182=$H2182), 3, IF(SIGN($E2182-$F2182)=SIGN($G2182-$H2182), 1, 0))))</f>
        <v/>
      </c>
    </row>
    <row r="2183">
      <c r="A2183" s="5" t="inlineStr"/>
      <c r="B2183" s="5" t="inlineStr"/>
      <c r="C2183" s="5">
        <f>IF($B2183="","",VLOOKUP($B2183,Jogos!$A$2:$K$105,8,FALSE))</f>
        <v/>
      </c>
      <c r="D2183" s="5">
        <f>IF($B2183="","",VLOOKUP($B2183,Jogos!$A$2:$K$105,10,FALSE))</f>
        <v/>
      </c>
      <c r="E2183" s="5" t="inlineStr"/>
      <c r="F2183" s="5" t="inlineStr"/>
      <c r="G2183" s="8">
        <f>IF($B2183="","",VLOOKUP($B2183,Jogos!$A$2:$K$105,9,FALSE))</f>
        <v/>
      </c>
      <c r="H2183" s="8">
        <f>IF($B2183="","",VLOOKUP($B2183,Jogos!$A$2:$K$105,11,FALSE))</f>
        <v/>
      </c>
      <c r="I2183" s="5">
        <f>IF(OR($A2183="", $B2183="", $E2183="", $F2183="", $G2183="", $H2183=""), "",IF(AND($E2183=$G2183, $F2183=$H2183), 3, IF(SIGN($E2183-$F2183)=SIGN($G2183-$H2183), 1, 0))))</f>
        <v/>
      </c>
    </row>
    <row r="2184">
      <c r="A2184" s="5" t="inlineStr"/>
      <c r="B2184" s="5" t="inlineStr"/>
      <c r="C2184" s="5">
        <f>IF($B2184="","",VLOOKUP($B2184,Jogos!$A$2:$K$105,8,FALSE))</f>
        <v/>
      </c>
      <c r="D2184" s="5">
        <f>IF($B2184="","",VLOOKUP($B2184,Jogos!$A$2:$K$105,10,FALSE))</f>
        <v/>
      </c>
      <c r="E2184" s="5" t="inlineStr"/>
      <c r="F2184" s="5" t="inlineStr"/>
      <c r="G2184" s="8">
        <f>IF($B2184="","",VLOOKUP($B2184,Jogos!$A$2:$K$105,9,FALSE))</f>
        <v/>
      </c>
      <c r="H2184" s="8">
        <f>IF($B2184="","",VLOOKUP($B2184,Jogos!$A$2:$K$105,11,FALSE))</f>
        <v/>
      </c>
      <c r="I2184" s="5">
        <f>IF(OR($A2184="", $B2184="", $E2184="", $F2184="", $G2184="", $H2184=""), "",IF(AND($E2184=$G2184, $F2184=$H2184), 3, IF(SIGN($E2184-$F2184)=SIGN($G2184-$H2184), 1, 0))))</f>
        <v/>
      </c>
    </row>
    <row r="2185">
      <c r="A2185" s="5" t="inlineStr"/>
      <c r="B2185" s="5" t="inlineStr"/>
      <c r="C2185" s="5">
        <f>IF($B2185="","",VLOOKUP($B2185,Jogos!$A$2:$K$105,8,FALSE))</f>
        <v/>
      </c>
      <c r="D2185" s="5">
        <f>IF($B2185="","",VLOOKUP($B2185,Jogos!$A$2:$K$105,10,FALSE))</f>
        <v/>
      </c>
      <c r="E2185" s="5" t="inlineStr"/>
      <c r="F2185" s="5" t="inlineStr"/>
      <c r="G2185" s="8">
        <f>IF($B2185="","",VLOOKUP($B2185,Jogos!$A$2:$K$105,9,FALSE))</f>
        <v/>
      </c>
      <c r="H2185" s="8">
        <f>IF($B2185="","",VLOOKUP($B2185,Jogos!$A$2:$K$105,11,FALSE))</f>
        <v/>
      </c>
      <c r="I2185" s="5">
        <f>IF(OR($A2185="", $B2185="", $E2185="", $F2185="", $G2185="", $H2185=""), "",IF(AND($E2185=$G2185, $F2185=$H2185), 3, IF(SIGN($E2185-$F2185)=SIGN($G2185-$H2185), 1, 0))))</f>
        <v/>
      </c>
    </row>
    <row r="2186">
      <c r="A2186" s="5" t="inlineStr"/>
      <c r="B2186" s="5" t="inlineStr"/>
      <c r="C2186" s="5">
        <f>IF($B2186="","",VLOOKUP($B2186,Jogos!$A$2:$K$105,8,FALSE))</f>
        <v/>
      </c>
      <c r="D2186" s="5">
        <f>IF($B2186="","",VLOOKUP($B2186,Jogos!$A$2:$K$105,10,FALSE))</f>
        <v/>
      </c>
      <c r="E2186" s="5" t="inlineStr"/>
      <c r="F2186" s="5" t="inlineStr"/>
      <c r="G2186" s="8">
        <f>IF($B2186="","",VLOOKUP($B2186,Jogos!$A$2:$K$105,9,FALSE))</f>
        <v/>
      </c>
      <c r="H2186" s="8">
        <f>IF($B2186="","",VLOOKUP($B2186,Jogos!$A$2:$K$105,11,FALSE))</f>
        <v/>
      </c>
      <c r="I2186" s="5">
        <f>IF(OR($A2186="", $B2186="", $E2186="", $F2186="", $G2186="", $H2186=""), "",IF(AND($E2186=$G2186, $F2186=$H2186), 3, IF(SIGN($E2186-$F2186)=SIGN($G2186-$H2186), 1, 0))))</f>
        <v/>
      </c>
    </row>
    <row r="2187">
      <c r="A2187" s="5" t="inlineStr"/>
      <c r="B2187" s="5" t="inlineStr"/>
      <c r="C2187" s="5">
        <f>IF($B2187="","",VLOOKUP($B2187,Jogos!$A$2:$K$105,8,FALSE))</f>
        <v/>
      </c>
      <c r="D2187" s="5">
        <f>IF($B2187="","",VLOOKUP($B2187,Jogos!$A$2:$K$105,10,FALSE))</f>
        <v/>
      </c>
      <c r="E2187" s="5" t="inlineStr"/>
      <c r="F2187" s="5" t="inlineStr"/>
      <c r="G2187" s="8">
        <f>IF($B2187="","",VLOOKUP($B2187,Jogos!$A$2:$K$105,9,FALSE))</f>
        <v/>
      </c>
      <c r="H2187" s="8">
        <f>IF($B2187="","",VLOOKUP($B2187,Jogos!$A$2:$K$105,11,FALSE))</f>
        <v/>
      </c>
      <c r="I2187" s="5">
        <f>IF(OR($A2187="", $B2187="", $E2187="", $F2187="", $G2187="", $H2187=""), "",IF(AND($E2187=$G2187, $F2187=$H2187), 3, IF(SIGN($E2187-$F2187)=SIGN($G2187-$H2187), 1, 0))))</f>
        <v/>
      </c>
    </row>
    <row r="2188">
      <c r="A2188" s="5" t="inlineStr"/>
      <c r="B2188" s="5" t="inlineStr"/>
      <c r="C2188" s="5">
        <f>IF($B2188="","",VLOOKUP($B2188,Jogos!$A$2:$K$105,8,FALSE))</f>
        <v/>
      </c>
      <c r="D2188" s="5">
        <f>IF($B2188="","",VLOOKUP($B2188,Jogos!$A$2:$K$105,10,FALSE))</f>
        <v/>
      </c>
      <c r="E2188" s="5" t="inlineStr"/>
      <c r="F2188" s="5" t="inlineStr"/>
      <c r="G2188" s="8">
        <f>IF($B2188="","",VLOOKUP($B2188,Jogos!$A$2:$K$105,9,FALSE))</f>
        <v/>
      </c>
      <c r="H2188" s="8">
        <f>IF($B2188="","",VLOOKUP($B2188,Jogos!$A$2:$K$105,11,FALSE))</f>
        <v/>
      </c>
      <c r="I2188" s="5">
        <f>IF(OR($A2188="", $B2188="", $E2188="", $F2188="", $G2188="", $H2188=""), "",IF(AND($E2188=$G2188, $F2188=$H2188), 3, IF(SIGN($E2188-$F2188)=SIGN($G2188-$H2188), 1, 0))))</f>
        <v/>
      </c>
    </row>
    <row r="2189">
      <c r="A2189" s="5" t="inlineStr"/>
      <c r="B2189" s="5" t="inlineStr"/>
      <c r="C2189" s="5">
        <f>IF($B2189="","",VLOOKUP($B2189,Jogos!$A$2:$K$105,8,FALSE))</f>
        <v/>
      </c>
      <c r="D2189" s="5">
        <f>IF($B2189="","",VLOOKUP($B2189,Jogos!$A$2:$K$105,10,FALSE))</f>
        <v/>
      </c>
      <c r="E2189" s="5" t="inlineStr"/>
      <c r="F2189" s="5" t="inlineStr"/>
      <c r="G2189" s="8">
        <f>IF($B2189="","",VLOOKUP($B2189,Jogos!$A$2:$K$105,9,FALSE))</f>
        <v/>
      </c>
      <c r="H2189" s="8">
        <f>IF($B2189="","",VLOOKUP($B2189,Jogos!$A$2:$K$105,11,FALSE))</f>
        <v/>
      </c>
      <c r="I2189" s="5">
        <f>IF(OR($A2189="", $B2189="", $E2189="", $F2189="", $G2189="", $H2189=""), "",IF(AND($E2189=$G2189, $F2189=$H2189), 3, IF(SIGN($E2189-$F2189)=SIGN($G2189-$H2189), 1, 0))))</f>
        <v/>
      </c>
    </row>
    <row r="2190">
      <c r="A2190" s="5" t="inlineStr"/>
      <c r="B2190" s="5" t="inlineStr"/>
      <c r="C2190" s="5">
        <f>IF($B2190="","",VLOOKUP($B2190,Jogos!$A$2:$K$105,8,FALSE))</f>
        <v/>
      </c>
      <c r="D2190" s="5">
        <f>IF($B2190="","",VLOOKUP($B2190,Jogos!$A$2:$K$105,10,FALSE))</f>
        <v/>
      </c>
      <c r="E2190" s="5" t="inlineStr"/>
      <c r="F2190" s="5" t="inlineStr"/>
      <c r="G2190" s="8">
        <f>IF($B2190="","",VLOOKUP($B2190,Jogos!$A$2:$K$105,9,FALSE))</f>
        <v/>
      </c>
      <c r="H2190" s="8">
        <f>IF($B2190="","",VLOOKUP($B2190,Jogos!$A$2:$K$105,11,FALSE))</f>
        <v/>
      </c>
      <c r="I2190" s="5">
        <f>IF(OR($A2190="", $B2190="", $E2190="", $F2190="", $G2190="", $H2190=""), "",IF(AND($E2190=$G2190, $F2190=$H2190), 3, IF(SIGN($E2190-$F2190)=SIGN($G2190-$H2190), 1, 0))))</f>
        <v/>
      </c>
    </row>
    <row r="2191">
      <c r="A2191" s="5" t="inlineStr"/>
      <c r="B2191" s="5" t="inlineStr"/>
      <c r="C2191" s="5">
        <f>IF($B2191="","",VLOOKUP($B2191,Jogos!$A$2:$K$105,8,FALSE))</f>
        <v/>
      </c>
      <c r="D2191" s="5">
        <f>IF($B2191="","",VLOOKUP($B2191,Jogos!$A$2:$K$105,10,FALSE))</f>
        <v/>
      </c>
      <c r="E2191" s="5" t="inlineStr"/>
      <c r="F2191" s="5" t="inlineStr"/>
      <c r="G2191" s="8">
        <f>IF($B2191="","",VLOOKUP($B2191,Jogos!$A$2:$K$105,9,FALSE))</f>
        <v/>
      </c>
      <c r="H2191" s="8">
        <f>IF($B2191="","",VLOOKUP($B2191,Jogos!$A$2:$K$105,11,FALSE))</f>
        <v/>
      </c>
      <c r="I2191" s="5">
        <f>IF(OR($A2191="", $B2191="", $E2191="", $F2191="", $G2191="", $H2191=""), "",IF(AND($E2191=$G2191, $F2191=$H2191), 3, IF(SIGN($E2191-$F2191)=SIGN($G2191-$H2191), 1, 0))))</f>
        <v/>
      </c>
    </row>
    <row r="2192">
      <c r="A2192" s="5" t="inlineStr"/>
      <c r="B2192" s="5" t="inlineStr"/>
      <c r="C2192" s="5">
        <f>IF($B2192="","",VLOOKUP($B2192,Jogos!$A$2:$K$105,8,FALSE))</f>
        <v/>
      </c>
      <c r="D2192" s="5">
        <f>IF($B2192="","",VLOOKUP($B2192,Jogos!$A$2:$K$105,10,FALSE))</f>
        <v/>
      </c>
      <c r="E2192" s="5" t="inlineStr"/>
      <c r="F2192" s="5" t="inlineStr"/>
      <c r="G2192" s="8">
        <f>IF($B2192="","",VLOOKUP($B2192,Jogos!$A$2:$K$105,9,FALSE))</f>
        <v/>
      </c>
      <c r="H2192" s="8">
        <f>IF($B2192="","",VLOOKUP($B2192,Jogos!$A$2:$K$105,11,FALSE))</f>
        <v/>
      </c>
      <c r="I2192" s="5">
        <f>IF(OR($A2192="", $B2192="", $E2192="", $F2192="", $G2192="", $H2192=""), "",IF(AND($E2192=$G2192, $F2192=$H2192), 3, IF(SIGN($E2192-$F2192)=SIGN($G2192-$H2192), 1, 0))))</f>
        <v/>
      </c>
    </row>
    <row r="2193">
      <c r="A2193" s="5" t="inlineStr"/>
      <c r="B2193" s="5" t="inlineStr"/>
      <c r="C2193" s="5">
        <f>IF($B2193="","",VLOOKUP($B2193,Jogos!$A$2:$K$105,8,FALSE))</f>
        <v/>
      </c>
      <c r="D2193" s="5">
        <f>IF($B2193="","",VLOOKUP($B2193,Jogos!$A$2:$K$105,10,FALSE))</f>
        <v/>
      </c>
      <c r="E2193" s="5" t="inlineStr"/>
      <c r="F2193" s="5" t="inlineStr"/>
      <c r="G2193" s="8">
        <f>IF($B2193="","",VLOOKUP($B2193,Jogos!$A$2:$K$105,9,FALSE))</f>
        <v/>
      </c>
      <c r="H2193" s="8">
        <f>IF($B2193="","",VLOOKUP($B2193,Jogos!$A$2:$K$105,11,FALSE))</f>
        <v/>
      </c>
      <c r="I2193" s="5">
        <f>IF(OR($A2193="", $B2193="", $E2193="", $F2193="", $G2193="", $H2193=""), "",IF(AND($E2193=$G2193, $F2193=$H2193), 3, IF(SIGN($E2193-$F2193)=SIGN($G2193-$H2193), 1, 0))))</f>
        <v/>
      </c>
    </row>
    <row r="2194">
      <c r="A2194" s="5" t="inlineStr"/>
      <c r="B2194" s="5" t="inlineStr"/>
      <c r="C2194" s="5">
        <f>IF($B2194="","",VLOOKUP($B2194,Jogos!$A$2:$K$105,8,FALSE))</f>
        <v/>
      </c>
      <c r="D2194" s="5">
        <f>IF($B2194="","",VLOOKUP($B2194,Jogos!$A$2:$K$105,10,FALSE))</f>
        <v/>
      </c>
      <c r="E2194" s="5" t="inlineStr"/>
      <c r="F2194" s="5" t="inlineStr"/>
      <c r="G2194" s="8">
        <f>IF($B2194="","",VLOOKUP($B2194,Jogos!$A$2:$K$105,9,FALSE))</f>
        <v/>
      </c>
      <c r="H2194" s="8">
        <f>IF($B2194="","",VLOOKUP($B2194,Jogos!$A$2:$K$105,11,FALSE))</f>
        <v/>
      </c>
      <c r="I2194" s="5">
        <f>IF(OR($A2194="", $B2194="", $E2194="", $F2194="", $G2194="", $H2194=""), "",IF(AND($E2194=$G2194, $F2194=$H2194), 3, IF(SIGN($E2194-$F2194)=SIGN($G2194-$H2194), 1, 0))))</f>
        <v/>
      </c>
    </row>
    <row r="2195">
      <c r="A2195" s="5" t="inlineStr"/>
      <c r="B2195" s="5" t="inlineStr"/>
      <c r="C2195" s="5">
        <f>IF($B2195="","",VLOOKUP($B2195,Jogos!$A$2:$K$105,8,FALSE))</f>
        <v/>
      </c>
      <c r="D2195" s="5">
        <f>IF($B2195="","",VLOOKUP($B2195,Jogos!$A$2:$K$105,10,FALSE))</f>
        <v/>
      </c>
      <c r="E2195" s="5" t="inlineStr"/>
      <c r="F2195" s="5" t="inlineStr"/>
      <c r="G2195" s="8">
        <f>IF($B2195="","",VLOOKUP($B2195,Jogos!$A$2:$K$105,9,FALSE))</f>
        <v/>
      </c>
      <c r="H2195" s="8">
        <f>IF($B2195="","",VLOOKUP($B2195,Jogos!$A$2:$K$105,11,FALSE))</f>
        <v/>
      </c>
      <c r="I2195" s="5">
        <f>IF(OR($A2195="", $B2195="", $E2195="", $F2195="", $G2195="", $H2195=""), "",IF(AND($E2195=$G2195, $F2195=$H2195), 3, IF(SIGN($E2195-$F2195)=SIGN($G2195-$H2195), 1, 0))))</f>
        <v/>
      </c>
    </row>
    <row r="2196">
      <c r="A2196" s="5" t="inlineStr"/>
      <c r="B2196" s="5" t="inlineStr"/>
      <c r="C2196" s="5">
        <f>IF($B2196="","",VLOOKUP($B2196,Jogos!$A$2:$K$105,8,FALSE))</f>
        <v/>
      </c>
      <c r="D2196" s="5">
        <f>IF($B2196="","",VLOOKUP($B2196,Jogos!$A$2:$K$105,10,FALSE))</f>
        <v/>
      </c>
      <c r="E2196" s="5" t="inlineStr"/>
      <c r="F2196" s="5" t="inlineStr"/>
      <c r="G2196" s="8">
        <f>IF($B2196="","",VLOOKUP($B2196,Jogos!$A$2:$K$105,9,FALSE))</f>
        <v/>
      </c>
      <c r="H2196" s="8">
        <f>IF($B2196="","",VLOOKUP($B2196,Jogos!$A$2:$K$105,11,FALSE))</f>
        <v/>
      </c>
      <c r="I2196" s="5">
        <f>IF(OR($A2196="", $B2196="", $E2196="", $F2196="", $G2196="", $H2196=""), "",IF(AND($E2196=$G2196, $F2196=$H2196), 3, IF(SIGN($E2196-$F2196)=SIGN($G2196-$H2196), 1, 0))))</f>
        <v/>
      </c>
    </row>
    <row r="2197">
      <c r="A2197" s="5" t="inlineStr"/>
      <c r="B2197" s="5" t="inlineStr"/>
      <c r="C2197" s="5">
        <f>IF($B2197="","",VLOOKUP($B2197,Jogos!$A$2:$K$105,8,FALSE))</f>
        <v/>
      </c>
      <c r="D2197" s="5">
        <f>IF($B2197="","",VLOOKUP($B2197,Jogos!$A$2:$K$105,10,FALSE))</f>
        <v/>
      </c>
      <c r="E2197" s="5" t="inlineStr"/>
      <c r="F2197" s="5" t="inlineStr"/>
      <c r="G2197" s="8">
        <f>IF($B2197="","",VLOOKUP($B2197,Jogos!$A$2:$K$105,9,FALSE))</f>
        <v/>
      </c>
      <c r="H2197" s="8">
        <f>IF($B2197="","",VLOOKUP($B2197,Jogos!$A$2:$K$105,11,FALSE))</f>
        <v/>
      </c>
      <c r="I2197" s="5">
        <f>IF(OR($A2197="", $B2197="", $E2197="", $F2197="", $G2197="", $H2197=""), "",IF(AND($E2197=$G2197, $F2197=$H2197), 3, IF(SIGN($E2197-$F2197)=SIGN($G2197-$H2197), 1, 0))))</f>
        <v/>
      </c>
    </row>
    <row r="2198">
      <c r="A2198" s="5" t="inlineStr"/>
      <c r="B2198" s="5" t="inlineStr"/>
      <c r="C2198" s="5">
        <f>IF($B2198="","",VLOOKUP($B2198,Jogos!$A$2:$K$105,8,FALSE))</f>
        <v/>
      </c>
      <c r="D2198" s="5">
        <f>IF($B2198="","",VLOOKUP($B2198,Jogos!$A$2:$K$105,10,FALSE))</f>
        <v/>
      </c>
      <c r="E2198" s="5" t="inlineStr"/>
      <c r="F2198" s="5" t="inlineStr"/>
      <c r="G2198" s="8">
        <f>IF($B2198="","",VLOOKUP($B2198,Jogos!$A$2:$K$105,9,FALSE))</f>
        <v/>
      </c>
      <c r="H2198" s="8">
        <f>IF($B2198="","",VLOOKUP($B2198,Jogos!$A$2:$K$105,11,FALSE))</f>
        <v/>
      </c>
      <c r="I2198" s="5">
        <f>IF(OR($A2198="", $B2198="", $E2198="", $F2198="", $G2198="", $H2198=""), "",IF(AND($E2198=$G2198, $F2198=$H2198), 3, IF(SIGN($E2198-$F2198)=SIGN($G2198-$H2198), 1, 0))))</f>
        <v/>
      </c>
    </row>
    <row r="2199">
      <c r="A2199" s="5" t="inlineStr"/>
      <c r="B2199" s="5" t="inlineStr"/>
      <c r="C2199" s="5">
        <f>IF($B2199="","",VLOOKUP($B2199,Jogos!$A$2:$K$105,8,FALSE))</f>
        <v/>
      </c>
      <c r="D2199" s="5">
        <f>IF($B2199="","",VLOOKUP($B2199,Jogos!$A$2:$K$105,10,FALSE))</f>
        <v/>
      </c>
      <c r="E2199" s="5" t="inlineStr"/>
      <c r="F2199" s="5" t="inlineStr"/>
      <c r="G2199" s="8">
        <f>IF($B2199="","",VLOOKUP($B2199,Jogos!$A$2:$K$105,9,FALSE))</f>
        <v/>
      </c>
      <c r="H2199" s="8">
        <f>IF($B2199="","",VLOOKUP($B2199,Jogos!$A$2:$K$105,11,FALSE))</f>
        <v/>
      </c>
      <c r="I2199" s="5">
        <f>IF(OR($A2199="", $B2199="", $E2199="", $F2199="", $G2199="", $H2199=""), "",IF(AND($E2199=$G2199, $F2199=$H2199), 3, IF(SIGN($E2199-$F2199)=SIGN($G2199-$H2199), 1, 0))))</f>
        <v/>
      </c>
    </row>
    <row r="2200">
      <c r="A2200" s="5" t="inlineStr"/>
      <c r="B2200" s="5" t="inlineStr"/>
      <c r="C2200" s="5">
        <f>IF($B2200="","",VLOOKUP($B2200,Jogos!$A$2:$K$105,8,FALSE))</f>
        <v/>
      </c>
      <c r="D2200" s="5">
        <f>IF($B2200="","",VLOOKUP($B2200,Jogos!$A$2:$K$105,10,FALSE))</f>
        <v/>
      </c>
      <c r="E2200" s="5" t="inlineStr"/>
      <c r="F2200" s="5" t="inlineStr"/>
      <c r="G2200" s="8">
        <f>IF($B2200="","",VLOOKUP($B2200,Jogos!$A$2:$K$105,9,FALSE))</f>
        <v/>
      </c>
      <c r="H2200" s="8">
        <f>IF($B2200="","",VLOOKUP($B2200,Jogos!$A$2:$K$105,11,FALSE))</f>
        <v/>
      </c>
      <c r="I2200" s="5">
        <f>IF(OR($A2200="", $B2200="", $E2200="", $F2200="", $G2200="", $H2200=""), "",IF(AND($E2200=$G2200, $F2200=$H2200), 3, IF(SIGN($E2200-$F2200)=SIGN($G2200-$H2200), 1, 0))))</f>
        <v/>
      </c>
    </row>
    <row r="2201">
      <c r="A2201" s="5" t="inlineStr"/>
      <c r="B2201" s="5" t="inlineStr"/>
      <c r="C2201" s="5">
        <f>IF($B2201="","",VLOOKUP($B2201,Jogos!$A$2:$K$105,8,FALSE))</f>
        <v/>
      </c>
      <c r="D2201" s="5">
        <f>IF($B2201="","",VLOOKUP($B2201,Jogos!$A$2:$K$105,10,FALSE))</f>
        <v/>
      </c>
      <c r="E2201" s="5" t="inlineStr"/>
      <c r="F2201" s="5" t="inlineStr"/>
      <c r="G2201" s="8">
        <f>IF($B2201="","",VLOOKUP($B2201,Jogos!$A$2:$K$105,9,FALSE))</f>
        <v/>
      </c>
      <c r="H2201" s="8">
        <f>IF($B2201="","",VLOOKUP($B2201,Jogos!$A$2:$K$105,11,FALSE))</f>
        <v/>
      </c>
      <c r="I2201" s="5">
        <f>IF(OR($A2201="", $B2201="", $E2201="", $F2201="", $G2201="", $H2201=""), "",IF(AND($E2201=$G2201, $F2201=$H2201), 3, IF(SIGN($E2201-$F2201)=SIGN($G2201-$H2201), 1, 0))))</f>
        <v/>
      </c>
    </row>
    <row r="2202">
      <c r="A2202" s="5" t="inlineStr"/>
      <c r="B2202" s="5" t="inlineStr"/>
      <c r="C2202" s="5">
        <f>IF($B2202="","",VLOOKUP($B2202,Jogos!$A$2:$K$105,8,FALSE))</f>
        <v/>
      </c>
      <c r="D2202" s="5">
        <f>IF($B2202="","",VLOOKUP($B2202,Jogos!$A$2:$K$105,10,FALSE))</f>
        <v/>
      </c>
      <c r="E2202" s="5" t="inlineStr"/>
      <c r="F2202" s="5" t="inlineStr"/>
      <c r="G2202" s="8">
        <f>IF($B2202="","",VLOOKUP($B2202,Jogos!$A$2:$K$105,9,FALSE))</f>
        <v/>
      </c>
      <c r="H2202" s="8">
        <f>IF($B2202="","",VLOOKUP($B2202,Jogos!$A$2:$K$105,11,FALSE))</f>
        <v/>
      </c>
      <c r="I2202" s="5">
        <f>IF(OR($A2202="", $B2202="", $E2202="", $F2202="", $G2202="", $H2202=""), "",IF(AND($E2202=$G2202, $F2202=$H2202), 3, IF(SIGN($E2202-$F2202)=SIGN($G2202-$H2202), 1, 0))))</f>
        <v/>
      </c>
    </row>
    <row r="2203">
      <c r="A2203" s="5" t="inlineStr"/>
      <c r="B2203" s="5" t="inlineStr"/>
      <c r="C2203" s="5">
        <f>IF($B2203="","",VLOOKUP($B2203,Jogos!$A$2:$K$105,8,FALSE))</f>
        <v/>
      </c>
      <c r="D2203" s="5">
        <f>IF($B2203="","",VLOOKUP($B2203,Jogos!$A$2:$K$105,10,FALSE))</f>
        <v/>
      </c>
      <c r="E2203" s="5" t="inlineStr"/>
      <c r="F2203" s="5" t="inlineStr"/>
      <c r="G2203" s="8">
        <f>IF($B2203="","",VLOOKUP($B2203,Jogos!$A$2:$K$105,9,FALSE))</f>
        <v/>
      </c>
      <c r="H2203" s="8">
        <f>IF($B2203="","",VLOOKUP($B2203,Jogos!$A$2:$K$105,11,FALSE))</f>
        <v/>
      </c>
      <c r="I2203" s="5">
        <f>IF(OR($A2203="", $B2203="", $E2203="", $F2203="", $G2203="", $H2203=""), "",IF(AND($E2203=$G2203, $F2203=$H2203), 3, IF(SIGN($E2203-$F2203)=SIGN($G2203-$H2203), 1, 0))))</f>
        <v/>
      </c>
    </row>
    <row r="2204">
      <c r="A2204" s="5" t="inlineStr"/>
      <c r="B2204" s="5" t="inlineStr"/>
      <c r="C2204" s="5">
        <f>IF($B2204="","",VLOOKUP($B2204,Jogos!$A$2:$K$105,8,FALSE))</f>
        <v/>
      </c>
      <c r="D2204" s="5">
        <f>IF($B2204="","",VLOOKUP($B2204,Jogos!$A$2:$K$105,10,FALSE))</f>
        <v/>
      </c>
      <c r="E2204" s="5" t="inlineStr"/>
      <c r="F2204" s="5" t="inlineStr"/>
      <c r="G2204" s="8">
        <f>IF($B2204="","",VLOOKUP($B2204,Jogos!$A$2:$K$105,9,FALSE))</f>
        <v/>
      </c>
      <c r="H2204" s="8">
        <f>IF($B2204="","",VLOOKUP($B2204,Jogos!$A$2:$K$105,11,FALSE))</f>
        <v/>
      </c>
      <c r="I2204" s="5">
        <f>IF(OR($A2204="", $B2204="", $E2204="", $F2204="", $G2204="", $H2204=""), "",IF(AND($E2204=$G2204, $F2204=$H2204), 3, IF(SIGN($E2204-$F2204)=SIGN($G2204-$H2204), 1, 0))))</f>
        <v/>
      </c>
    </row>
    <row r="2205">
      <c r="A2205" s="5" t="inlineStr"/>
      <c r="B2205" s="5" t="inlineStr"/>
      <c r="C2205" s="5">
        <f>IF($B2205="","",VLOOKUP($B2205,Jogos!$A$2:$K$105,8,FALSE))</f>
        <v/>
      </c>
      <c r="D2205" s="5">
        <f>IF($B2205="","",VLOOKUP($B2205,Jogos!$A$2:$K$105,10,FALSE))</f>
        <v/>
      </c>
      <c r="E2205" s="5" t="inlineStr"/>
      <c r="F2205" s="5" t="inlineStr"/>
      <c r="G2205" s="8">
        <f>IF($B2205="","",VLOOKUP($B2205,Jogos!$A$2:$K$105,9,FALSE))</f>
        <v/>
      </c>
      <c r="H2205" s="8">
        <f>IF($B2205="","",VLOOKUP($B2205,Jogos!$A$2:$K$105,11,FALSE))</f>
        <v/>
      </c>
      <c r="I2205" s="5">
        <f>IF(OR($A2205="", $B2205="", $E2205="", $F2205="", $G2205="", $H2205=""), "",IF(AND($E2205=$G2205, $F2205=$H2205), 3, IF(SIGN($E2205-$F2205)=SIGN($G2205-$H2205), 1, 0))))</f>
        <v/>
      </c>
    </row>
    <row r="2206">
      <c r="A2206" s="5" t="inlineStr"/>
      <c r="B2206" s="5" t="inlineStr"/>
      <c r="C2206" s="5">
        <f>IF($B2206="","",VLOOKUP($B2206,Jogos!$A$2:$K$105,8,FALSE))</f>
        <v/>
      </c>
      <c r="D2206" s="5">
        <f>IF($B2206="","",VLOOKUP($B2206,Jogos!$A$2:$K$105,10,FALSE))</f>
        <v/>
      </c>
      <c r="E2206" s="5" t="inlineStr"/>
      <c r="F2206" s="5" t="inlineStr"/>
      <c r="G2206" s="8">
        <f>IF($B2206="","",VLOOKUP($B2206,Jogos!$A$2:$K$105,9,FALSE))</f>
        <v/>
      </c>
      <c r="H2206" s="8">
        <f>IF($B2206="","",VLOOKUP($B2206,Jogos!$A$2:$K$105,11,FALSE))</f>
        <v/>
      </c>
      <c r="I2206" s="5">
        <f>IF(OR($A2206="", $B2206="", $E2206="", $F2206="", $G2206="", $H2206=""), "",IF(AND($E2206=$G2206, $F2206=$H2206), 3, IF(SIGN($E2206-$F2206)=SIGN($G2206-$H2206), 1, 0))))</f>
        <v/>
      </c>
    </row>
    <row r="2207">
      <c r="A2207" s="5" t="inlineStr"/>
      <c r="B2207" s="5" t="inlineStr"/>
      <c r="C2207" s="5">
        <f>IF($B2207="","",VLOOKUP($B2207,Jogos!$A$2:$K$105,8,FALSE))</f>
        <v/>
      </c>
      <c r="D2207" s="5">
        <f>IF($B2207="","",VLOOKUP($B2207,Jogos!$A$2:$K$105,10,FALSE))</f>
        <v/>
      </c>
      <c r="E2207" s="5" t="inlineStr"/>
      <c r="F2207" s="5" t="inlineStr"/>
      <c r="G2207" s="8">
        <f>IF($B2207="","",VLOOKUP($B2207,Jogos!$A$2:$K$105,9,FALSE))</f>
        <v/>
      </c>
      <c r="H2207" s="8">
        <f>IF($B2207="","",VLOOKUP($B2207,Jogos!$A$2:$K$105,11,FALSE))</f>
        <v/>
      </c>
      <c r="I2207" s="5">
        <f>IF(OR($A2207="", $B2207="", $E2207="", $F2207="", $G2207="", $H2207=""), "",IF(AND($E2207=$G2207, $F2207=$H2207), 3, IF(SIGN($E2207-$F2207)=SIGN($G2207-$H2207), 1, 0))))</f>
        <v/>
      </c>
    </row>
    <row r="2208">
      <c r="A2208" s="5" t="inlineStr"/>
      <c r="B2208" s="5" t="inlineStr"/>
      <c r="C2208" s="5">
        <f>IF($B2208="","",VLOOKUP($B2208,Jogos!$A$2:$K$105,8,FALSE))</f>
        <v/>
      </c>
      <c r="D2208" s="5">
        <f>IF($B2208="","",VLOOKUP($B2208,Jogos!$A$2:$K$105,10,FALSE))</f>
        <v/>
      </c>
      <c r="E2208" s="5" t="inlineStr"/>
      <c r="F2208" s="5" t="inlineStr"/>
      <c r="G2208" s="8">
        <f>IF($B2208="","",VLOOKUP($B2208,Jogos!$A$2:$K$105,9,FALSE))</f>
        <v/>
      </c>
      <c r="H2208" s="8">
        <f>IF($B2208="","",VLOOKUP($B2208,Jogos!$A$2:$K$105,11,FALSE))</f>
        <v/>
      </c>
      <c r="I2208" s="5">
        <f>IF(OR($A2208="", $B2208="", $E2208="", $F2208="", $G2208="", $H2208=""), "",IF(AND($E2208=$G2208, $F2208=$H2208), 3, IF(SIGN($E2208-$F2208)=SIGN($G2208-$H2208), 1, 0))))</f>
        <v/>
      </c>
    </row>
    <row r="2209">
      <c r="A2209" s="5" t="inlineStr"/>
      <c r="B2209" s="5" t="inlineStr"/>
      <c r="C2209" s="5">
        <f>IF($B2209="","",VLOOKUP($B2209,Jogos!$A$2:$K$105,8,FALSE))</f>
        <v/>
      </c>
      <c r="D2209" s="5">
        <f>IF($B2209="","",VLOOKUP($B2209,Jogos!$A$2:$K$105,10,FALSE))</f>
        <v/>
      </c>
      <c r="E2209" s="5" t="inlineStr"/>
      <c r="F2209" s="5" t="inlineStr"/>
      <c r="G2209" s="8">
        <f>IF($B2209="","",VLOOKUP($B2209,Jogos!$A$2:$K$105,9,FALSE))</f>
        <v/>
      </c>
      <c r="H2209" s="8">
        <f>IF($B2209="","",VLOOKUP($B2209,Jogos!$A$2:$K$105,11,FALSE))</f>
        <v/>
      </c>
      <c r="I2209" s="5">
        <f>IF(OR($A2209="", $B2209="", $E2209="", $F2209="", $G2209="", $H2209=""), "",IF(AND($E2209=$G2209, $F2209=$H2209), 3, IF(SIGN($E2209-$F2209)=SIGN($G2209-$H2209), 1, 0))))</f>
        <v/>
      </c>
    </row>
    <row r="2210">
      <c r="A2210" s="5" t="inlineStr"/>
      <c r="B2210" s="5" t="inlineStr"/>
      <c r="C2210" s="5">
        <f>IF($B2210="","",VLOOKUP($B2210,Jogos!$A$2:$K$105,8,FALSE))</f>
        <v/>
      </c>
      <c r="D2210" s="5">
        <f>IF($B2210="","",VLOOKUP($B2210,Jogos!$A$2:$K$105,10,FALSE))</f>
        <v/>
      </c>
      <c r="E2210" s="5" t="inlineStr"/>
      <c r="F2210" s="5" t="inlineStr"/>
      <c r="G2210" s="8">
        <f>IF($B2210="","",VLOOKUP($B2210,Jogos!$A$2:$K$105,9,FALSE))</f>
        <v/>
      </c>
      <c r="H2210" s="8">
        <f>IF($B2210="","",VLOOKUP($B2210,Jogos!$A$2:$K$105,11,FALSE))</f>
        <v/>
      </c>
      <c r="I2210" s="5">
        <f>IF(OR($A2210="", $B2210="", $E2210="", $F2210="", $G2210="", $H2210=""), "",IF(AND($E2210=$G2210, $F2210=$H2210), 3, IF(SIGN($E2210-$F2210)=SIGN($G2210-$H2210), 1, 0))))</f>
        <v/>
      </c>
    </row>
    <row r="2211">
      <c r="A2211" s="5" t="inlineStr"/>
      <c r="B2211" s="5" t="inlineStr"/>
      <c r="C2211" s="5">
        <f>IF($B2211="","",VLOOKUP($B2211,Jogos!$A$2:$K$105,8,FALSE))</f>
        <v/>
      </c>
      <c r="D2211" s="5">
        <f>IF($B2211="","",VLOOKUP($B2211,Jogos!$A$2:$K$105,10,FALSE))</f>
        <v/>
      </c>
      <c r="E2211" s="5" t="inlineStr"/>
      <c r="F2211" s="5" t="inlineStr"/>
      <c r="G2211" s="8">
        <f>IF($B2211="","",VLOOKUP($B2211,Jogos!$A$2:$K$105,9,FALSE))</f>
        <v/>
      </c>
      <c r="H2211" s="8">
        <f>IF($B2211="","",VLOOKUP($B2211,Jogos!$A$2:$K$105,11,FALSE))</f>
        <v/>
      </c>
      <c r="I2211" s="5">
        <f>IF(OR($A2211="", $B2211="", $E2211="", $F2211="", $G2211="", $H2211=""), "",IF(AND($E2211=$G2211, $F2211=$H2211), 3, IF(SIGN($E2211-$F2211)=SIGN($G2211-$H2211), 1, 0))))</f>
        <v/>
      </c>
    </row>
    <row r="2212">
      <c r="A2212" s="5" t="inlineStr"/>
      <c r="B2212" s="5" t="inlineStr"/>
      <c r="C2212" s="5">
        <f>IF($B2212="","",VLOOKUP($B2212,Jogos!$A$2:$K$105,8,FALSE))</f>
        <v/>
      </c>
      <c r="D2212" s="5">
        <f>IF($B2212="","",VLOOKUP($B2212,Jogos!$A$2:$K$105,10,FALSE))</f>
        <v/>
      </c>
      <c r="E2212" s="5" t="inlineStr"/>
      <c r="F2212" s="5" t="inlineStr"/>
      <c r="G2212" s="8">
        <f>IF($B2212="","",VLOOKUP($B2212,Jogos!$A$2:$K$105,9,FALSE))</f>
        <v/>
      </c>
      <c r="H2212" s="8">
        <f>IF($B2212="","",VLOOKUP($B2212,Jogos!$A$2:$K$105,11,FALSE))</f>
        <v/>
      </c>
      <c r="I2212" s="5">
        <f>IF(OR($A2212="", $B2212="", $E2212="", $F2212="", $G2212="", $H2212=""), "",IF(AND($E2212=$G2212, $F2212=$H2212), 3, IF(SIGN($E2212-$F2212)=SIGN($G2212-$H2212), 1, 0))))</f>
        <v/>
      </c>
    </row>
    <row r="2213">
      <c r="A2213" s="5" t="inlineStr"/>
      <c r="B2213" s="5" t="inlineStr"/>
      <c r="C2213" s="5">
        <f>IF($B2213="","",VLOOKUP($B2213,Jogos!$A$2:$K$105,8,FALSE))</f>
        <v/>
      </c>
      <c r="D2213" s="5">
        <f>IF($B2213="","",VLOOKUP($B2213,Jogos!$A$2:$K$105,10,FALSE))</f>
        <v/>
      </c>
      <c r="E2213" s="5" t="inlineStr"/>
      <c r="F2213" s="5" t="inlineStr"/>
      <c r="G2213" s="8">
        <f>IF($B2213="","",VLOOKUP($B2213,Jogos!$A$2:$K$105,9,FALSE))</f>
        <v/>
      </c>
      <c r="H2213" s="8">
        <f>IF($B2213="","",VLOOKUP($B2213,Jogos!$A$2:$K$105,11,FALSE))</f>
        <v/>
      </c>
      <c r="I2213" s="5">
        <f>IF(OR($A2213="", $B2213="", $E2213="", $F2213="", $G2213="", $H2213=""), "",IF(AND($E2213=$G2213, $F2213=$H2213), 3, IF(SIGN($E2213-$F2213)=SIGN($G2213-$H2213), 1, 0))))</f>
        <v/>
      </c>
    </row>
    <row r="2214">
      <c r="A2214" s="5" t="inlineStr"/>
      <c r="B2214" s="5" t="inlineStr"/>
      <c r="C2214" s="5">
        <f>IF($B2214="","",VLOOKUP($B2214,Jogos!$A$2:$K$105,8,FALSE))</f>
        <v/>
      </c>
      <c r="D2214" s="5">
        <f>IF($B2214="","",VLOOKUP($B2214,Jogos!$A$2:$K$105,10,FALSE))</f>
        <v/>
      </c>
      <c r="E2214" s="5" t="inlineStr"/>
      <c r="F2214" s="5" t="inlineStr"/>
      <c r="G2214" s="8">
        <f>IF($B2214="","",VLOOKUP($B2214,Jogos!$A$2:$K$105,9,FALSE))</f>
        <v/>
      </c>
      <c r="H2214" s="8">
        <f>IF($B2214="","",VLOOKUP($B2214,Jogos!$A$2:$K$105,11,FALSE))</f>
        <v/>
      </c>
      <c r="I2214" s="5">
        <f>IF(OR($A2214="", $B2214="", $E2214="", $F2214="", $G2214="", $H2214=""), "",IF(AND($E2214=$G2214, $F2214=$H2214), 3, IF(SIGN($E2214-$F2214)=SIGN($G2214-$H2214), 1, 0))))</f>
        <v/>
      </c>
    </row>
    <row r="2215">
      <c r="A2215" s="5" t="inlineStr"/>
      <c r="B2215" s="5" t="inlineStr"/>
      <c r="C2215" s="5">
        <f>IF($B2215="","",VLOOKUP($B2215,Jogos!$A$2:$K$105,8,FALSE))</f>
        <v/>
      </c>
      <c r="D2215" s="5">
        <f>IF($B2215="","",VLOOKUP($B2215,Jogos!$A$2:$K$105,10,FALSE))</f>
        <v/>
      </c>
      <c r="E2215" s="5" t="inlineStr"/>
      <c r="F2215" s="5" t="inlineStr"/>
      <c r="G2215" s="8">
        <f>IF($B2215="","",VLOOKUP($B2215,Jogos!$A$2:$K$105,9,FALSE))</f>
        <v/>
      </c>
      <c r="H2215" s="8">
        <f>IF($B2215="","",VLOOKUP($B2215,Jogos!$A$2:$K$105,11,FALSE))</f>
        <v/>
      </c>
      <c r="I2215" s="5">
        <f>IF(OR($A2215="", $B2215="", $E2215="", $F2215="", $G2215="", $H2215=""), "",IF(AND($E2215=$G2215, $F2215=$H2215), 3, IF(SIGN($E2215-$F2215)=SIGN($G2215-$H2215), 1, 0))))</f>
        <v/>
      </c>
    </row>
    <row r="2216">
      <c r="A2216" s="5" t="inlineStr"/>
      <c r="B2216" s="5" t="inlineStr"/>
      <c r="C2216" s="5">
        <f>IF($B2216="","",VLOOKUP($B2216,Jogos!$A$2:$K$105,8,FALSE))</f>
        <v/>
      </c>
      <c r="D2216" s="5">
        <f>IF($B2216="","",VLOOKUP($B2216,Jogos!$A$2:$K$105,10,FALSE))</f>
        <v/>
      </c>
      <c r="E2216" s="5" t="inlineStr"/>
      <c r="F2216" s="5" t="inlineStr"/>
      <c r="G2216" s="8">
        <f>IF($B2216="","",VLOOKUP($B2216,Jogos!$A$2:$K$105,9,FALSE))</f>
        <v/>
      </c>
      <c r="H2216" s="8">
        <f>IF($B2216="","",VLOOKUP($B2216,Jogos!$A$2:$K$105,11,FALSE))</f>
        <v/>
      </c>
      <c r="I2216" s="5">
        <f>IF(OR($A2216="", $B2216="", $E2216="", $F2216="", $G2216="", $H2216=""), "",IF(AND($E2216=$G2216, $F2216=$H2216), 3, IF(SIGN($E2216-$F2216)=SIGN($G2216-$H2216), 1, 0))))</f>
        <v/>
      </c>
    </row>
    <row r="2217">
      <c r="A2217" s="5" t="inlineStr"/>
      <c r="B2217" s="5" t="inlineStr"/>
      <c r="C2217" s="5">
        <f>IF($B2217="","",VLOOKUP($B2217,Jogos!$A$2:$K$105,8,FALSE))</f>
        <v/>
      </c>
      <c r="D2217" s="5">
        <f>IF($B2217="","",VLOOKUP($B2217,Jogos!$A$2:$K$105,10,FALSE))</f>
        <v/>
      </c>
      <c r="E2217" s="5" t="inlineStr"/>
      <c r="F2217" s="5" t="inlineStr"/>
      <c r="G2217" s="8">
        <f>IF($B2217="","",VLOOKUP($B2217,Jogos!$A$2:$K$105,9,FALSE))</f>
        <v/>
      </c>
      <c r="H2217" s="8">
        <f>IF($B2217="","",VLOOKUP($B2217,Jogos!$A$2:$K$105,11,FALSE))</f>
        <v/>
      </c>
      <c r="I2217" s="5">
        <f>IF(OR($A2217="", $B2217="", $E2217="", $F2217="", $G2217="", $H2217=""), "",IF(AND($E2217=$G2217, $F2217=$H2217), 3, IF(SIGN($E2217-$F2217)=SIGN($G2217-$H2217), 1, 0))))</f>
        <v/>
      </c>
    </row>
    <row r="2218">
      <c r="A2218" s="5" t="inlineStr"/>
      <c r="B2218" s="5" t="inlineStr"/>
      <c r="C2218" s="5">
        <f>IF($B2218="","",VLOOKUP($B2218,Jogos!$A$2:$K$105,8,FALSE))</f>
        <v/>
      </c>
      <c r="D2218" s="5">
        <f>IF($B2218="","",VLOOKUP($B2218,Jogos!$A$2:$K$105,10,FALSE))</f>
        <v/>
      </c>
      <c r="E2218" s="5" t="inlineStr"/>
      <c r="F2218" s="5" t="inlineStr"/>
      <c r="G2218" s="8">
        <f>IF($B2218="","",VLOOKUP($B2218,Jogos!$A$2:$K$105,9,FALSE))</f>
        <v/>
      </c>
      <c r="H2218" s="8">
        <f>IF($B2218="","",VLOOKUP($B2218,Jogos!$A$2:$K$105,11,FALSE))</f>
        <v/>
      </c>
      <c r="I2218" s="5">
        <f>IF(OR($A2218="", $B2218="", $E2218="", $F2218="", $G2218="", $H2218=""), "",IF(AND($E2218=$G2218, $F2218=$H2218), 3, IF(SIGN($E2218-$F2218)=SIGN($G2218-$H2218), 1, 0))))</f>
        <v/>
      </c>
    </row>
    <row r="2219">
      <c r="A2219" s="5" t="inlineStr"/>
      <c r="B2219" s="5" t="inlineStr"/>
      <c r="C2219" s="5">
        <f>IF($B2219="","",VLOOKUP($B2219,Jogos!$A$2:$K$105,8,FALSE))</f>
        <v/>
      </c>
      <c r="D2219" s="5">
        <f>IF($B2219="","",VLOOKUP($B2219,Jogos!$A$2:$K$105,10,FALSE))</f>
        <v/>
      </c>
      <c r="E2219" s="5" t="inlineStr"/>
      <c r="F2219" s="5" t="inlineStr"/>
      <c r="G2219" s="8">
        <f>IF($B2219="","",VLOOKUP($B2219,Jogos!$A$2:$K$105,9,FALSE))</f>
        <v/>
      </c>
      <c r="H2219" s="8">
        <f>IF($B2219="","",VLOOKUP($B2219,Jogos!$A$2:$K$105,11,FALSE))</f>
        <v/>
      </c>
      <c r="I2219" s="5">
        <f>IF(OR($A2219="", $B2219="", $E2219="", $F2219="", $G2219="", $H2219=""), "",IF(AND($E2219=$G2219, $F2219=$H2219), 3, IF(SIGN($E2219-$F2219)=SIGN($G2219-$H2219), 1, 0))))</f>
        <v/>
      </c>
    </row>
    <row r="2220">
      <c r="A2220" s="5" t="inlineStr"/>
      <c r="B2220" s="5" t="inlineStr"/>
      <c r="C2220" s="5">
        <f>IF($B2220="","",VLOOKUP($B2220,Jogos!$A$2:$K$105,8,FALSE))</f>
        <v/>
      </c>
      <c r="D2220" s="5">
        <f>IF($B2220="","",VLOOKUP($B2220,Jogos!$A$2:$K$105,10,FALSE))</f>
        <v/>
      </c>
      <c r="E2220" s="5" t="inlineStr"/>
      <c r="F2220" s="5" t="inlineStr"/>
      <c r="G2220" s="8">
        <f>IF($B2220="","",VLOOKUP($B2220,Jogos!$A$2:$K$105,9,FALSE))</f>
        <v/>
      </c>
      <c r="H2220" s="8">
        <f>IF($B2220="","",VLOOKUP($B2220,Jogos!$A$2:$K$105,11,FALSE))</f>
        <v/>
      </c>
      <c r="I2220" s="5">
        <f>IF(OR($A2220="", $B2220="", $E2220="", $F2220="", $G2220="", $H2220=""), "",IF(AND($E2220=$G2220, $F2220=$H2220), 3, IF(SIGN($E2220-$F2220)=SIGN($G2220-$H2220), 1, 0))))</f>
        <v/>
      </c>
    </row>
    <row r="2221">
      <c r="A2221" s="5" t="inlineStr"/>
      <c r="B2221" s="5" t="inlineStr"/>
      <c r="C2221" s="5">
        <f>IF($B2221="","",VLOOKUP($B2221,Jogos!$A$2:$K$105,8,FALSE))</f>
        <v/>
      </c>
      <c r="D2221" s="5">
        <f>IF($B2221="","",VLOOKUP($B2221,Jogos!$A$2:$K$105,10,FALSE))</f>
        <v/>
      </c>
      <c r="E2221" s="5" t="inlineStr"/>
      <c r="F2221" s="5" t="inlineStr"/>
      <c r="G2221" s="8">
        <f>IF($B2221="","",VLOOKUP($B2221,Jogos!$A$2:$K$105,9,FALSE))</f>
        <v/>
      </c>
      <c r="H2221" s="8">
        <f>IF($B2221="","",VLOOKUP($B2221,Jogos!$A$2:$K$105,11,FALSE))</f>
        <v/>
      </c>
      <c r="I2221" s="5">
        <f>IF(OR($A2221="", $B2221="", $E2221="", $F2221="", $G2221="", $H2221=""), "",IF(AND($E2221=$G2221, $F2221=$H2221), 3, IF(SIGN($E2221-$F2221)=SIGN($G2221-$H2221), 1, 0))))</f>
        <v/>
      </c>
    </row>
    <row r="2222">
      <c r="A2222" s="5" t="inlineStr"/>
      <c r="B2222" s="5" t="inlineStr"/>
      <c r="C2222" s="5">
        <f>IF($B2222="","",VLOOKUP($B2222,Jogos!$A$2:$K$105,8,FALSE))</f>
        <v/>
      </c>
      <c r="D2222" s="5">
        <f>IF($B2222="","",VLOOKUP($B2222,Jogos!$A$2:$K$105,10,FALSE))</f>
        <v/>
      </c>
      <c r="E2222" s="5" t="inlineStr"/>
      <c r="F2222" s="5" t="inlineStr"/>
      <c r="G2222" s="8">
        <f>IF($B2222="","",VLOOKUP($B2222,Jogos!$A$2:$K$105,9,FALSE))</f>
        <v/>
      </c>
      <c r="H2222" s="8">
        <f>IF($B2222="","",VLOOKUP($B2222,Jogos!$A$2:$K$105,11,FALSE))</f>
        <v/>
      </c>
      <c r="I2222" s="5">
        <f>IF(OR($A2222="", $B2222="", $E2222="", $F2222="", $G2222="", $H2222=""), "",IF(AND($E2222=$G2222, $F2222=$H2222), 3, IF(SIGN($E2222-$F2222)=SIGN($G2222-$H2222), 1, 0))))</f>
        <v/>
      </c>
    </row>
    <row r="2223">
      <c r="A2223" s="5" t="inlineStr"/>
      <c r="B2223" s="5" t="inlineStr"/>
      <c r="C2223" s="5">
        <f>IF($B2223="","",VLOOKUP($B2223,Jogos!$A$2:$K$105,8,FALSE))</f>
        <v/>
      </c>
      <c r="D2223" s="5">
        <f>IF($B2223="","",VLOOKUP($B2223,Jogos!$A$2:$K$105,10,FALSE))</f>
        <v/>
      </c>
      <c r="E2223" s="5" t="inlineStr"/>
      <c r="F2223" s="5" t="inlineStr"/>
      <c r="G2223" s="8">
        <f>IF($B2223="","",VLOOKUP($B2223,Jogos!$A$2:$K$105,9,FALSE))</f>
        <v/>
      </c>
      <c r="H2223" s="8">
        <f>IF($B2223="","",VLOOKUP($B2223,Jogos!$A$2:$K$105,11,FALSE))</f>
        <v/>
      </c>
      <c r="I2223" s="5">
        <f>IF(OR($A2223="", $B2223="", $E2223="", $F2223="", $G2223="", $H2223=""), "",IF(AND($E2223=$G2223, $F2223=$H2223), 3, IF(SIGN($E2223-$F2223)=SIGN($G2223-$H2223), 1, 0))))</f>
        <v/>
      </c>
    </row>
    <row r="2224">
      <c r="A2224" s="5" t="inlineStr"/>
      <c r="B2224" s="5" t="inlineStr"/>
      <c r="C2224" s="5">
        <f>IF($B2224="","",VLOOKUP($B2224,Jogos!$A$2:$K$105,8,FALSE))</f>
        <v/>
      </c>
      <c r="D2224" s="5">
        <f>IF($B2224="","",VLOOKUP($B2224,Jogos!$A$2:$K$105,10,FALSE))</f>
        <v/>
      </c>
      <c r="E2224" s="5" t="inlineStr"/>
      <c r="F2224" s="5" t="inlineStr"/>
      <c r="G2224" s="8">
        <f>IF($B2224="","",VLOOKUP($B2224,Jogos!$A$2:$K$105,9,FALSE))</f>
        <v/>
      </c>
      <c r="H2224" s="8">
        <f>IF($B2224="","",VLOOKUP($B2224,Jogos!$A$2:$K$105,11,FALSE))</f>
        <v/>
      </c>
      <c r="I2224" s="5">
        <f>IF(OR($A2224="", $B2224="", $E2224="", $F2224="", $G2224="", $H2224=""), "",IF(AND($E2224=$G2224, $F2224=$H2224), 3, IF(SIGN($E2224-$F2224)=SIGN($G2224-$H2224), 1, 0))))</f>
        <v/>
      </c>
    </row>
    <row r="2225">
      <c r="A2225" s="5" t="inlineStr"/>
      <c r="B2225" s="5" t="inlineStr"/>
      <c r="C2225" s="5">
        <f>IF($B2225="","",VLOOKUP($B2225,Jogos!$A$2:$K$105,8,FALSE))</f>
        <v/>
      </c>
      <c r="D2225" s="5">
        <f>IF($B2225="","",VLOOKUP($B2225,Jogos!$A$2:$K$105,10,FALSE))</f>
        <v/>
      </c>
      <c r="E2225" s="5" t="inlineStr"/>
      <c r="F2225" s="5" t="inlineStr"/>
      <c r="G2225" s="8">
        <f>IF($B2225="","",VLOOKUP($B2225,Jogos!$A$2:$K$105,9,FALSE))</f>
        <v/>
      </c>
      <c r="H2225" s="8">
        <f>IF($B2225="","",VLOOKUP($B2225,Jogos!$A$2:$K$105,11,FALSE))</f>
        <v/>
      </c>
      <c r="I2225" s="5">
        <f>IF(OR($A2225="", $B2225="", $E2225="", $F2225="", $G2225="", $H2225=""), "",IF(AND($E2225=$G2225, $F2225=$H2225), 3, IF(SIGN($E2225-$F2225)=SIGN($G2225-$H2225), 1, 0))))</f>
        <v/>
      </c>
    </row>
    <row r="2226">
      <c r="A2226" s="5" t="inlineStr"/>
      <c r="B2226" s="5" t="inlineStr"/>
      <c r="C2226" s="5">
        <f>IF($B2226="","",VLOOKUP($B2226,Jogos!$A$2:$K$105,8,FALSE))</f>
        <v/>
      </c>
      <c r="D2226" s="5">
        <f>IF($B2226="","",VLOOKUP($B2226,Jogos!$A$2:$K$105,10,FALSE))</f>
        <v/>
      </c>
      <c r="E2226" s="5" t="inlineStr"/>
      <c r="F2226" s="5" t="inlineStr"/>
      <c r="G2226" s="8">
        <f>IF($B2226="","",VLOOKUP($B2226,Jogos!$A$2:$K$105,9,FALSE))</f>
        <v/>
      </c>
      <c r="H2226" s="8">
        <f>IF($B2226="","",VLOOKUP($B2226,Jogos!$A$2:$K$105,11,FALSE))</f>
        <v/>
      </c>
      <c r="I2226" s="5">
        <f>IF(OR($A2226="", $B2226="", $E2226="", $F2226="", $G2226="", $H2226=""), "",IF(AND($E2226=$G2226, $F2226=$H2226), 3, IF(SIGN($E2226-$F2226)=SIGN($G2226-$H2226), 1, 0))))</f>
        <v/>
      </c>
    </row>
    <row r="2227">
      <c r="A2227" s="5" t="inlineStr"/>
      <c r="B2227" s="5" t="inlineStr"/>
      <c r="C2227" s="5">
        <f>IF($B2227="","",VLOOKUP($B2227,Jogos!$A$2:$K$105,8,FALSE))</f>
        <v/>
      </c>
      <c r="D2227" s="5">
        <f>IF($B2227="","",VLOOKUP($B2227,Jogos!$A$2:$K$105,10,FALSE))</f>
        <v/>
      </c>
      <c r="E2227" s="5" t="inlineStr"/>
      <c r="F2227" s="5" t="inlineStr"/>
      <c r="G2227" s="8">
        <f>IF($B2227="","",VLOOKUP($B2227,Jogos!$A$2:$K$105,9,FALSE))</f>
        <v/>
      </c>
      <c r="H2227" s="8">
        <f>IF($B2227="","",VLOOKUP($B2227,Jogos!$A$2:$K$105,11,FALSE))</f>
        <v/>
      </c>
      <c r="I2227" s="5">
        <f>IF(OR($A2227="", $B2227="", $E2227="", $F2227="", $G2227="", $H2227=""), "",IF(AND($E2227=$G2227, $F2227=$H2227), 3, IF(SIGN($E2227-$F2227)=SIGN($G2227-$H2227), 1, 0))))</f>
        <v/>
      </c>
    </row>
    <row r="2228">
      <c r="A2228" s="5" t="inlineStr"/>
      <c r="B2228" s="5" t="inlineStr"/>
      <c r="C2228" s="5">
        <f>IF($B2228="","",VLOOKUP($B2228,Jogos!$A$2:$K$105,8,FALSE))</f>
        <v/>
      </c>
      <c r="D2228" s="5">
        <f>IF($B2228="","",VLOOKUP($B2228,Jogos!$A$2:$K$105,10,FALSE))</f>
        <v/>
      </c>
      <c r="E2228" s="5" t="inlineStr"/>
      <c r="F2228" s="5" t="inlineStr"/>
      <c r="G2228" s="8">
        <f>IF($B2228="","",VLOOKUP($B2228,Jogos!$A$2:$K$105,9,FALSE))</f>
        <v/>
      </c>
      <c r="H2228" s="8">
        <f>IF($B2228="","",VLOOKUP($B2228,Jogos!$A$2:$K$105,11,FALSE))</f>
        <v/>
      </c>
      <c r="I2228" s="5">
        <f>IF(OR($A2228="", $B2228="", $E2228="", $F2228="", $G2228="", $H2228=""), "",IF(AND($E2228=$G2228, $F2228=$H2228), 3, IF(SIGN($E2228-$F2228)=SIGN($G2228-$H2228), 1, 0))))</f>
        <v/>
      </c>
    </row>
    <row r="2229">
      <c r="A2229" s="5" t="inlineStr"/>
      <c r="B2229" s="5" t="inlineStr"/>
      <c r="C2229" s="5">
        <f>IF($B2229="","",VLOOKUP($B2229,Jogos!$A$2:$K$105,8,FALSE))</f>
        <v/>
      </c>
      <c r="D2229" s="5">
        <f>IF($B2229="","",VLOOKUP($B2229,Jogos!$A$2:$K$105,10,FALSE))</f>
        <v/>
      </c>
      <c r="E2229" s="5" t="inlineStr"/>
      <c r="F2229" s="5" t="inlineStr"/>
      <c r="G2229" s="8">
        <f>IF($B2229="","",VLOOKUP($B2229,Jogos!$A$2:$K$105,9,FALSE))</f>
        <v/>
      </c>
      <c r="H2229" s="8">
        <f>IF($B2229="","",VLOOKUP($B2229,Jogos!$A$2:$K$105,11,FALSE))</f>
        <v/>
      </c>
      <c r="I2229" s="5">
        <f>IF(OR($A2229="", $B2229="", $E2229="", $F2229="", $G2229="", $H2229=""), "",IF(AND($E2229=$G2229, $F2229=$H2229), 3, IF(SIGN($E2229-$F2229)=SIGN($G2229-$H2229), 1, 0))))</f>
        <v/>
      </c>
    </row>
    <row r="2230">
      <c r="A2230" s="5" t="inlineStr"/>
      <c r="B2230" s="5" t="inlineStr"/>
      <c r="C2230" s="5">
        <f>IF($B2230="","",VLOOKUP($B2230,Jogos!$A$2:$K$105,8,FALSE))</f>
        <v/>
      </c>
      <c r="D2230" s="5">
        <f>IF($B2230="","",VLOOKUP($B2230,Jogos!$A$2:$K$105,10,FALSE))</f>
        <v/>
      </c>
      <c r="E2230" s="5" t="inlineStr"/>
      <c r="F2230" s="5" t="inlineStr"/>
      <c r="G2230" s="8">
        <f>IF($B2230="","",VLOOKUP($B2230,Jogos!$A$2:$K$105,9,FALSE))</f>
        <v/>
      </c>
      <c r="H2230" s="8">
        <f>IF($B2230="","",VLOOKUP($B2230,Jogos!$A$2:$K$105,11,FALSE))</f>
        <v/>
      </c>
      <c r="I2230" s="5">
        <f>IF(OR($A2230="", $B2230="", $E2230="", $F2230="", $G2230="", $H2230=""), "",IF(AND($E2230=$G2230, $F2230=$H2230), 3, IF(SIGN($E2230-$F2230)=SIGN($G2230-$H2230), 1, 0))))</f>
        <v/>
      </c>
    </row>
    <row r="2231">
      <c r="A2231" s="5" t="inlineStr"/>
      <c r="B2231" s="5" t="inlineStr"/>
      <c r="C2231" s="5">
        <f>IF($B2231="","",VLOOKUP($B2231,Jogos!$A$2:$K$105,8,FALSE))</f>
        <v/>
      </c>
      <c r="D2231" s="5">
        <f>IF($B2231="","",VLOOKUP($B2231,Jogos!$A$2:$K$105,10,FALSE))</f>
        <v/>
      </c>
      <c r="E2231" s="5" t="inlineStr"/>
      <c r="F2231" s="5" t="inlineStr"/>
      <c r="G2231" s="8">
        <f>IF($B2231="","",VLOOKUP($B2231,Jogos!$A$2:$K$105,9,FALSE))</f>
        <v/>
      </c>
      <c r="H2231" s="8">
        <f>IF($B2231="","",VLOOKUP($B2231,Jogos!$A$2:$K$105,11,FALSE))</f>
        <v/>
      </c>
      <c r="I2231" s="5">
        <f>IF(OR($A2231="", $B2231="", $E2231="", $F2231="", $G2231="", $H2231=""), "",IF(AND($E2231=$G2231, $F2231=$H2231), 3, IF(SIGN($E2231-$F2231)=SIGN($G2231-$H2231), 1, 0))))</f>
        <v/>
      </c>
    </row>
    <row r="2232">
      <c r="A2232" s="5" t="inlineStr"/>
      <c r="B2232" s="5" t="inlineStr"/>
      <c r="C2232" s="5">
        <f>IF($B2232="","",VLOOKUP($B2232,Jogos!$A$2:$K$105,8,FALSE))</f>
        <v/>
      </c>
      <c r="D2232" s="5">
        <f>IF($B2232="","",VLOOKUP($B2232,Jogos!$A$2:$K$105,10,FALSE))</f>
        <v/>
      </c>
      <c r="E2232" s="5" t="inlineStr"/>
      <c r="F2232" s="5" t="inlineStr"/>
      <c r="G2232" s="8">
        <f>IF($B2232="","",VLOOKUP($B2232,Jogos!$A$2:$K$105,9,FALSE))</f>
        <v/>
      </c>
      <c r="H2232" s="8">
        <f>IF($B2232="","",VLOOKUP($B2232,Jogos!$A$2:$K$105,11,FALSE))</f>
        <v/>
      </c>
      <c r="I2232" s="5">
        <f>IF(OR($A2232="", $B2232="", $E2232="", $F2232="", $G2232="", $H2232=""), "",IF(AND($E2232=$G2232, $F2232=$H2232), 3, IF(SIGN($E2232-$F2232)=SIGN($G2232-$H2232), 1, 0))))</f>
        <v/>
      </c>
    </row>
    <row r="2233">
      <c r="A2233" s="5" t="inlineStr"/>
      <c r="B2233" s="5" t="inlineStr"/>
      <c r="C2233" s="5">
        <f>IF($B2233="","",VLOOKUP($B2233,Jogos!$A$2:$K$105,8,FALSE))</f>
        <v/>
      </c>
      <c r="D2233" s="5">
        <f>IF($B2233="","",VLOOKUP($B2233,Jogos!$A$2:$K$105,10,FALSE))</f>
        <v/>
      </c>
      <c r="E2233" s="5" t="inlineStr"/>
      <c r="F2233" s="5" t="inlineStr"/>
      <c r="G2233" s="8">
        <f>IF($B2233="","",VLOOKUP($B2233,Jogos!$A$2:$K$105,9,FALSE))</f>
        <v/>
      </c>
      <c r="H2233" s="8">
        <f>IF($B2233="","",VLOOKUP($B2233,Jogos!$A$2:$K$105,11,FALSE))</f>
        <v/>
      </c>
      <c r="I2233" s="5">
        <f>IF(OR($A2233="", $B2233="", $E2233="", $F2233="", $G2233="", $H2233=""), "",IF(AND($E2233=$G2233, $F2233=$H2233), 3, IF(SIGN($E2233-$F2233)=SIGN($G2233-$H2233), 1, 0))))</f>
        <v/>
      </c>
    </row>
    <row r="2234">
      <c r="A2234" s="5" t="inlineStr"/>
      <c r="B2234" s="5" t="inlineStr"/>
      <c r="C2234" s="5">
        <f>IF($B2234="","",VLOOKUP($B2234,Jogos!$A$2:$K$105,8,FALSE))</f>
        <v/>
      </c>
      <c r="D2234" s="5">
        <f>IF($B2234="","",VLOOKUP($B2234,Jogos!$A$2:$K$105,10,FALSE))</f>
        <v/>
      </c>
      <c r="E2234" s="5" t="inlineStr"/>
      <c r="F2234" s="5" t="inlineStr"/>
      <c r="G2234" s="8">
        <f>IF($B2234="","",VLOOKUP($B2234,Jogos!$A$2:$K$105,9,FALSE))</f>
        <v/>
      </c>
      <c r="H2234" s="8">
        <f>IF($B2234="","",VLOOKUP($B2234,Jogos!$A$2:$K$105,11,FALSE))</f>
        <v/>
      </c>
      <c r="I2234" s="5">
        <f>IF(OR($A2234="", $B2234="", $E2234="", $F2234="", $G2234="", $H2234=""), "",IF(AND($E2234=$G2234, $F2234=$H2234), 3, IF(SIGN($E2234-$F2234)=SIGN($G2234-$H2234), 1, 0))))</f>
        <v/>
      </c>
    </row>
    <row r="2235">
      <c r="A2235" s="5" t="inlineStr"/>
      <c r="B2235" s="5" t="inlineStr"/>
      <c r="C2235" s="5">
        <f>IF($B2235="","",VLOOKUP($B2235,Jogos!$A$2:$K$105,8,FALSE))</f>
        <v/>
      </c>
      <c r="D2235" s="5">
        <f>IF($B2235="","",VLOOKUP($B2235,Jogos!$A$2:$K$105,10,FALSE))</f>
        <v/>
      </c>
      <c r="E2235" s="5" t="inlineStr"/>
      <c r="F2235" s="5" t="inlineStr"/>
      <c r="G2235" s="8">
        <f>IF($B2235="","",VLOOKUP($B2235,Jogos!$A$2:$K$105,9,FALSE))</f>
        <v/>
      </c>
      <c r="H2235" s="8">
        <f>IF($B2235="","",VLOOKUP($B2235,Jogos!$A$2:$K$105,11,FALSE))</f>
        <v/>
      </c>
      <c r="I2235" s="5">
        <f>IF(OR($A2235="", $B2235="", $E2235="", $F2235="", $G2235="", $H2235=""), "",IF(AND($E2235=$G2235, $F2235=$H2235), 3, IF(SIGN($E2235-$F2235)=SIGN($G2235-$H2235), 1, 0))))</f>
        <v/>
      </c>
    </row>
    <row r="2236">
      <c r="A2236" s="5" t="inlineStr"/>
      <c r="B2236" s="5" t="inlineStr"/>
      <c r="C2236" s="5">
        <f>IF($B2236="","",VLOOKUP($B2236,Jogos!$A$2:$K$105,8,FALSE))</f>
        <v/>
      </c>
      <c r="D2236" s="5">
        <f>IF($B2236="","",VLOOKUP($B2236,Jogos!$A$2:$K$105,10,FALSE))</f>
        <v/>
      </c>
      <c r="E2236" s="5" t="inlineStr"/>
      <c r="F2236" s="5" t="inlineStr"/>
      <c r="G2236" s="8">
        <f>IF($B2236="","",VLOOKUP($B2236,Jogos!$A$2:$K$105,9,FALSE))</f>
        <v/>
      </c>
      <c r="H2236" s="8">
        <f>IF($B2236="","",VLOOKUP($B2236,Jogos!$A$2:$K$105,11,FALSE))</f>
        <v/>
      </c>
      <c r="I2236" s="5">
        <f>IF(OR($A2236="", $B2236="", $E2236="", $F2236="", $G2236="", $H2236=""), "",IF(AND($E2236=$G2236, $F2236=$H2236), 3, IF(SIGN($E2236-$F2236)=SIGN($G2236-$H2236), 1, 0))))</f>
        <v/>
      </c>
    </row>
    <row r="2237">
      <c r="A2237" s="5" t="inlineStr"/>
      <c r="B2237" s="5" t="inlineStr"/>
      <c r="C2237" s="5">
        <f>IF($B2237="","",VLOOKUP($B2237,Jogos!$A$2:$K$105,8,FALSE))</f>
        <v/>
      </c>
      <c r="D2237" s="5">
        <f>IF($B2237="","",VLOOKUP($B2237,Jogos!$A$2:$K$105,10,FALSE))</f>
        <v/>
      </c>
      <c r="E2237" s="5" t="inlineStr"/>
      <c r="F2237" s="5" t="inlineStr"/>
      <c r="G2237" s="8">
        <f>IF($B2237="","",VLOOKUP($B2237,Jogos!$A$2:$K$105,9,FALSE))</f>
        <v/>
      </c>
      <c r="H2237" s="8">
        <f>IF($B2237="","",VLOOKUP($B2237,Jogos!$A$2:$K$105,11,FALSE))</f>
        <v/>
      </c>
      <c r="I2237" s="5">
        <f>IF(OR($A2237="", $B2237="", $E2237="", $F2237="", $G2237="", $H2237=""), "",IF(AND($E2237=$G2237, $F2237=$H2237), 3, IF(SIGN($E2237-$F2237)=SIGN($G2237-$H2237), 1, 0))))</f>
        <v/>
      </c>
    </row>
    <row r="2238">
      <c r="A2238" s="5" t="inlineStr"/>
      <c r="B2238" s="5" t="inlineStr"/>
      <c r="C2238" s="5">
        <f>IF($B2238="","",VLOOKUP($B2238,Jogos!$A$2:$K$105,8,FALSE))</f>
        <v/>
      </c>
      <c r="D2238" s="5">
        <f>IF($B2238="","",VLOOKUP($B2238,Jogos!$A$2:$K$105,10,FALSE))</f>
        <v/>
      </c>
      <c r="E2238" s="5" t="inlineStr"/>
      <c r="F2238" s="5" t="inlineStr"/>
      <c r="G2238" s="8">
        <f>IF($B2238="","",VLOOKUP($B2238,Jogos!$A$2:$K$105,9,FALSE))</f>
        <v/>
      </c>
      <c r="H2238" s="8">
        <f>IF($B2238="","",VLOOKUP($B2238,Jogos!$A$2:$K$105,11,FALSE))</f>
        <v/>
      </c>
      <c r="I2238" s="5">
        <f>IF(OR($A2238="", $B2238="", $E2238="", $F2238="", $G2238="", $H2238=""), "",IF(AND($E2238=$G2238, $F2238=$H2238), 3, IF(SIGN($E2238-$F2238)=SIGN($G2238-$H2238), 1, 0))))</f>
        <v/>
      </c>
    </row>
    <row r="2239">
      <c r="A2239" s="5" t="inlineStr"/>
      <c r="B2239" s="5" t="inlineStr"/>
      <c r="C2239" s="5">
        <f>IF($B2239="","",VLOOKUP($B2239,Jogos!$A$2:$K$105,8,FALSE))</f>
        <v/>
      </c>
      <c r="D2239" s="5">
        <f>IF($B2239="","",VLOOKUP($B2239,Jogos!$A$2:$K$105,10,FALSE))</f>
        <v/>
      </c>
      <c r="E2239" s="5" t="inlineStr"/>
      <c r="F2239" s="5" t="inlineStr"/>
      <c r="G2239" s="8">
        <f>IF($B2239="","",VLOOKUP($B2239,Jogos!$A$2:$K$105,9,FALSE))</f>
        <v/>
      </c>
      <c r="H2239" s="8">
        <f>IF($B2239="","",VLOOKUP($B2239,Jogos!$A$2:$K$105,11,FALSE))</f>
        <v/>
      </c>
      <c r="I2239" s="5">
        <f>IF(OR($A2239="", $B2239="", $E2239="", $F2239="", $G2239="", $H2239=""), "",IF(AND($E2239=$G2239, $F2239=$H2239), 3, IF(SIGN($E2239-$F2239)=SIGN($G2239-$H2239), 1, 0))))</f>
        <v/>
      </c>
    </row>
    <row r="2240">
      <c r="A2240" s="5" t="inlineStr"/>
      <c r="B2240" s="5" t="inlineStr"/>
      <c r="C2240" s="5">
        <f>IF($B2240="","",VLOOKUP($B2240,Jogos!$A$2:$K$105,8,FALSE))</f>
        <v/>
      </c>
      <c r="D2240" s="5">
        <f>IF($B2240="","",VLOOKUP($B2240,Jogos!$A$2:$K$105,10,FALSE))</f>
        <v/>
      </c>
      <c r="E2240" s="5" t="inlineStr"/>
      <c r="F2240" s="5" t="inlineStr"/>
      <c r="G2240" s="8">
        <f>IF($B2240="","",VLOOKUP($B2240,Jogos!$A$2:$K$105,9,FALSE))</f>
        <v/>
      </c>
      <c r="H2240" s="8">
        <f>IF($B2240="","",VLOOKUP($B2240,Jogos!$A$2:$K$105,11,FALSE))</f>
        <v/>
      </c>
      <c r="I2240" s="5">
        <f>IF(OR($A2240="", $B2240="", $E2240="", $F2240="", $G2240="", $H2240=""), "",IF(AND($E2240=$G2240, $F2240=$H2240), 3, IF(SIGN($E2240-$F2240)=SIGN($G2240-$H2240), 1, 0))))</f>
        <v/>
      </c>
    </row>
    <row r="2241">
      <c r="A2241" s="5" t="inlineStr"/>
      <c r="B2241" s="5" t="inlineStr"/>
      <c r="C2241" s="5">
        <f>IF($B2241="","",VLOOKUP($B2241,Jogos!$A$2:$K$105,8,FALSE))</f>
        <v/>
      </c>
      <c r="D2241" s="5">
        <f>IF($B2241="","",VLOOKUP($B2241,Jogos!$A$2:$K$105,10,FALSE))</f>
        <v/>
      </c>
      <c r="E2241" s="5" t="inlineStr"/>
      <c r="F2241" s="5" t="inlineStr"/>
      <c r="G2241" s="8">
        <f>IF($B2241="","",VLOOKUP($B2241,Jogos!$A$2:$K$105,9,FALSE))</f>
        <v/>
      </c>
      <c r="H2241" s="8">
        <f>IF($B2241="","",VLOOKUP($B2241,Jogos!$A$2:$K$105,11,FALSE))</f>
        <v/>
      </c>
      <c r="I2241" s="5">
        <f>IF(OR($A2241="", $B2241="", $E2241="", $F2241="", $G2241="", $H2241=""), "",IF(AND($E2241=$G2241, $F2241=$H2241), 3, IF(SIGN($E2241-$F2241)=SIGN($G2241-$H2241), 1, 0))))</f>
        <v/>
      </c>
    </row>
    <row r="2242">
      <c r="A2242" s="5" t="inlineStr"/>
      <c r="B2242" s="5" t="inlineStr"/>
      <c r="C2242" s="5">
        <f>IF($B2242="","",VLOOKUP($B2242,Jogos!$A$2:$K$105,8,FALSE))</f>
        <v/>
      </c>
      <c r="D2242" s="5">
        <f>IF($B2242="","",VLOOKUP($B2242,Jogos!$A$2:$K$105,10,FALSE))</f>
        <v/>
      </c>
      <c r="E2242" s="5" t="inlineStr"/>
      <c r="F2242" s="5" t="inlineStr"/>
      <c r="G2242" s="8">
        <f>IF($B2242="","",VLOOKUP($B2242,Jogos!$A$2:$K$105,9,FALSE))</f>
        <v/>
      </c>
      <c r="H2242" s="8">
        <f>IF($B2242="","",VLOOKUP($B2242,Jogos!$A$2:$K$105,11,FALSE))</f>
        <v/>
      </c>
      <c r="I2242" s="5">
        <f>IF(OR($A2242="", $B2242="", $E2242="", $F2242="", $G2242="", $H2242=""), "",IF(AND($E2242=$G2242, $F2242=$H2242), 3, IF(SIGN($E2242-$F2242)=SIGN($G2242-$H2242), 1, 0))))</f>
        <v/>
      </c>
    </row>
    <row r="2243">
      <c r="A2243" s="5" t="inlineStr"/>
      <c r="B2243" s="5" t="inlineStr"/>
      <c r="C2243" s="5">
        <f>IF($B2243="","",VLOOKUP($B2243,Jogos!$A$2:$K$105,8,FALSE))</f>
        <v/>
      </c>
      <c r="D2243" s="5">
        <f>IF($B2243="","",VLOOKUP($B2243,Jogos!$A$2:$K$105,10,FALSE))</f>
        <v/>
      </c>
      <c r="E2243" s="5" t="inlineStr"/>
      <c r="F2243" s="5" t="inlineStr"/>
      <c r="G2243" s="8">
        <f>IF($B2243="","",VLOOKUP($B2243,Jogos!$A$2:$K$105,9,FALSE))</f>
        <v/>
      </c>
      <c r="H2243" s="8">
        <f>IF($B2243="","",VLOOKUP($B2243,Jogos!$A$2:$K$105,11,FALSE))</f>
        <v/>
      </c>
      <c r="I2243" s="5">
        <f>IF(OR($A2243="", $B2243="", $E2243="", $F2243="", $G2243="", $H2243=""), "",IF(AND($E2243=$G2243, $F2243=$H2243), 3, IF(SIGN($E2243-$F2243)=SIGN($G2243-$H2243), 1, 0))))</f>
        <v/>
      </c>
    </row>
    <row r="2244">
      <c r="A2244" s="5" t="inlineStr"/>
      <c r="B2244" s="5" t="inlineStr"/>
      <c r="C2244" s="5">
        <f>IF($B2244="","",VLOOKUP($B2244,Jogos!$A$2:$K$105,8,FALSE))</f>
        <v/>
      </c>
      <c r="D2244" s="5">
        <f>IF($B2244="","",VLOOKUP($B2244,Jogos!$A$2:$K$105,10,FALSE))</f>
        <v/>
      </c>
      <c r="E2244" s="5" t="inlineStr"/>
      <c r="F2244" s="5" t="inlineStr"/>
      <c r="G2244" s="8">
        <f>IF($B2244="","",VLOOKUP($B2244,Jogos!$A$2:$K$105,9,FALSE))</f>
        <v/>
      </c>
      <c r="H2244" s="8">
        <f>IF($B2244="","",VLOOKUP($B2244,Jogos!$A$2:$K$105,11,FALSE))</f>
        <v/>
      </c>
      <c r="I2244" s="5">
        <f>IF(OR($A2244="", $B2244="", $E2244="", $F2244="", $G2244="", $H2244=""), "",IF(AND($E2244=$G2244, $F2244=$H2244), 3, IF(SIGN($E2244-$F2244)=SIGN($G2244-$H2244), 1, 0))))</f>
        <v/>
      </c>
    </row>
    <row r="2245">
      <c r="A2245" s="5" t="inlineStr"/>
      <c r="B2245" s="5" t="inlineStr"/>
      <c r="C2245" s="5">
        <f>IF($B2245="","",VLOOKUP($B2245,Jogos!$A$2:$K$105,8,FALSE))</f>
        <v/>
      </c>
      <c r="D2245" s="5">
        <f>IF($B2245="","",VLOOKUP($B2245,Jogos!$A$2:$K$105,10,FALSE))</f>
        <v/>
      </c>
      <c r="E2245" s="5" t="inlineStr"/>
      <c r="F2245" s="5" t="inlineStr"/>
      <c r="G2245" s="8">
        <f>IF($B2245="","",VLOOKUP($B2245,Jogos!$A$2:$K$105,9,FALSE))</f>
        <v/>
      </c>
      <c r="H2245" s="8">
        <f>IF($B2245="","",VLOOKUP($B2245,Jogos!$A$2:$K$105,11,FALSE))</f>
        <v/>
      </c>
      <c r="I2245" s="5">
        <f>IF(OR($A2245="", $B2245="", $E2245="", $F2245="", $G2245="", $H2245=""), "",IF(AND($E2245=$G2245, $F2245=$H2245), 3, IF(SIGN($E2245-$F2245)=SIGN($G2245-$H2245), 1, 0))))</f>
        <v/>
      </c>
    </row>
    <row r="2246">
      <c r="A2246" s="5" t="inlineStr"/>
      <c r="B2246" s="5" t="inlineStr"/>
      <c r="C2246" s="5">
        <f>IF($B2246="","",VLOOKUP($B2246,Jogos!$A$2:$K$105,8,FALSE))</f>
        <v/>
      </c>
      <c r="D2246" s="5">
        <f>IF($B2246="","",VLOOKUP($B2246,Jogos!$A$2:$K$105,10,FALSE))</f>
        <v/>
      </c>
      <c r="E2246" s="5" t="inlineStr"/>
      <c r="F2246" s="5" t="inlineStr"/>
      <c r="G2246" s="8">
        <f>IF($B2246="","",VLOOKUP($B2246,Jogos!$A$2:$K$105,9,FALSE))</f>
        <v/>
      </c>
      <c r="H2246" s="8">
        <f>IF($B2246="","",VLOOKUP($B2246,Jogos!$A$2:$K$105,11,FALSE))</f>
        <v/>
      </c>
      <c r="I2246" s="5">
        <f>IF(OR($A2246="", $B2246="", $E2246="", $F2246="", $G2246="", $H2246=""), "",IF(AND($E2246=$G2246, $F2246=$H2246), 3, IF(SIGN($E2246-$F2246)=SIGN($G2246-$H2246), 1, 0))))</f>
        <v/>
      </c>
    </row>
    <row r="2247">
      <c r="A2247" s="5" t="inlineStr"/>
      <c r="B2247" s="5" t="inlineStr"/>
      <c r="C2247" s="5">
        <f>IF($B2247="","",VLOOKUP($B2247,Jogos!$A$2:$K$105,8,FALSE))</f>
        <v/>
      </c>
      <c r="D2247" s="5">
        <f>IF($B2247="","",VLOOKUP($B2247,Jogos!$A$2:$K$105,10,FALSE))</f>
        <v/>
      </c>
      <c r="E2247" s="5" t="inlineStr"/>
      <c r="F2247" s="5" t="inlineStr"/>
      <c r="G2247" s="8">
        <f>IF($B2247="","",VLOOKUP($B2247,Jogos!$A$2:$K$105,9,FALSE))</f>
        <v/>
      </c>
      <c r="H2247" s="8">
        <f>IF($B2247="","",VLOOKUP($B2247,Jogos!$A$2:$K$105,11,FALSE))</f>
        <v/>
      </c>
      <c r="I2247" s="5">
        <f>IF(OR($A2247="", $B2247="", $E2247="", $F2247="", $G2247="", $H2247=""), "",IF(AND($E2247=$G2247, $F2247=$H2247), 3, IF(SIGN($E2247-$F2247)=SIGN($G2247-$H2247), 1, 0))))</f>
        <v/>
      </c>
    </row>
    <row r="2248">
      <c r="A2248" s="5" t="inlineStr"/>
      <c r="B2248" s="5" t="inlineStr"/>
      <c r="C2248" s="5">
        <f>IF($B2248="","",VLOOKUP($B2248,Jogos!$A$2:$K$105,8,FALSE))</f>
        <v/>
      </c>
      <c r="D2248" s="5">
        <f>IF($B2248="","",VLOOKUP($B2248,Jogos!$A$2:$K$105,10,FALSE))</f>
        <v/>
      </c>
      <c r="E2248" s="5" t="inlineStr"/>
      <c r="F2248" s="5" t="inlineStr"/>
      <c r="G2248" s="8">
        <f>IF($B2248="","",VLOOKUP($B2248,Jogos!$A$2:$K$105,9,FALSE))</f>
        <v/>
      </c>
      <c r="H2248" s="8">
        <f>IF($B2248="","",VLOOKUP($B2248,Jogos!$A$2:$K$105,11,FALSE))</f>
        <v/>
      </c>
      <c r="I2248" s="5">
        <f>IF(OR($A2248="", $B2248="", $E2248="", $F2248="", $G2248="", $H2248=""), "",IF(AND($E2248=$G2248, $F2248=$H2248), 3, IF(SIGN($E2248-$F2248)=SIGN($G2248-$H2248), 1, 0))))</f>
        <v/>
      </c>
    </row>
    <row r="2249">
      <c r="A2249" s="5" t="inlineStr"/>
      <c r="B2249" s="5" t="inlineStr"/>
      <c r="C2249" s="5">
        <f>IF($B2249="","",VLOOKUP($B2249,Jogos!$A$2:$K$105,8,FALSE))</f>
        <v/>
      </c>
      <c r="D2249" s="5">
        <f>IF($B2249="","",VLOOKUP($B2249,Jogos!$A$2:$K$105,10,FALSE))</f>
        <v/>
      </c>
      <c r="E2249" s="5" t="inlineStr"/>
      <c r="F2249" s="5" t="inlineStr"/>
      <c r="G2249" s="8">
        <f>IF($B2249="","",VLOOKUP($B2249,Jogos!$A$2:$K$105,9,FALSE))</f>
        <v/>
      </c>
      <c r="H2249" s="8">
        <f>IF($B2249="","",VLOOKUP($B2249,Jogos!$A$2:$K$105,11,FALSE))</f>
        <v/>
      </c>
      <c r="I2249" s="5">
        <f>IF(OR($A2249="", $B2249="", $E2249="", $F2249="", $G2249="", $H2249=""), "",IF(AND($E2249=$G2249, $F2249=$H2249), 3, IF(SIGN($E2249-$F2249)=SIGN($G2249-$H2249), 1, 0))))</f>
        <v/>
      </c>
    </row>
    <row r="2250">
      <c r="A2250" s="5" t="inlineStr"/>
      <c r="B2250" s="5" t="inlineStr"/>
      <c r="C2250" s="5">
        <f>IF($B2250="","",VLOOKUP($B2250,Jogos!$A$2:$K$105,8,FALSE))</f>
        <v/>
      </c>
      <c r="D2250" s="5">
        <f>IF($B2250="","",VLOOKUP($B2250,Jogos!$A$2:$K$105,10,FALSE))</f>
        <v/>
      </c>
      <c r="E2250" s="5" t="inlineStr"/>
      <c r="F2250" s="5" t="inlineStr"/>
      <c r="G2250" s="8">
        <f>IF($B2250="","",VLOOKUP($B2250,Jogos!$A$2:$K$105,9,FALSE))</f>
        <v/>
      </c>
      <c r="H2250" s="8">
        <f>IF($B2250="","",VLOOKUP($B2250,Jogos!$A$2:$K$105,11,FALSE))</f>
        <v/>
      </c>
      <c r="I2250" s="5">
        <f>IF(OR($A2250="", $B2250="", $E2250="", $F2250="", $G2250="", $H2250=""), "",IF(AND($E2250=$G2250, $F2250=$H2250), 3, IF(SIGN($E2250-$F2250)=SIGN($G2250-$H2250), 1, 0))))</f>
        <v/>
      </c>
    </row>
    <row r="2251">
      <c r="A2251" s="5" t="inlineStr"/>
      <c r="B2251" s="5" t="inlineStr"/>
      <c r="C2251" s="5">
        <f>IF($B2251="","",VLOOKUP($B2251,Jogos!$A$2:$K$105,8,FALSE))</f>
        <v/>
      </c>
      <c r="D2251" s="5">
        <f>IF($B2251="","",VLOOKUP($B2251,Jogos!$A$2:$K$105,10,FALSE))</f>
        <v/>
      </c>
      <c r="E2251" s="5" t="inlineStr"/>
      <c r="F2251" s="5" t="inlineStr"/>
      <c r="G2251" s="8">
        <f>IF($B2251="","",VLOOKUP($B2251,Jogos!$A$2:$K$105,9,FALSE))</f>
        <v/>
      </c>
      <c r="H2251" s="8">
        <f>IF($B2251="","",VLOOKUP($B2251,Jogos!$A$2:$K$105,11,FALSE))</f>
        <v/>
      </c>
      <c r="I2251" s="5">
        <f>IF(OR($A2251="", $B2251="", $E2251="", $F2251="", $G2251="", $H2251=""), "",IF(AND($E2251=$G2251, $F2251=$H2251), 3, IF(SIGN($E2251-$F2251)=SIGN($G2251-$H2251), 1, 0))))</f>
        <v/>
      </c>
    </row>
    <row r="2252">
      <c r="A2252" s="5" t="inlineStr"/>
      <c r="B2252" s="5" t="inlineStr"/>
      <c r="C2252" s="5">
        <f>IF($B2252="","",VLOOKUP($B2252,Jogos!$A$2:$K$105,8,FALSE))</f>
        <v/>
      </c>
      <c r="D2252" s="5">
        <f>IF($B2252="","",VLOOKUP($B2252,Jogos!$A$2:$K$105,10,FALSE))</f>
        <v/>
      </c>
      <c r="E2252" s="5" t="inlineStr"/>
      <c r="F2252" s="5" t="inlineStr"/>
      <c r="G2252" s="8">
        <f>IF($B2252="","",VLOOKUP($B2252,Jogos!$A$2:$K$105,9,FALSE))</f>
        <v/>
      </c>
      <c r="H2252" s="8">
        <f>IF($B2252="","",VLOOKUP($B2252,Jogos!$A$2:$K$105,11,FALSE))</f>
        <v/>
      </c>
      <c r="I2252" s="5">
        <f>IF(OR($A2252="", $B2252="", $E2252="", $F2252="", $G2252="", $H2252=""), "",IF(AND($E2252=$G2252, $F2252=$H2252), 3, IF(SIGN($E2252-$F2252)=SIGN($G2252-$H2252), 1, 0))))</f>
        <v/>
      </c>
    </row>
    <row r="2253">
      <c r="A2253" s="5" t="inlineStr"/>
      <c r="B2253" s="5" t="inlineStr"/>
      <c r="C2253" s="5">
        <f>IF($B2253="","",VLOOKUP($B2253,Jogos!$A$2:$K$105,8,FALSE))</f>
        <v/>
      </c>
      <c r="D2253" s="5">
        <f>IF($B2253="","",VLOOKUP($B2253,Jogos!$A$2:$K$105,10,FALSE))</f>
        <v/>
      </c>
      <c r="E2253" s="5" t="inlineStr"/>
      <c r="F2253" s="5" t="inlineStr"/>
      <c r="G2253" s="8">
        <f>IF($B2253="","",VLOOKUP($B2253,Jogos!$A$2:$K$105,9,FALSE))</f>
        <v/>
      </c>
      <c r="H2253" s="8">
        <f>IF($B2253="","",VLOOKUP($B2253,Jogos!$A$2:$K$105,11,FALSE))</f>
        <v/>
      </c>
      <c r="I2253" s="5">
        <f>IF(OR($A2253="", $B2253="", $E2253="", $F2253="", $G2253="", $H2253=""), "",IF(AND($E2253=$G2253, $F2253=$H2253), 3, IF(SIGN($E2253-$F2253)=SIGN($G2253-$H2253), 1, 0))))</f>
        <v/>
      </c>
    </row>
    <row r="2254">
      <c r="A2254" s="5" t="inlineStr"/>
      <c r="B2254" s="5" t="inlineStr"/>
      <c r="C2254" s="5">
        <f>IF($B2254="","",VLOOKUP($B2254,Jogos!$A$2:$K$105,8,FALSE))</f>
        <v/>
      </c>
      <c r="D2254" s="5">
        <f>IF($B2254="","",VLOOKUP($B2254,Jogos!$A$2:$K$105,10,FALSE))</f>
        <v/>
      </c>
      <c r="E2254" s="5" t="inlineStr"/>
      <c r="F2254" s="5" t="inlineStr"/>
      <c r="G2254" s="8">
        <f>IF($B2254="","",VLOOKUP($B2254,Jogos!$A$2:$K$105,9,FALSE))</f>
        <v/>
      </c>
      <c r="H2254" s="8">
        <f>IF($B2254="","",VLOOKUP($B2254,Jogos!$A$2:$K$105,11,FALSE))</f>
        <v/>
      </c>
      <c r="I2254" s="5">
        <f>IF(OR($A2254="", $B2254="", $E2254="", $F2254="", $G2254="", $H2254=""), "",IF(AND($E2254=$G2254, $F2254=$H2254), 3, IF(SIGN($E2254-$F2254)=SIGN($G2254-$H2254), 1, 0))))</f>
        <v/>
      </c>
    </row>
    <row r="2255">
      <c r="A2255" s="5" t="inlineStr"/>
      <c r="B2255" s="5" t="inlineStr"/>
      <c r="C2255" s="5">
        <f>IF($B2255="","",VLOOKUP($B2255,Jogos!$A$2:$K$105,8,FALSE))</f>
        <v/>
      </c>
      <c r="D2255" s="5">
        <f>IF($B2255="","",VLOOKUP($B2255,Jogos!$A$2:$K$105,10,FALSE))</f>
        <v/>
      </c>
      <c r="E2255" s="5" t="inlineStr"/>
      <c r="F2255" s="5" t="inlineStr"/>
      <c r="G2255" s="8">
        <f>IF($B2255="","",VLOOKUP($B2255,Jogos!$A$2:$K$105,9,FALSE))</f>
        <v/>
      </c>
      <c r="H2255" s="8">
        <f>IF($B2255="","",VLOOKUP($B2255,Jogos!$A$2:$K$105,11,FALSE))</f>
        <v/>
      </c>
      <c r="I2255" s="5">
        <f>IF(OR($A2255="", $B2255="", $E2255="", $F2255="", $G2255="", $H2255=""), "",IF(AND($E2255=$G2255, $F2255=$H2255), 3, IF(SIGN($E2255-$F2255)=SIGN($G2255-$H2255), 1, 0))))</f>
        <v/>
      </c>
    </row>
    <row r="2256">
      <c r="A2256" s="5" t="inlineStr"/>
      <c r="B2256" s="5" t="inlineStr"/>
      <c r="C2256" s="5">
        <f>IF($B2256="","",VLOOKUP($B2256,Jogos!$A$2:$K$105,8,FALSE))</f>
        <v/>
      </c>
      <c r="D2256" s="5">
        <f>IF($B2256="","",VLOOKUP($B2256,Jogos!$A$2:$K$105,10,FALSE))</f>
        <v/>
      </c>
      <c r="E2256" s="5" t="inlineStr"/>
      <c r="F2256" s="5" t="inlineStr"/>
      <c r="G2256" s="8">
        <f>IF($B2256="","",VLOOKUP($B2256,Jogos!$A$2:$K$105,9,FALSE))</f>
        <v/>
      </c>
      <c r="H2256" s="8">
        <f>IF($B2256="","",VLOOKUP($B2256,Jogos!$A$2:$K$105,11,FALSE))</f>
        <v/>
      </c>
      <c r="I2256" s="5">
        <f>IF(OR($A2256="", $B2256="", $E2256="", $F2256="", $G2256="", $H2256=""), "",IF(AND($E2256=$G2256, $F2256=$H2256), 3, IF(SIGN($E2256-$F2256)=SIGN($G2256-$H2256), 1, 0))))</f>
        <v/>
      </c>
    </row>
    <row r="2257">
      <c r="A2257" s="5" t="inlineStr"/>
      <c r="B2257" s="5" t="inlineStr"/>
      <c r="C2257" s="5">
        <f>IF($B2257="","",VLOOKUP($B2257,Jogos!$A$2:$K$105,8,FALSE))</f>
        <v/>
      </c>
      <c r="D2257" s="5">
        <f>IF($B2257="","",VLOOKUP($B2257,Jogos!$A$2:$K$105,10,FALSE))</f>
        <v/>
      </c>
      <c r="E2257" s="5" t="inlineStr"/>
      <c r="F2257" s="5" t="inlineStr"/>
      <c r="G2257" s="8">
        <f>IF($B2257="","",VLOOKUP($B2257,Jogos!$A$2:$K$105,9,FALSE))</f>
        <v/>
      </c>
      <c r="H2257" s="8">
        <f>IF($B2257="","",VLOOKUP($B2257,Jogos!$A$2:$K$105,11,FALSE))</f>
        <v/>
      </c>
      <c r="I2257" s="5">
        <f>IF(OR($A2257="", $B2257="", $E2257="", $F2257="", $G2257="", $H2257=""), "",IF(AND($E2257=$G2257, $F2257=$H2257), 3, IF(SIGN($E2257-$F2257)=SIGN($G2257-$H2257), 1, 0))))</f>
        <v/>
      </c>
    </row>
    <row r="2258">
      <c r="A2258" s="5" t="inlineStr"/>
      <c r="B2258" s="5" t="inlineStr"/>
      <c r="C2258" s="5">
        <f>IF($B2258="","",VLOOKUP($B2258,Jogos!$A$2:$K$105,8,FALSE))</f>
        <v/>
      </c>
      <c r="D2258" s="5">
        <f>IF($B2258="","",VLOOKUP($B2258,Jogos!$A$2:$K$105,10,FALSE))</f>
        <v/>
      </c>
      <c r="E2258" s="5" t="inlineStr"/>
      <c r="F2258" s="5" t="inlineStr"/>
      <c r="G2258" s="8">
        <f>IF($B2258="","",VLOOKUP($B2258,Jogos!$A$2:$K$105,9,FALSE))</f>
        <v/>
      </c>
      <c r="H2258" s="8">
        <f>IF($B2258="","",VLOOKUP($B2258,Jogos!$A$2:$K$105,11,FALSE))</f>
        <v/>
      </c>
      <c r="I2258" s="5">
        <f>IF(OR($A2258="", $B2258="", $E2258="", $F2258="", $G2258="", $H2258=""), "",IF(AND($E2258=$G2258, $F2258=$H2258), 3, IF(SIGN($E2258-$F2258)=SIGN($G2258-$H2258), 1, 0))))</f>
        <v/>
      </c>
    </row>
    <row r="2259">
      <c r="A2259" s="5" t="inlineStr"/>
      <c r="B2259" s="5" t="inlineStr"/>
      <c r="C2259" s="5">
        <f>IF($B2259="","",VLOOKUP($B2259,Jogos!$A$2:$K$105,8,FALSE))</f>
        <v/>
      </c>
      <c r="D2259" s="5">
        <f>IF($B2259="","",VLOOKUP($B2259,Jogos!$A$2:$K$105,10,FALSE))</f>
        <v/>
      </c>
      <c r="E2259" s="5" t="inlineStr"/>
      <c r="F2259" s="5" t="inlineStr"/>
      <c r="G2259" s="8">
        <f>IF($B2259="","",VLOOKUP($B2259,Jogos!$A$2:$K$105,9,FALSE))</f>
        <v/>
      </c>
      <c r="H2259" s="8">
        <f>IF($B2259="","",VLOOKUP($B2259,Jogos!$A$2:$K$105,11,FALSE))</f>
        <v/>
      </c>
      <c r="I2259" s="5">
        <f>IF(OR($A2259="", $B2259="", $E2259="", $F2259="", $G2259="", $H2259=""), "",IF(AND($E2259=$G2259, $F2259=$H2259), 3, IF(SIGN($E2259-$F2259)=SIGN($G2259-$H2259), 1, 0))))</f>
        <v/>
      </c>
    </row>
    <row r="2260">
      <c r="A2260" s="5" t="inlineStr"/>
      <c r="B2260" s="5" t="inlineStr"/>
      <c r="C2260" s="5">
        <f>IF($B2260="","",VLOOKUP($B2260,Jogos!$A$2:$K$105,8,FALSE))</f>
        <v/>
      </c>
      <c r="D2260" s="5">
        <f>IF($B2260="","",VLOOKUP($B2260,Jogos!$A$2:$K$105,10,FALSE))</f>
        <v/>
      </c>
      <c r="E2260" s="5" t="inlineStr"/>
      <c r="F2260" s="5" t="inlineStr"/>
      <c r="G2260" s="8">
        <f>IF($B2260="","",VLOOKUP($B2260,Jogos!$A$2:$K$105,9,FALSE))</f>
        <v/>
      </c>
      <c r="H2260" s="8">
        <f>IF($B2260="","",VLOOKUP($B2260,Jogos!$A$2:$K$105,11,FALSE))</f>
        <v/>
      </c>
      <c r="I2260" s="5">
        <f>IF(OR($A2260="", $B2260="", $E2260="", $F2260="", $G2260="", $H2260=""), "",IF(AND($E2260=$G2260, $F2260=$H2260), 3, IF(SIGN($E2260-$F2260)=SIGN($G2260-$H2260), 1, 0))))</f>
        <v/>
      </c>
    </row>
    <row r="2261">
      <c r="A2261" s="5" t="inlineStr"/>
      <c r="B2261" s="5" t="inlineStr"/>
      <c r="C2261" s="5">
        <f>IF($B2261="","",VLOOKUP($B2261,Jogos!$A$2:$K$105,8,FALSE))</f>
        <v/>
      </c>
      <c r="D2261" s="5">
        <f>IF($B2261="","",VLOOKUP($B2261,Jogos!$A$2:$K$105,10,FALSE))</f>
        <v/>
      </c>
      <c r="E2261" s="5" t="inlineStr"/>
      <c r="F2261" s="5" t="inlineStr"/>
      <c r="G2261" s="8">
        <f>IF($B2261="","",VLOOKUP($B2261,Jogos!$A$2:$K$105,9,FALSE))</f>
        <v/>
      </c>
      <c r="H2261" s="8">
        <f>IF($B2261="","",VLOOKUP($B2261,Jogos!$A$2:$K$105,11,FALSE))</f>
        <v/>
      </c>
      <c r="I2261" s="5">
        <f>IF(OR($A2261="", $B2261="", $E2261="", $F2261="", $G2261="", $H2261=""), "",IF(AND($E2261=$G2261, $F2261=$H2261), 3, IF(SIGN($E2261-$F2261)=SIGN($G2261-$H2261), 1, 0))))</f>
        <v/>
      </c>
    </row>
    <row r="2262">
      <c r="A2262" s="5" t="inlineStr"/>
      <c r="B2262" s="5" t="inlineStr"/>
      <c r="C2262" s="5">
        <f>IF($B2262="","",VLOOKUP($B2262,Jogos!$A$2:$K$105,8,FALSE))</f>
        <v/>
      </c>
      <c r="D2262" s="5">
        <f>IF($B2262="","",VLOOKUP($B2262,Jogos!$A$2:$K$105,10,FALSE))</f>
        <v/>
      </c>
      <c r="E2262" s="5" t="inlineStr"/>
      <c r="F2262" s="5" t="inlineStr"/>
      <c r="G2262" s="8">
        <f>IF($B2262="","",VLOOKUP($B2262,Jogos!$A$2:$K$105,9,FALSE))</f>
        <v/>
      </c>
      <c r="H2262" s="8">
        <f>IF($B2262="","",VLOOKUP($B2262,Jogos!$A$2:$K$105,11,FALSE))</f>
        <v/>
      </c>
      <c r="I2262" s="5">
        <f>IF(OR($A2262="", $B2262="", $E2262="", $F2262="", $G2262="", $H2262=""), "",IF(AND($E2262=$G2262, $F2262=$H2262), 3, IF(SIGN($E2262-$F2262)=SIGN($G2262-$H2262), 1, 0))))</f>
        <v/>
      </c>
    </row>
    <row r="2263">
      <c r="A2263" s="5" t="inlineStr"/>
      <c r="B2263" s="5" t="inlineStr"/>
      <c r="C2263" s="5">
        <f>IF($B2263="","",VLOOKUP($B2263,Jogos!$A$2:$K$105,8,FALSE))</f>
        <v/>
      </c>
      <c r="D2263" s="5">
        <f>IF($B2263="","",VLOOKUP($B2263,Jogos!$A$2:$K$105,10,FALSE))</f>
        <v/>
      </c>
      <c r="E2263" s="5" t="inlineStr"/>
      <c r="F2263" s="5" t="inlineStr"/>
      <c r="G2263" s="8">
        <f>IF($B2263="","",VLOOKUP($B2263,Jogos!$A$2:$K$105,9,FALSE))</f>
        <v/>
      </c>
      <c r="H2263" s="8">
        <f>IF($B2263="","",VLOOKUP($B2263,Jogos!$A$2:$K$105,11,FALSE))</f>
        <v/>
      </c>
      <c r="I2263" s="5">
        <f>IF(OR($A2263="", $B2263="", $E2263="", $F2263="", $G2263="", $H2263=""), "",IF(AND($E2263=$G2263, $F2263=$H2263), 3, IF(SIGN($E2263-$F2263)=SIGN($G2263-$H2263), 1, 0))))</f>
        <v/>
      </c>
    </row>
    <row r="2264">
      <c r="A2264" s="5" t="inlineStr"/>
      <c r="B2264" s="5" t="inlineStr"/>
      <c r="C2264" s="5">
        <f>IF($B2264="","",VLOOKUP($B2264,Jogos!$A$2:$K$105,8,FALSE))</f>
        <v/>
      </c>
      <c r="D2264" s="5">
        <f>IF($B2264="","",VLOOKUP($B2264,Jogos!$A$2:$K$105,10,FALSE))</f>
        <v/>
      </c>
      <c r="E2264" s="5" t="inlineStr"/>
      <c r="F2264" s="5" t="inlineStr"/>
      <c r="G2264" s="8">
        <f>IF($B2264="","",VLOOKUP($B2264,Jogos!$A$2:$K$105,9,FALSE))</f>
        <v/>
      </c>
      <c r="H2264" s="8">
        <f>IF($B2264="","",VLOOKUP($B2264,Jogos!$A$2:$K$105,11,FALSE))</f>
        <v/>
      </c>
      <c r="I2264" s="5">
        <f>IF(OR($A2264="", $B2264="", $E2264="", $F2264="", $G2264="", $H2264=""), "",IF(AND($E2264=$G2264, $F2264=$H2264), 3, IF(SIGN($E2264-$F2264)=SIGN($G2264-$H2264), 1, 0))))</f>
        <v/>
      </c>
    </row>
    <row r="2265">
      <c r="A2265" s="5" t="inlineStr"/>
      <c r="B2265" s="5" t="inlineStr"/>
      <c r="C2265" s="5">
        <f>IF($B2265="","",VLOOKUP($B2265,Jogos!$A$2:$K$105,8,FALSE))</f>
        <v/>
      </c>
      <c r="D2265" s="5">
        <f>IF($B2265="","",VLOOKUP($B2265,Jogos!$A$2:$K$105,10,FALSE))</f>
        <v/>
      </c>
      <c r="E2265" s="5" t="inlineStr"/>
      <c r="F2265" s="5" t="inlineStr"/>
      <c r="G2265" s="8">
        <f>IF($B2265="","",VLOOKUP($B2265,Jogos!$A$2:$K$105,9,FALSE))</f>
        <v/>
      </c>
      <c r="H2265" s="8">
        <f>IF($B2265="","",VLOOKUP($B2265,Jogos!$A$2:$K$105,11,FALSE))</f>
        <v/>
      </c>
      <c r="I2265" s="5">
        <f>IF(OR($A2265="", $B2265="", $E2265="", $F2265="", $G2265="", $H2265=""), "",IF(AND($E2265=$G2265, $F2265=$H2265), 3, IF(SIGN($E2265-$F2265)=SIGN($G2265-$H2265), 1, 0))))</f>
        <v/>
      </c>
    </row>
    <row r="2266">
      <c r="A2266" s="5" t="inlineStr"/>
      <c r="B2266" s="5" t="inlineStr"/>
      <c r="C2266" s="5">
        <f>IF($B2266="","",VLOOKUP($B2266,Jogos!$A$2:$K$105,8,FALSE))</f>
        <v/>
      </c>
      <c r="D2266" s="5">
        <f>IF($B2266="","",VLOOKUP($B2266,Jogos!$A$2:$K$105,10,FALSE))</f>
        <v/>
      </c>
      <c r="E2266" s="5" t="inlineStr"/>
      <c r="F2266" s="5" t="inlineStr"/>
      <c r="G2266" s="8">
        <f>IF($B2266="","",VLOOKUP($B2266,Jogos!$A$2:$K$105,9,FALSE))</f>
        <v/>
      </c>
      <c r="H2266" s="8">
        <f>IF($B2266="","",VLOOKUP($B2266,Jogos!$A$2:$K$105,11,FALSE))</f>
        <v/>
      </c>
      <c r="I2266" s="5">
        <f>IF(OR($A2266="", $B2266="", $E2266="", $F2266="", $G2266="", $H2266=""), "",IF(AND($E2266=$G2266, $F2266=$H2266), 3, IF(SIGN($E2266-$F2266)=SIGN($G2266-$H2266), 1, 0))))</f>
        <v/>
      </c>
    </row>
    <row r="2267">
      <c r="A2267" s="5" t="inlineStr"/>
      <c r="B2267" s="5" t="inlineStr"/>
      <c r="C2267" s="5">
        <f>IF($B2267="","",VLOOKUP($B2267,Jogos!$A$2:$K$105,8,FALSE))</f>
        <v/>
      </c>
      <c r="D2267" s="5">
        <f>IF($B2267="","",VLOOKUP($B2267,Jogos!$A$2:$K$105,10,FALSE))</f>
        <v/>
      </c>
      <c r="E2267" s="5" t="inlineStr"/>
      <c r="F2267" s="5" t="inlineStr"/>
      <c r="G2267" s="8">
        <f>IF($B2267="","",VLOOKUP($B2267,Jogos!$A$2:$K$105,9,FALSE))</f>
        <v/>
      </c>
      <c r="H2267" s="8">
        <f>IF($B2267="","",VLOOKUP($B2267,Jogos!$A$2:$K$105,11,FALSE))</f>
        <v/>
      </c>
      <c r="I2267" s="5">
        <f>IF(OR($A2267="", $B2267="", $E2267="", $F2267="", $G2267="", $H2267=""), "",IF(AND($E2267=$G2267, $F2267=$H2267), 3, IF(SIGN($E2267-$F2267)=SIGN($G2267-$H2267), 1, 0))))</f>
        <v/>
      </c>
    </row>
    <row r="2268">
      <c r="A2268" s="5" t="inlineStr"/>
      <c r="B2268" s="5" t="inlineStr"/>
      <c r="C2268" s="5">
        <f>IF($B2268="","",VLOOKUP($B2268,Jogos!$A$2:$K$105,8,FALSE))</f>
        <v/>
      </c>
      <c r="D2268" s="5">
        <f>IF($B2268="","",VLOOKUP($B2268,Jogos!$A$2:$K$105,10,FALSE))</f>
        <v/>
      </c>
      <c r="E2268" s="5" t="inlineStr"/>
      <c r="F2268" s="5" t="inlineStr"/>
      <c r="G2268" s="8">
        <f>IF($B2268="","",VLOOKUP($B2268,Jogos!$A$2:$K$105,9,FALSE))</f>
        <v/>
      </c>
      <c r="H2268" s="8">
        <f>IF($B2268="","",VLOOKUP($B2268,Jogos!$A$2:$K$105,11,FALSE))</f>
        <v/>
      </c>
      <c r="I2268" s="5">
        <f>IF(OR($A2268="", $B2268="", $E2268="", $F2268="", $G2268="", $H2268=""), "",IF(AND($E2268=$G2268, $F2268=$H2268), 3, IF(SIGN($E2268-$F2268)=SIGN($G2268-$H2268), 1, 0))))</f>
        <v/>
      </c>
    </row>
    <row r="2269">
      <c r="A2269" s="5" t="inlineStr"/>
      <c r="B2269" s="5" t="inlineStr"/>
      <c r="C2269" s="5">
        <f>IF($B2269="","",VLOOKUP($B2269,Jogos!$A$2:$K$105,8,FALSE))</f>
        <v/>
      </c>
      <c r="D2269" s="5">
        <f>IF($B2269="","",VLOOKUP($B2269,Jogos!$A$2:$K$105,10,FALSE))</f>
        <v/>
      </c>
      <c r="E2269" s="5" t="inlineStr"/>
      <c r="F2269" s="5" t="inlineStr"/>
      <c r="G2269" s="8">
        <f>IF($B2269="","",VLOOKUP($B2269,Jogos!$A$2:$K$105,9,FALSE))</f>
        <v/>
      </c>
      <c r="H2269" s="8">
        <f>IF($B2269="","",VLOOKUP($B2269,Jogos!$A$2:$K$105,11,FALSE))</f>
        <v/>
      </c>
      <c r="I2269" s="5">
        <f>IF(OR($A2269="", $B2269="", $E2269="", $F2269="", $G2269="", $H2269=""), "",IF(AND($E2269=$G2269, $F2269=$H2269), 3, IF(SIGN($E2269-$F2269)=SIGN($G2269-$H2269), 1, 0))))</f>
        <v/>
      </c>
    </row>
    <row r="2270">
      <c r="A2270" s="5" t="inlineStr"/>
      <c r="B2270" s="5" t="inlineStr"/>
      <c r="C2270" s="5">
        <f>IF($B2270="","",VLOOKUP($B2270,Jogos!$A$2:$K$105,8,FALSE))</f>
        <v/>
      </c>
      <c r="D2270" s="5">
        <f>IF($B2270="","",VLOOKUP($B2270,Jogos!$A$2:$K$105,10,FALSE))</f>
        <v/>
      </c>
      <c r="E2270" s="5" t="inlineStr"/>
      <c r="F2270" s="5" t="inlineStr"/>
      <c r="G2270" s="8">
        <f>IF($B2270="","",VLOOKUP($B2270,Jogos!$A$2:$K$105,9,FALSE))</f>
        <v/>
      </c>
      <c r="H2270" s="8">
        <f>IF($B2270="","",VLOOKUP($B2270,Jogos!$A$2:$K$105,11,FALSE))</f>
        <v/>
      </c>
      <c r="I2270" s="5">
        <f>IF(OR($A2270="", $B2270="", $E2270="", $F2270="", $G2270="", $H2270=""), "",IF(AND($E2270=$G2270, $F2270=$H2270), 3, IF(SIGN($E2270-$F2270)=SIGN($G2270-$H2270), 1, 0))))</f>
        <v/>
      </c>
    </row>
    <row r="2271">
      <c r="A2271" s="5" t="inlineStr"/>
      <c r="B2271" s="5" t="inlineStr"/>
      <c r="C2271" s="5">
        <f>IF($B2271="","",VLOOKUP($B2271,Jogos!$A$2:$K$105,8,FALSE))</f>
        <v/>
      </c>
      <c r="D2271" s="5">
        <f>IF($B2271="","",VLOOKUP($B2271,Jogos!$A$2:$K$105,10,FALSE))</f>
        <v/>
      </c>
      <c r="E2271" s="5" t="inlineStr"/>
      <c r="F2271" s="5" t="inlineStr"/>
      <c r="G2271" s="8">
        <f>IF($B2271="","",VLOOKUP($B2271,Jogos!$A$2:$K$105,9,FALSE))</f>
        <v/>
      </c>
      <c r="H2271" s="8">
        <f>IF($B2271="","",VLOOKUP($B2271,Jogos!$A$2:$K$105,11,FALSE))</f>
        <v/>
      </c>
      <c r="I2271" s="5">
        <f>IF(OR($A2271="", $B2271="", $E2271="", $F2271="", $G2271="", $H2271=""), "",IF(AND($E2271=$G2271, $F2271=$H2271), 3, IF(SIGN($E2271-$F2271)=SIGN($G2271-$H2271), 1, 0))))</f>
        <v/>
      </c>
    </row>
    <row r="2272">
      <c r="A2272" s="5" t="inlineStr"/>
      <c r="B2272" s="5" t="inlineStr"/>
      <c r="C2272" s="5">
        <f>IF($B2272="","",VLOOKUP($B2272,Jogos!$A$2:$K$105,8,FALSE))</f>
        <v/>
      </c>
      <c r="D2272" s="5">
        <f>IF($B2272="","",VLOOKUP($B2272,Jogos!$A$2:$K$105,10,FALSE))</f>
        <v/>
      </c>
      <c r="E2272" s="5" t="inlineStr"/>
      <c r="F2272" s="5" t="inlineStr"/>
      <c r="G2272" s="8">
        <f>IF($B2272="","",VLOOKUP($B2272,Jogos!$A$2:$K$105,9,FALSE))</f>
        <v/>
      </c>
      <c r="H2272" s="8">
        <f>IF($B2272="","",VLOOKUP($B2272,Jogos!$A$2:$K$105,11,FALSE))</f>
        <v/>
      </c>
      <c r="I2272" s="5">
        <f>IF(OR($A2272="", $B2272="", $E2272="", $F2272="", $G2272="", $H2272=""), "",IF(AND($E2272=$G2272, $F2272=$H2272), 3, IF(SIGN($E2272-$F2272)=SIGN($G2272-$H2272), 1, 0))))</f>
        <v/>
      </c>
    </row>
    <row r="2273">
      <c r="A2273" s="5" t="inlineStr"/>
      <c r="B2273" s="5" t="inlineStr"/>
      <c r="C2273" s="5">
        <f>IF($B2273="","",VLOOKUP($B2273,Jogos!$A$2:$K$105,8,FALSE))</f>
        <v/>
      </c>
      <c r="D2273" s="5">
        <f>IF($B2273="","",VLOOKUP($B2273,Jogos!$A$2:$K$105,10,FALSE))</f>
        <v/>
      </c>
      <c r="E2273" s="5" t="inlineStr"/>
      <c r="F2273" s="5" t="inlineStr"/>
      <c r="G2273" s="8">
        <f>IF($B2273="","",VLOOKUP($B2273,Jogos!$A$2:$K$105,9,FALSE))</f>
        <v/>
      </c>
      <c r="H2273" s="8">
        <f>IF($B2273="","",VLOOKUP($B2273,Jogos!$A$2:$K$105,11,FALSE))</f>
        <v/>
      </c>
      <c r="I2273" s="5">
        <f>IF(OR($A2273="", $B2273="", $E2273="", $F2273="", $G2273="", $H2273=""), "",IF(AND($E2273=$G2273, $F2273=$H2273), 3, IF(SIGN($E2273-$F2273)=SIGN($G2273-$H2273), 1, 0))))</f>
        <v/>
      </c>
    </row>
    <row r="2274">
      <c r="A2274" s="5" t="inlineStr"/>
      <c r="B2274" s="5" t="inlineStr"/>
      <c r="C2274" s="5">
        <f>IF($B2274="","",VLOOKUP($B2274,Jogos!$A$2:$K$105,8,FALSE))</f>
        <v/>
      </c>
      <c r="D2274" s="5">
        <f>IF($B2274="","",VLOOKUP($B2274,Jogos!$A$2:$K$105,10,FALSE))</f>
        <v/>
      </c>
      <c r="E2274" s="5" t="inlineStr"/>
      <c r="F2274" s="5" t="inlineStr"/>
      <c r="G2274" s="8">
        <f>IF($B2274="","",VLOOKUP($B2274,Jogos!$A$2:$K$105,9,FALSE))</f>
        <v/>
      </c>
      <c r="H2274" s="8">
        <f>IF($B2274="","",VLOOKUP($B2274,Jogos!$A$2:$K$105,11,FALSE))</f>
        <v/>
      </c>
      <c r="I2274" s="5">
        <f>IF(OR($A2274="", $B2274="", $E2274="", $F2274="", $G2274="", $H2274=""), "",IF(AND($E2274=$G2274, $F2274=$H2274), 3, IF(SIGN($E2274-$F2274)=SIGN($G2274-$H2274), 1, 0))))</f>
        <v/>
      </c>
    </row>
    <row r="2275">
      <c r="A2275" s="5" t="inlineStr"/>
      <c r="B2275" s="5" t="inlineStr"/>
      <c r="C2275" s="5">
        <f>IF($B2275="","",VLOOKUP($B2275,Jogos!$A$2:$K$105,8,FALSE))</f>
        <v/>
      </c>
      <c r="D2275" s="5">
        <f>IF($B2275="","",VLOOKUP($B2275,Jogos!$A$2:$K$105,10,FALSE))</f>
        <v/>
      </c>
      <c r="E2275" s="5" t="inlineStr"/>
      <c r="F2275" s="5" t="inlineStr"/>
      <c r="G2275" s="8">
        <f>IF($B2275="","",VLOOKUP($B2275,Jogos!$A$2:$K$105,9,FALSE))</f>
        <v/>
      </c>
      <c r="H2275" s="8">
        <f>IF($B2275="","",VLOOKUP($B2275,Jogos!$A$2:$K$105,11,FALSE))</f>
        <v/>
      </c>
      <c r="I2275" s="5">
        <f>IF(OR($A2275="", $B2275="", $E2275="", $F2275="", $G2275="", $H2275=""), "",IF(AND($E2275=$G2275, $F2275=$H2275), 3, IF(SIGN($E2275-$F2275)=SIGN($G2275-$H2275), 1, 0))))</f>
        <v/>
      </c>
    </row>
    <row r="2276">
      <c r="A2276" s="5" t="inlineStr"/>
      <c r="B2276" s="5" t="inlineStr"/>
      <c r="C2276" s="5">
        <f>IF($B2276="","",VLOOKUP($B2276,Jogos!$A$2:$K$105,8,FALSE))</f>
        <v/>
      </c>
      <c r="D2276" s="5">
        <f>IF($B2276="","",VLOOKUP($B2276,Jogos!$A$2:$K$105,10,FALSE))</f>
        <v/>
      </c>
      <c r="E2276" s="5" t="inlineStr"/>
      <c r="F2276" s="5" t="inlineStr"/>
      <c r="G2276" s="8">
        <f>IF($B2276="","",VLOOKUP($B2276,Jogos!$A$2:$K$105,9,FALSE))</f>
        <v/>
      </c>
      <c r="H2276" s="8">
        <f>IF($B2276="","",VLOOKUP($B2276,Jogos!$A$2:$K$105,11,FALSE))</f>
        <v/>
      </c>
      <c r="I2276" s="5">
        <f>IF(OR($A2276="", $B2276="", $E2276="", $F2276="", $G2276="", $H2276=""), "",IF(AND($E2276=$G2276, $F2276=$H2276), 3, IF(SIGN($E2276-$F2276)=SIGN($G2276-$H2276), 1, 0))))</f>
        <v/>
      </c>
    </row>
    <row r="2277">
      <c r="A2277" s="5" t="inlineStr"/>
      <c r="B2277" s="5" t="inlineStr"/>
      <c r="C2277" s="5">
        <f>IF($B2277="","",VLOOKUP($B2277,Jogos!$A$2:$K$105,8,FALSE))</f>
        <v/>
      </c>
      <c r="D2277" s="5">
        <f>IF($B2277="","",VLOOKUP($B2277,Jogos!$A$2:$K$105,10,FALSE))</f>
        <v/>
      </c>
      <c r="E2277" s="5" t="inlineStr"/>
      <c r="F2277" s="5" t="inlineStr"/>
      <c r="G2277" s="8">
        <f>IF($B2277="","",VLOOKUP($B2277,Jogos!$A$2:$K$105,9,FALSE))</f>
        <v/>
      </c>
      <c r="H2277" s="8">
        <f>IF($B2277="","",VLOOKUP($B2277,Jogos!$A$2:$K$105,11,FALSE))</f>
        <v/>
      </c>
      <c r="I2277" s="5">
        <f>IF(OR($A2277="", $B2277="", $E2277="", $F2277="", $G2277="", $H2277=""), "",IF(AND($E2277=$G2277, $F2277=$H2277), 3, IF(SIGN($E2277-$F2277)=SIGN($G2277-$H2277), 1, 0))))</f>
        <v/>
      </c>
    </row>
    <row r="2278">
      <c r="A2278" s="5" t="inlineStr"/>
      <c r="B2278" s="5" t="inlineStr"/>
      <c r="C2278" s="5">
        <f>IF($B2278="","",VLOOKUP($B2278,Jogos!$A$2:$K$105,8,FALSE))</f>
        <v/>
      </c>
      <c r="D2278" s="5">
        <f>IF($B2278="","",VLOOKUP($B2278,Jogos!$A$2:$K$105,10,FALSE))</f>
        <v/>
      </c>
      <c r="E2278" s="5" t="inlineStr"/>
      <c r="F2278" s="5" t="inlineStr"/>
      <c r="G2278" s="8">
        <f>IF($B2278="","",VLOOKUP($B2278,Jogos!$A$2:$K$105,9,FALSE))</f>
        <v/>
      </c>
      <c r="H2278" s="8">
        <f>IF($B2278="","",VLOOKUP($B2278,Jogos!$A$2:$K$105,11,FALSE))</f>
        <v/>
      </c>
      <c r="I2278" s="5">
        <f>IF(OR($A2278="", $B2278="", $E2278="", $F2278="", $G2278="", $H2278=""), "",IF(AND($E2278=$G2278, $F2278=$H2278), 3, IF(SIGN($E2278-$F2278)=SIGN($G2278-$H2278), 1, 0))))</f>
        <v/>
      </c>
    </row>
    <row r="2279">
      <c r="A2279" s="5" t="inlineStr"/>
      <c r="B2279" s="5" t="inlineStr"/>
      <c r="C2279" s="5">
        <f>IF($B2279="","",VLOOKUP($B2279,Jogos!$A$2:$K$105,8,FALSE))</f>
        <v/>
      </c>
      <c r="D2279" s="5">
        <f>IF($B2279="","",VLOOKUP($B2279,Jogos!$A$2:$K$105,10,FALSE))</f>
        <v/>
      </c>
      <c r="E2279" s="5" t="inlineStr"/>
      <c r="F2279" s="5" t="inlineStr"/>
      <c r="G2279" s="8">
        <f>IF($B2279="","",VLOOKUP($B2279,Jogos!$A$2:$K$105,9,FALSE))</f>
        <v/>
      </c>
      <c r="H2279" s="8">
        <f>IF($B2279="","",VLOOKUP($B2279,Jogos!$A$2:$K$105,11,FALSE))</f>
        <v/>
      </c>
      <c r="I2279" s="5">
        <f>IF(OR($A2279="", $B2279="", $E2279="", $F2279="", $G2279="", $H2279=""), "",IF(AND($E2279=$G2279, $F2279=$H2279), 3, IF(SIGN($E2279-$F2279)=SIGN($G2279-$H2279), 1, 0))))</f>
        <v/>
      </c>
    </row>
    <row r="2280">
      <c r="A2280" s="5" t="inlineStr"/>
      <c r="B2280" s="5" t="inlineStr"/>
      <c r="C2280" s="5">
        <f>IF($B2280="","",VLOOKUP($B2280,Jogos!$A$2:$K$105,8,FALSE))</f>
        <v/>
      </c>
      <c r="D2280" s="5">
        <f>IF($B2280="","",VLOOKUP($B2280,Jogos!$A$2:$K$105,10,FALSE))</f>
        <v/>
      </c>
      <c r="E2280" s="5" t="inlineStr"/>
      <c r="F2280" s="5" t="inlineStr"/>
      <c r="G2280" s="8">
        <f>IF($B2280="","",VLOOKUP($B2280,Jogos!$A$2:$K$105,9,FALSE))</f>
        <v/>
      </c>
      <c r="H2280" s="8">
        <f>IF($B2280="","",VLOOKUP($B2280,Jogos!$A$2:$K$105,11,FALSE))</f>
        <v/>
      </c>
      <c r="I2280" s="5">
        <f>IF(OR($A2280="", $B2280="", $E2280="", $F2280="", $G2280="", $H2280=""), "",IF(AND($E2280=$G2280, $F2280=$H2280), 3, IF(SIGN($E2280-$F2280)=SIGN($G2280-$H2280), 1, 0))))</f>
        <v/>
      </c>
    </row>
    <row r="2281">
      <c r="A2281" s="5" t="inlineStr"/>
      <c r="B2281" s="5" t="inlineStr"/>
      <c r="C2281" s="5">
        <f>IF($B2281="","",VLOOKUP($B2281,Jogos!$A$2:$K$105,8,FALSE))</f>
        <v/>
      </c>
      <c r="D2281" s="5">
        <f>IF($B2281="","",VLOOKUP($B2281,Jogos!$A$2:$K$105,10,FALSE))</f>
        <v/>
      </c>
      <c r="E2281" s="5" t="inlineStr"/>
      <c r="F2281" s="5" t="inlineStr"/>
      <c r="G2281" s="8">
        <f>IF($B2281="","",VLOOKUP($B2281,Jogos!$A$2:$K$105,9,FALSE))</f>
        <v/>
      </c>
      <c r="H2281" s="8">
        <f>IF($B2281="","",VLOOKUP($B2281,Jogos!$A$2:$K$105,11,FALSE))</f>
        <v/>
      </c>
      <c r="I2281" s="5">
        <f>IF(OR($A2281="", $B2281="", $E2281="", $F2281="", $G2281="", $H2281=""), "",IF(AND($E2281=$G2281, $F2281=$H2281), 3, IF(SIGN($E2281-$F2281)=SIGN($G2281-$H2281), 1, 0))))</f>
        <v/>
      </c>
    </row>
    <row r="2282">
      <c r="A2282" s="5" t="inlineStr"/>
      <c r="B2282" s="5" t="inlineStr"/>
      <c r="C2282" s="5">
        <f>IF($B2282="","",VLOOKUP($B2282,Jogos!$A$2:$K$105,8,FALSE))</f>
        <v/>
      </c>
      <c r="D2282" s="5">
        <f>IF($B2282="","",VLOOKUP($B2282,Jogos!$A$2:$K$105,10,FALSE))</f>
        <v/>
      </c>
      <c r="E2282" s="5" t="inlineStr"/>
      <c r="F2282" s="5" t="inlineStr"/>
      <c r="G2282" s="8">
        <f>IF($B2282="","",VLOOKUP($B2282,Jogos!$A$2:$K$105,9,FALSE))</f>
        <v/>
      </c>
      <c r="H2282" s="8">
        <f>IF($B2282="","",VLOOKUP($B2282,Jogos!$A$2:$K$105,11,FALSE))</f>
        <v/>
      </c>
      <c r="I2282" s="5">
        <f>IF(OR($A2282="", $B2282="", $E2282="", $F2282="", $G2282="", $H2282=""), "",IF(AND($E2282=$G2282, $F2282=$H2282), 3, IF(SIGN($E2282-$F2282)=SIGN($G2282-$H2282), 1, 0))))</f>
        <v/>
      </c>
    </row>
    <row r="2283">
      <c r="A2283" s="5" t="inlineStr"/>
      <c r="B2283" s="5" t="inlineStr"/>
      <c r="C2283" s="5">
        <f>IF($B2283="","",VLOOKUP($B2283,Jogos!$A$2:$K$105,8,FALSE))</f>
        <v/>
      </c>
      <c r="D2283" s="5">
        <f>IF($B2283="","",VLOOKUP($B2283,Jogos!$A$2:$K$105,10,FALSE))</f>
        <v/>
      </c>
      <c r="E2283" s="5" t="inlineStr"/>
      <c r="F2283" s="5" t="inlineStr"/>
      <c r="G2283" s="8">
        <f>IF($B2283="","",VLOOKUP($B2283,Jogos!$A$2:$K$105,9,FALSE))</f>
        <v/>
      </c>
      <c r="H2283" s="8">
        <f>IF($B2283="","",VLOOKUP($B2283,Jogos!$A$2:$K$105,11,FALSE))</f>
        <v/>
      </c>
      <c r="I2283" s="5">
        <f>IF(OR($A2283="", $B2283="", $E2283="", $F2283="", $G2283="", $H2283=""), "",IF(AND($E2283=$G2283, $F2283=$H2283), 3, IF(SIGN($E2283-$F2283)=SIGN($G2283-$H2283), 1, 0))))</f>
        <v/>
      </c>
    </row>
    <row r="2284">
      <c r="A2284" s="5" t="inlineStr"/>
      <c r="B2284" s="5" t="inlineStr"/>
      <c r="C2284" s="5">
        <f>IF($B2284="","",VLOOKUP($B2284,Jogos!$A$2:$K$105,8,FALSE))</f>
        <v/>
      </c>
      <c r="D2284" s="5">
        <f>IF($B2284="","",VLOOKUP($B2284,Jogos!$A$2:$K$105,10,FALSE))</f>
        <v/>
      </c>
      <c r="E2284" s="5" t="inlineStr"/>
      <c r="F2284" s="5" t="inlineStr"/>
      <c r="G2284" s="8">
        <f>IF($B2284="","",VLOOKUP($B2284,Jogos!$A$2:$K$105,9,FALSE))</f>
        <v/>
      </c>
      <c r="H2284" s="8">
        <f>IF($B2284="","",VLOOKUP($B2284,Jogos!$A$2:$K$105,11,FALSE))</f>
        <v/>
      </c>
      <c r="I2284" s="5">
        <f>IF(OR($A2284="", $B2284="", $E2284="", $F2284="", $G2284="", $H2284=""), "",IF(AND($E2284=$G2284, $F2284=$H2284), 3, IF(SIGN($E2284-$F2284)=SIGN($G2284-$H2284), 1, 0))))</f>
        <v/>
      </c>
    </row>
    <row r="2285">
      <c r="A2285" s="5" t="inlineStr"/>
      <c r="B2285" s="5" t="inlineStr"/>
      <c r="C2285" s="5">
        <f>IF($B2285="","",VLOOKUP($B2285,Jogos!$A$2:$K$105,8,FALSE))</f>
        <v/>
      </c>
      <c r="D2285" s="5">
        <f>IF($B2285="","",VLOOKUP($B2285,Jogos!$A$2:$K$105,10,FALSE))</f>
        <v/>
      </c>
      <c r="E2285" s="5" t="inlineStr"/>
      <c r="F2285" s="5" t="inlineStr"/>
      <c r="G2285" s="8">
        <f>IF($B2285="","",VLOOKUP($B2285,Jogos!$A$2:$K$105,9,FALSE))</f>
        <v/>
      </c>
      <c r="H2285" s="8">
        <f>IF($B2285="","",VLOOKUP($B2285,Jogos!$A$2:$K$105,11,FALSE))</f>
        <v/>
      </c>
      <c r="I2285" s="5">
        <f>IF(OR($A2285="", $B2285="", $E2285="", $F2285="", $G2285="", $H2285=""), "",IF(AND($E2285=$G2285, $F2285=$H2285), 3, IF(SIGN($E2285-$F2285)=SIGN($G2285-$H2285), 1, 0))))</f>
        <v/>
      </c>
    </row>
    <row r="2286">
      <c r="A2286" s="5" t="inlineStr"/>
      <c r="B2286" s="5" t="inlineStr"/>
      <c r="C2286" s="5">
        <f>IF($B2286="","",VLOOKUP($B2286,Jogos!$A$2:$K$105,8,FALSE))</f>
        <v/>
      </c>
      <c r="D2286" s="5">
        <f>IF($B2286="","",VLOOKUP($B2286,Jogos!$A$2:$K$105,10,FALSE))</f>
        <v/>
      </c>
      <c r="E2286" s="5" t="inlineStr"/>
      <c r="F2286" s="5" t="inlineStr"/>
      <c r="G2286" s="8">
        <f>IF($B2286="","",VLOOKUP($B2286,Jogos!$A$2:$K$105,9,FALSE))</f>
        <v/>
      </c>
      <c r="H2286" s="8">
        <f>IF($B2286="","",VLOOKUP($B2286,Jogos!$A$2:$K$105,11,FALSE))</f>
        <v/>
      </c>
      <c r="I2286" s="5">
        <f>IF(OR($A2286="", $B2286="", $E2286="", $F2286="", $G2286="", $H2286=""), "",IF(AND($E2286=$G2286, $F2286=$H2286), 3, IF(SIGN($E2286-$F2286)=SIGN($G2286-$H2286), 1, 0))))</f>
        <v/>
      </c>
    </row>
    <row r="2287">
      <c r="A2287" s="5" t="inlineStr"/>
      <c r="B2287" s="5" t="inlineStr"/>
      <c r="C2287" s="5">
        <f>IF($B2287="","",VLOOKUP($B2287,Jogos!$A$2:$K$105,8,FALSE))</f>
        <v/>
      </c>
      <c r="D2287" s="5">
        <f>IF($B2287="","",VLOOKUP($B2287,Jogos!$A$2:$K$105,10,FALSE))</f>
        <v/>
      </c>
      <c r="E2287" s="5" t="inlineStr"/>
      <c r="F2287" s="5" t="inlineStr"/>
      <c r="G2287" s="8">
        <f>IF($B2287="","",VLOOKUP($B2287,Jogos!$A$2:$K$105,9,FALSE))</f>
        <v/>
      </c>
      <c r="H2287" s="8">
        <f>IF($B2287="","",VLOOKUP($B2287,Jogos!$A$2:$K$105,11,FALSE))</f>
        <v/>
      </c>
      <c r="I2287" s="5">
        <f>IF(OR($A2287="", $B2287="", $E2287="", $F2287="", $G2287="", $H2287=""), "",IF(AND($E2287=$G2287, $F2287=$H2287), 3, IF(SIGN($E2287-$F2287)=SIGN($G2287-$H2287), 1, 0))))</f>
        <v/>
      </c>
    </row>
    <row r="2288">
      <c r="A2288" s="5" t="inlineStr"/>
      <c r="B2288" s="5" t="inlineStr"/>
      <c r="C2288" s="5">
        <f>IF($B2288="","",VLOOKUP($B2288,Jogos!$A$2:$K$105,8,FALSE))</f>
        <v/>
      </c>
      <c r="D2288" s="5">
        <f>IF($B2288="","",VLOOKUP($B2288,Jogos!$A$2:$K$105,10,FALSE))</f>
        <v/>
      </c>
      <c r="E2288" s="5" t="inlineStr"/>
      <c r="F2288" s="5" t="inlineStr"/>
      <c r="G2288" s="8">
        <f>IF($B2288="","",VLOOKUP($B2288,Jogos!$A$2:$K$105,9,FALSE))</f>
        <v/>
      </c>
      <c r="H2288" s="8">
        <f>IF($B2288="","",VLOOKUP($B2288,Jogos!$A$2:$K$105,11,FALSE))</f>
        <v/>
      </c>
      <c r="I2288" s="5">
        <f>IF(OR($A2288="", $B2288="", $E2288="", $F2288="", $G2288="", $H2288=""), "",IF(AND($E2288=$G2288, $F2288=$H2288), 3, IF(SIGN($E2288-$F2288)=SIGN($G2288-$H2288), 1, 0))))</f>
        <v/>
      </c>
    </row>
    <row r="2289">
      <c r="A2289" s="5" t="inlineStr"/>
      <c r="B2289" s="5" t="inlineStr"/>
      <c r="C2289" s="5">
        <f>IF($B2289="","",VLOOKUP($B2289,Jogos!$A$2:$K$105,8,FALSE))</f>
        <v/>
      </c>
      <c r="D2289" s="5">
        <f>IF($B2289="","",VLOOKUP($B2289,Jogos!$A$2:$K$105,10,FALSE))</f>
        <v/>
      </c>
      <c r="E2289" s="5" t="inlineStr"/>
      <c r="F2289" s="5" t="inlineStr"/>
      <c r="G2289" s="8">
        <f>IF($B2289="","",VLOOKUP($B2289,Jogos!$A$2:$K$105,9,FALSE))</f>
        <v/>
      </c>
      <c r="H2289" s="8">
        <f>IF($B2289="","",VLOOKUP($B2289,Jogos!$A$2:$K$105,11,FALSE))</f>
        <v/>
      </c>
      <c r="I2289" s="5">
        <f>IF(OR($A2289="", $B2289="", $E2289="", $F2289="", $G2289="", $H2289=""), "",IF(AND($E2289=$G2289, $F2289=$H2289), 3, IF(SIGN($E2289-$F2289)=SIGN($G2289-$H2289), 1, 0))))</f>
        <v/>
      </c>
    </row>
    <row r="2290">
      <c r="A2290" s="5" t="inlineStr"/>
      <c r="B2290" s="5" t="inlineStr"/>
      <c r="C2290" s="5">
        <f>IF($B2290="","",VLOOKUP($B2290,Jogos!$A$2:$K$105,8,FALSE))</f>
        <v/>
      </c>
      <c r="D2290" s="5">
        <f>IF($B2290="","",VLOOKUP($B2290,Jogos!$A$2:$K$105,10,FALSE))</f>
        <v/>
      </c>
      <c r="E2290" s="5" t="inlineStr"/>
      <c r="F2290" s="5" t="inlineStr"/>
      <c r="G2290" s="8">
        <f>IF($B2290="","",VLOOKUP($B2290,Jogos!$A$2:$K$105,9,FALSE))</f>
        <v/>
      </c>
      <c r="H2290" s="8">
        <f>IF($B2290="","",VLOOKUP($B2290,Jogos!$A$2:$K$105,11,FALSE))</f>
        <v/>
      </c>
      <c r="I2290" s="5">
        <f>IF(OR($A2290="", $B2290="", $E2290="", $F2290="", $G2290="", $H2290=""), "",IF(AND($E2290=$G2290, $F2290=$H2290), 3, IF(SIGN($E2290-$F2290)=SIGN($G2290-$H2290), 1, 0))))</f>
        <v/>
      </c>
    </row>
    <row r="2291">
      <c r="A2291" s="5" t="inlineStr"/>
      <c r="B2291" s="5" t="inlineStr"/>
      <c r="C2291" s="5">
        <f>IF($B2291="","",VLOOKUP($B2291,Jogos!$A$2:$K$105,8,FALSE))</f>
        <v/>
      </c>
      <c r="D2291" s="5">
        <f>IF($B2291="","",VLOOKUP($B2291,Jogos!$A$2:$K$105,10,FALSE))</f>
        <v/>
      </c>
      <c r="E2291" s="5" t="inlineStr"/>
      <c r="F2291" s="5" t="inlineStr"/>
      <c r="G2291" s="8">
        <f>IF($B2291="","",VLOOKUP($B2291,Jogos!$A$2:$K$105,9,FALSE))</f>
        <v/>
      </c>
      <c r="H2291" s="8">
        <f>IF($B2291="","",VLOOKUP($B2291,Jogos!$A$2:$K$105,11,FALSE))</f>
        <v/>
      </c>
      <c r="I2291" s="5">
        <f>IF(OR($A2291="", $B2291="", $E2291="", $F2291="", $G2291="", $H2291=""), "",IF(AND($E2291=$G2291, $F2291=$H2291), 3, IF(SIGN($E2291-$F2291)=SIGN($G2291-$H2291), 1, 0))))</f>
        <v/>
      </c>
    </row>
    <row r="2292">
      <c r="A2292" s="5" t="inlineStr"/>
      <c r="B2292" s="5" t="inlineStr"/>
      <c r="C2292" s="5">
        <f>IF($B2292="","",VLOOKUP($B2292,Jogos!$A$2:$K$105,8,FALSE))</f>
        <v/>
      </c>
      <c r="D2292" s="5">
        <f>IF($B2292="","",VLOOKUP($B2292,Jogos!$A$2:$K$105,10,FALSE))</f>
        <v/>
      </c>
      <c r="E2292" s="5" t="inlineStr"/>
      <c r="F2292" s="5" t="inlineStr"/>
      <c r="G2292" s="8">
        <f>IF($B2292="","",VLOOKUP($B2292,Jogos!$A$2:$K$105,9,FALSE))</f>
        <v/>
      </c>
      <c r="H2292" s="8">
        <f>IF($B2292="","",VLOOKUP($B2292,Jogos!$A$2:$K$105,11,FALSE))</f>
        <v/>
      </c>
      <c r="I2292" s="5">
        <f>IF(OR($A2292="", $B2292="", $E2292="", $F2292="", $G2292="", $H2292=""), "",IF(AND($E2292=$G2292, $F2292=$H2292), 3, IF(SIGN($E2292-$F2292)=SIGN($G2292-$H2292), 1, 0))))</f>
        <v/>
      </c>
    </row>
    <row r="2293">
      <c r="A2293" s="5" t="inlineStr"/>
      <c r="B2293" s="5" t="inlineStr"/>
      <c r="C2293" s="5">
        <f>IF($B2293="","",VLOOKUP($B2293,Jogos!$A$2:$K$105,8,FALSE))</f>
        <v/>
      </c>
      <c r="D2293" s="5">
        <f>IF($B2293="","",VLOOKUP($B2293,Jogos!$A$2:$K$105,10,FALSE))</f>
        <v/>
      </c>
      <c r="E2293" s="5" t="inlineStr"/>
      <c r="F2293" s="5" t="inlineStr"/>
      <c r="G2293" s="8">
        <f>IF($B2293="","",VLOOKUP($B2293,Jogos!$A$2:$K$105,9,FALSE))</f>
        <v/>
      </c>
      <c r="H2293" s="8">
        <f>IF($B2293="","",VLOOKUP($B2293,Jogos!$A$2:$K$105,11,FALSE))</f>
        <v/>
      </c>
      <c r="I2293" s="5">
        <f>IF(OR($A2293="", $B2293="", $E2293="", $F2293="", $G2293="", $H2293=""), "",IF(AND($E2293=$G2293, $F2293=$H2293), 3, IF(SIGN($E2293-$F2293)=SIGN($G2293-$H2293), 1, 0))))</f>
        <v/>
      </c>
    </row>
    <row r="2294">
      <c r="A2294" s="5" t="inlineStr"/>
      <c r="B2294" s="5" t="inlineStr"/>
      <c r="C2294" s="5">
        <f>IF($B2294="","",VLOOKUP($B2294,Jogos!$A$2:$K$105,8,FALSE))</f>
        <v/>
      </c>
      <c r="D2294" s="5">
        <f>IF($B2294="","",VLOOKUP($B2294,Jogos!$A$2:$K$105,10,FALSE))</f>
        <v/>
      </c>
      <c r="E2294" s="5" t="inlineStr"/>
      <c r="F2294" s="5" t="inlineStr"/>
      <c r="G2294" s="8">
        <f>IF($B2294="","",VLOOKUP($B2294,Jogos!$A$2:$K$105,9,FALSE))</f>
        <v/>
      </c>
      <c r="H2294" s="8">
        <f>IF($B2294="","",VLOOKUP($B2294,Jogos!$A$2:$K$105,11,FALSE))</f>
        <v/>
      </c>
      <c r="I2294" s="5">
        <f>IF(OR($A2294="", $B2294="", $E2294="", $F2294="", $G2294="", $H2294=""), "",IF(AND($E2294=$G2294, $F2294=$H2294), 3, IF(SIGN($E2294-$F2294)=SIGN($G2294-$H2294), 1, 0))))</f>
        <v/>
      </c>
    </row>
    <row r="2295">
      <c r="A2295" s="5" t="inlineStr"/>
      <c r="B2295" s="5" t="inlineStr"/>
      <c r="C2295" s="5">
        <f>IF($B2295="","",VLOOKUP($B2295,Jogos!$A$2:$K$105,8,FALSE))</f>
        <v/>
      </c>
      <c r="D2295" s="5">
        <f>IF($B2295="","",VLOOKUP($B2295,Jogos!$A$2:$K$105,10,FALSE))</f>
        <v/>
      </c>
      <c r="E2295" s="5" t="inlineStr"/>
      <c r="F2295" s="5" t="inlineStr"/>
      <c r="G2295" s="8">
        <f>IF($B2295="","",VLOOKUP($B2295,Jogos!$A$2:$K$105,9,FALSE))</f>
        <v/>
      </c>
      <c r="H2295" s="8">
        <f>IF($B2295="","",VLOOKUP($B2295,Jogos!$A$2:$K$105,11,FALSE))</f>
        <v/>
      </c>
      <c r="I2295" s="5">
        <f>IF(OR($A2295="", $B2295="", $E2295="", $F2295="", $G2295="", $H2295=""), "",IF(AND($E2295=$G2295, $F2295=$H2295), 3, IF(SIGN($E2295-$F2295)=SIGN($G2295-$H2295), 1, 0))))</f>
        <v/>
      </c>
    </row>
    <row r="2296">
      <c r="A2296" s="5" t="inlineStr"/>
      <c r="B2296" s="5" t="inlineStr"/>
      <c r="C2296" s="5">
        <f>IF($B2296="","",VLOOKUP($B2296,Jogos!$A$2:$K$105,8,FALSE))</f>
        <v/>
      </c>
      <c r="D2296" s="5">
        <f>IF($B2296="","",VLOOKUP($B2296,Jogos!$A$2:$K$105,10,FALSE))</f>
        <v/>
      </c>
      <c r="E2296" s="5" t="inlineStr"/>
      <c r="F2296" s="5" t="inlineStr"/>
      <c r="G2296" s="8">
        <f>IF($B2296="","",VLOOKUP($B2296,Jogos!$A$2:$K$105,9,FALSE))</f>
        <v/>
      </c>
      <c r="H2296" s="8">
        <f>IF($B2296="","",VLOOKUP($B2296,Jogos!$A$2:$K$105,11,FALSE))</f>
        <v/>
      </c>
      <c r="I2296" s="5">
        <f>IF(OR($A2296="", $B2296="", $E2296="", $F2296="", $G2296="", $H2296=""), "",IF(AND($E2296=$G2296, $F2296=$H2296), 3, IF(SIGN($E2296-$F2296)=SIGN($G2296-$H2296), 1, 0))))</f>
        <v/>
      </c>
    </row>
    <row r="2297">
      <c r="A2297" s="5" t="inlineStr"/>
      <c r="B2297" s="5" t="inlineStr"/>
      <c r="C2297" s="5">
        <f>IF($B2297="","",VLOOKUP($B2297,Jogos!$A$2:$K$105,8,FALSE))</f>
        <v/>
      </c>
      <c r="D2297" s="5">
        <f>IF($B2297="","",VLOOKUP($B2297,Jogos!$A$2:$K$105,10,FALSE))</f>
        <v/>
      </c>
      <c r="E2297" s="5" t="inlineStr"/>
      <c r="F2297" s="5" t="inlineStr"/>
      <c r="G2297" s="8">
        <f>IF($B2297="","",VLOOKUP($B2297,Jogos!$A$2:$K$105,9,FALSE))</f>
        <v/>
      </c>
      <c r="H2297" s="8">
        <f>IF($B2297="","",VLOOKUP($B2297,Jogos!$A$2:$K$105,11,FALSE))</f>
        <v/>
      </c>
      <c r="I2297" s="5">
        <f>IF(OR($A2297="", $B2297="", $E2297="", $F2297="", $G2297="", $H2297=""), "",IF(AND($E2297=$G2297, $F2297=$H2297), 3, IF(SIGN($E2297-$F2297)=SIGN($G2297-$H2297), 1, 0))))</f>
        <v/>
      </c>
    </row>
    <row r="2298">
      <c r="A2298" s="5" t="inlineStr"/>
      <c r="B2298" s="5" t="inlineStr"/>
      <c r="C2298" s="5">
        <f>IF($B2298="","",VLOOKUP($B2298,Jogos!$A$2:$K$105,8,FALSE))</f>
        <v/>
      </c>
      <c r="D2298" s="5">
        <f>IF($B2298="","",VLOOKUP($B2298,Jogos!$A$2:$K$105,10,FALSE))</f>
        <v/>
      </c>
      <c r="E2298" s="5" t="inlineStr"/>
      <c r="F2298" s="5" t="inlineStr"/>
      <c r="G2298" s="8">
        <f>IF($B2298="","",VLOOKUP($B2298,Jogos!$A$2:$K$105,9,FALSE))</f>
        <v/>
      </c>
      <c r="H2298" s="8">
        <f>IF($B2298="","",VLOOKUP($B2298,Jogos!$A$2:$K$105,11,FALSE))</f>
        <v/>
      </c>
      <c r="I2298" s="5">
        <f>IF(OR($A2298="", $B2298="", $E2298="", $F2298="", $G2298="", $H2298=""), "",IF(AND($E2298=$G2298, $F2298=$H2298), 3, IF(SIGN($E2298-$F2298)=SIGN($G2298-$H2298), 1, 0))))</f>
        <v/>
      </c>
    </row>
    <row r="2299">
      <c r="A2299" s="5" t="inlineStr"/>
      <c r="B2299" s="5" t="inlineStr"/>
      <c r="C2299" s="5">
        <f>IF($B2299="","",VLOOKUP($B2299,Jogos!$A$2:$K$105,8,FALSE))</f>
        <v/>
      </c>
      <c r="D2299" s="5">
        <f>IF($B2299="","",VLOOKUP($B2299,Jogos!$A$2:$K$105,10,FALSE))</f>
        <v/>
      </c>
      <c r="E2299" s="5" t="inlineStr"/>
      <c r="F2299" s="5" t="inlineStr"/>
      <c r="G2299" s="8">
        <f>IF($B2299="","",VLOOKUP($B2299,Jogos!$A$2:$K$105,9,FALSE))</f>
        <v/>
      </c>
      <c r="H2299" s="8">
        <f>IF($B2299="","",VLOOKUP($B2299,Jogos!$A$2:$K$105,11,FALSE))</f>
        <v/>
      </c>
      <c r="I2299" s="5">
        <f>IF(OR($A2299="", $B2299="", $E2299="", $F2299="", $G2299="", $H2299=""), "",IF(AND($E2299=$G2299, $F2299=$H2299), 3, IF(SIGN($E2299-$F2299)=SIGN($G2299-$H2299), 1, 0))))</f>
        <v/>
      </c>
    </row>
    <row r="2300">
      <c r="A2300" s="5" t="inlineStr"/>
      <c r="B2300" s="5" t="inlineStr"/>
      <c r="C2300" s="5">
        <f>IF($B2300="","",VLOOKUP($B2300,Jogos!$A$2:$K$105,8,FALSE))</f>
        <v/>
      </c>
      <c r="D2300" s="5">
        <f>IF($B2300="","",VLOOKUP($B2300,Jogos!$A$2:$K$105,10,FALSE))</f>
        <v/>
      </c>
      <c r="E2300" s="5" t="inlineStr"/>
      <c r="F2300" s="5" t="inlineStr"/>
      <c r="G2300" s="8">
        <f>IF($B2300="","",VLOOKUP($B2300,Jogos!$A$2:$K$105,9,FALSE))</f>
        <v/>
      </c>
      <c r="H2300" s="8">
        <f>IF($B2300="","",VLOOKUP($B2300,Jogos!$A$2:$K$105,11,FALSE))</f>
        <v/>
      </c>
      <c r="I2300" s="5">
        <f>IF(OR($A2300="", $B2300="", $E2300="", $F2300="", $G2300="", $H2300=""), "",IF(AND($E2300=$G2300, $F2300=$H2300), 3, IF(SIGN($E2300-$F2300)=SIGN($G2300-$H2300), 1, 0))))</f>
        <v/>
      </c>
    </row>
    <row r="2301">
      <c r="A2301" s="5" t="inlineStr"/>
      <c r="B2301" s="5" t="inlineStr"/>
      <c r="C2301" s="5">
        <f>IF($B2301="","",VLOOKUP($B2301,Jogos!$A$2:$K$105,8,FALSE))</f>
        <v/>
      </c>
      <c r="D2301" s="5">
        <f>IF($B2301="","",VLOOKUP($B2301,Jogos!$A$2:$K$105,10,FALSE))</f>
        <v/>
      </c>
      <c r="E2301" s="5" t="inlineStr"/>
      <c r="F2301" s="5" t="inlineStr"/>
      <c r="G2301" s="8">
        <f>IF($B2301="","",VLOOKUP($B2301,Jogos!$A$2:$K$105,9,FALSE))</f>
        <v/>
      </c>
      <c r="H2301" s="8">
        <f>IF($B2301="","",VLOOKUP($B2301,Jogos!$A$2:$K$105,11,FALSE))</f>
        <v/>
      </c>
      <c r="I2301" s="5">
        <f>IF(OR($A2301="", $B2301="", $E2301="", $F2301="", $G2301="", $H2301=""), "",IF(AND($E2301=$G2301, $F2301=$H2301), 3, IF(SIGN($E2301-$F2301)=SIGN($G2301-$H2301), 1, 0))))</f>
        <v/>
      </c>
    </row>
    <row r="2302">
      <c r="A2302" s="5" t="inlineStr"/>
      <c r="B2302" s="5" t="inlineStr"/>
      <c r="C2302" s="5">
        <f>IF($B2302="","",VLOOKUP($B2302,Jogos!$A$2:$K$105,8,FALSE))</f>
        <v/>
      </c>
      <c r="D2302" s="5">
        <f>IF($B2302="","",VLOOKUP($B2302,Jogos!$A$2:$K$105,10,FALSE))</f>
        <v/>
      </c>
      <c r="E2302" s="5" t="inlineStr"/>
      <c r="F2302" s="5" t="inlineStr"/>
      <c r="G2302" s="8">
        <f>IF($B2302="","",VLOOKUP($B2302,Jogos!$A$2:$K$105,9,FALSE))</f>
        <v/>
      </c>
      <c r="H2302" s="8">
        <f>IF($B2302="","",VLOOKUP($B2302,Jogos!$A$2:$K$105,11,FALSE))</f>
        <v/>
      </c>
      <c r="I2302" s="5">
        <f>IF(OR($A2302="", $B2302="", $E2302="", $F2302="", $G2302="", $H2302=""), "",IF(AND($E2302=$G2302, $F2302=$H2302), 3, IF(SIGN($E2302-$F2302)=SIGN($G2302-$H2302), 1, 0))))</f>
        <v/>
      </c>
    </row>
    <row r="2303">
      <c r="A2303" s="5" t="inlineStr"/>
      <c r="B2303" s="5" t="inlineStr"/>
      <c r="C2303" s="5">
        <f>IF($B2303="","",VLOOKUP($B2303,Jogos!$A$2:$K$105,8,FALSE))</f>
        <v/>
      </c>
      <c r="D2303" s="5">
        <f>IF($B2303="","",VLOOKUP($B2303,Jogos!$A$2:$K$105,10,FALSE))</f>
        <v/>
      </c>
      <c r="E2303" s="5" t="inlineStr"/>
      <c r="F2303" s="5" t="inlineStr"/>
      <c r="G2303" s="8">
        <f>IF($B2303="","",VLOOKUP($B2303,Jogos!$A$2:$K$105,9,FALSE))</f>
        <v/>
      </c>
      <c r="H2303" s="8">
        <f>IF($B2303="","",VLOOKUP($B2303,Jogos!$A$2:$K$105,11,FALSE))</f>
        <v/>
      </c>
      <c r="I2303" s="5">
        <f>IF(OR($A2303="", $B2303="", $E2303="", $F2303="", $G2303="", $H2303=""), "",IF(AND($E2303=$G2303, $F2303=$H2303), 3, IF(SIGN($E2303-$F2303)=SIGN($G2303-$H2303), 1, 0))))</f>
        <v/>
      </c>
    </row>
    <row r="2304">
      <c r="A2304" s="5" t="inlineStr"/>
      <c r="B2304" s="5" t="inlineStr"/>
      <c r="C2304" s="5">
        <f>IF($B2304="","",VLOOKUP($B2304,Jogos!$A$2:$K$105,8,FALSE))</f>
        <v/>
      </c>
      <c r="D2304" s="5">
        <f>IF($B2304="","",VLOOKUP($B2304,Jogos!$A$2:$K$105,10,FALSE))</f>
        <v/>
      </c>
      <c r="E2304" s="5" t="inlineStr"/>
      <c r="F2304" s="5" t="inlineStr"/>
      <c r="G2304" s="8">
        <f>IF($B2304="","",VLOOKUP($B2304,Jogos!$A$2:$K$105,9,FALSE))</f>
        <v/>
      </c>
      <c r="H2304" s="8">
        <f>IF($B2304="","",VLOOKUP($B2304,Jogos!$A$2:$K$105,11,FALSE))</f>
        <v/>
      </c>
      <c r="I2304" s="5">
        <f>IF(OR($A2304="", $B2304="", $E2304="", $F2304="", $G2304="", $H2304=""), "",IF(AND($E2304=$G2304, $F2304=$H2304), 3, IF(SIGN($E2304-$F2304)=SIGN($G2304-$H2304), 1, 0))))</f>
        <v/>
      </c>
    </row>
    <row r="2305">
      <c r="A2305" s="5" t="inlineStr"/>
      <c r="B2305" s="5" t="inlineStr"/>
      <c r="C2305" s="5">
        <f>IF($B2305="","",VLOOKUP($B2305,Jogos!$A$2:$K$105,8,FALSE))</f>
        <v/>
      </c>
      <c r="D2305" s="5">
        <f>IF($B2305="","",VLOOKUP($B2305,Jogos!$A$2:$K$105,10,FALSE))</f>
        <v/>
      </c>
      <c r="E2305" s="5" t="inlineStr"/>
      <c r="F2305" s="5" t="inlineStr"/>
      <c r="G2305" s="8">
        <f>IF($B2305="","",VLOOKUP($B2305,Jogos!$A$2:$K$105,9,FALSE))</f>
        <v/>
      </c>
      <c r="H2305" s="8">
        <f>IF($B2305="","",VLOOKUP($B2305,Jogos!$A$2:$K$105,11,FALSE))</f>
        <v/>
      </c>
      <c r="I2305" s="5">
        <f>IF(OR($A2305="", $B2305="", $E2305="", $F2305="", $G2305="", $H2305=""), "",IF(AND($E2305=$G2305, $F2305=$H2305), 3, IF(SIGN($E2305-$F2305)=SIGN($G2305-$H2305), 1, 0))))</f>
        <v/>
      </c>
    </row>
    <row r="2306">
      <c r="A2306" s="5" t="inlineStr"/>
      <c r="B2306" s="5" t="inlineStr"/>
      <c r="C2306" s="5">
        <f>IF($B2306="","",VLOOKUP($B2306,Jogos!$A$2:$K$105,8,FALSE))</f>
        <v/>
      </c>
      <c r="D2306" s="5">
        <f>IF($B2306="","",VLOOKUP($B2306,Jogos!$A$2:$K$105,10,FALSE))</f>
        <v/>
      </c>
      <c r="E2306" s="5" t="inlineStr"/>
      <c r="F2306" s="5" t="inlineStr"/>
      <c r="G2306" s="8">
        <f>IF($B2306="","",VLOOKUP($B2306,Jogos!$A$2:$K$105,9,FALSE))</f>
        <v/>
      </c>
      <c r="H2306" s="8">
        <f>IF($B2306="","",VLOOKUP($B2306,Jogos!$A$2:$K$105,11,FALSE))</f>
        <v/>
      </c>
      <c r="I2306" s="5">
        <f>IF(OR($A2306="", $B2306="", $E2306="", $F2306="", $G2306="", $H2306=""), "",IF(AND($E2306=$G2306, $F2306=$H2306), 3, IF(SIGN($E2306-$F2306)=SIGN($G2306-$H2306), 1, 0))))</f>
        <v/>
      </c>
    </row>
    <row r="2307">
      <c r="A2307" s="5" t="inlineStr"/>
      <c r="B2307" s="5" t="inlineStr"/>
      <c r="C2307" s="5">
        <f>IF($B2307="","",VLOOKUP($B2307,Jogos!$A$2:$K$105,8,FALSE))</f>
        <v/>
      </c>
      <c r="D2307" s="5">
        <f>IF($B2307="","",VLOOKUP($B2307,Jogos!$A$2:$K$105,10,FALSE))</f>
        <v/>
      </c>
      <c r="E2307" s="5" t="inlineStr"/>
      <c r="F2307" s="5" t="inlineStr"/>
      <c r="G2307" s="8">
        <f>IF($B2307="","",VLOOKUP($B2307,Jogos!$A$2:$K$105,9,FALSE))</f>
        <v/>
      </c>
      <c r="H2307" s="8">
        <f>IF($B2307="","",VLOOKUP($B2307,Jogos!$A$2:$K$105,11,FALSE))</f>
        <v/>
      </c>
      <c r="I2307" s="5">
        <f>IF(OR($A2307="", $B2307="", $E2307="", $F2307="", $G2307="", $H2307=""), "",IF(AND($E2307=$G2307, $F2307=$H2307), 3, IF(SIGN($E2307-$F2307)=SIGN($G2307-$H2307), 1, 0))))</f>
        <v/>
      </c>
    </row>
    <row r="2308">
      <c r="A2308" s="5" t="inlineStr"/>
      <c r="B2308" s="5" t="inlineStr"/>
      <c r="C2308" s="5">
        <f>IF($B2308="","",VLOOKUP($B2308,Jogos!$A$2:$K$105,8,FALSE))</f>
        <v/>
      </c>
      <c r="D2308" s="5">
        <f>IF($B2308="","",VLOOKUP($B2308,Jogos!$A$2:$K$105,10,FALSE))</f>
        <v/>
      </c>
      <c r="E2308" s="5" t="inlineStr"/>
      <c r="F2308" s="5" t="inlineStr"/>
      <c r="G2308" s="8">
        <f>IF($B2308="","",VLOOKUP($B2308,Jogos!$A$2:$K$105,9,FALSE))</f>
        <v/>
      </c>
      <c r="H2308" s="8">
        <f>IF($B2308="","",VLOOKUP($B2308,Jogos!$A$2:$K$105,11,FALSE))</f>
        <v/>
      </c>
      <c r="I2308" s="5">
        <f>IF(OR($A2308="", $B2308="", $E2308="", $F2308="", $G2308="", $H2308=""), "",IF(AND($E2308=$G2308, $F2308=$H2308), 3, IF(SIGN($E2308-$F2308)=SIGN($G2308-$H2308), 1, 0))))</f>
        <v/>
      </c>
    </row>
    <row r="2309">
      <c r="A2309" s="5" t="inlineStr"/>
      <c r="B2309" s="5" t="inlineStr"/>
      <c r="C2309" s="5">
        <f>IF($B2309="","",VLOOKUP($B2309,Jogos!$A$2:$K$105,8,FALSE))</f>
        <v/>
      </c>
      <c r="D2309" s="5">
        <f>IF($B2309="","",VLOOKUP($B2309,Jogos!$A$2:$K$105,10,FALSE))</f>
        <v/>
      </c>
      <c r="E2309" s="5" t="inlineStr"/>
      <c r="F2309" s="5" t="inlineStr"/>
      <c r="G2309" s="8">
        <f>IF($B2309="","",VLOOKUP($B2309,Jogos!$A$2:$K$105,9,FALSE))</f>
        <v/>
      </c>
      <c r="H2309" s="8">
        <f>IF($B2309="","",VLOOKUP($B2309,Jogos!$A$2:$K$105,11,FALSE))</f>
        <v/>
      </c>
      <c r="I2309" s="5">
        <f>IF(OR($A2309="", $B2309="", $E2309="", $F2309="", $G2309="", $H2309=""), "",IF(AND($E2309=$G2309, $F2309=$H2309), 3, IF(SIGN($E2309-$F2309)=SIGN($G2309-$H2309), 1, 0))))</f>
        <v/>
      </c>
    </row>
    <row r="2310">
      <c r="A2310" s="5" t="inlineStr"/>
      <c r="B2310" s="5" t="inlineStr"/>
      <c r="C2310" s="5">
        <f>IF($B2310="","",VLOOKUP($B2310,Jogos!$A$2:$K$105,8,FALSE))</f>
        <v/>
      </c>
      <c r="D2310" s="5">
        <f>IF($B2310="","",VLOOKUP($B2310,Jogos!$A$2:$K$105,10,FALSE))</f>
        <v/>
      </c>
      <c r="E2310" s="5" t="inlineStr"/>
      <c r="F2310" s="5" t="inlineStr"/>
      <c r="G2310" s="8">
        <f>IF($B2310="","",VLOOKUP($B2310,Jogos!$A$2:$K$105,9,FALSE))</f>
        <v/>
      </c>
      <c r="H2310" s="8">
        <f>IF($B2310="","",VLOOKUP($B2310,Jogos!$A$2:$K$105,11,FALSE))</f>
        <v/>
      </c>
      <c r="I2310" s="5">
        <f>IF(OR($A2310="", $B2310="", $E2310="", $F2310="", $G2310="", $H2310=""), "",IF(AND($E2310=$G2310, $F2310=$H2310), 3, IF(SIGN($E2310-$F2310)=SIGN($G2310-$H2310), 1, 0))))</f>
        <v/>
      </c>
    </row>
    <row r="2311">
      <c r="A2311" s="5" t="inlineStr"/>
      <c r="B2311" s="5" t="inlineStr"/>
      <c r="C2311" s="5">
        <f>IF($B2311="","",VLOOKUP($B2311,Jogos!$A$2:$K$105,8,FALSE))</f>
        <v/>
      </c>
      <c r="D2311" s="5">
        <f>IF($B2311="","",VLOOKUP($B2311,Jogos!$A$2:$K$105,10,FALSE))</f>
        <v/>
      </c>
      <c r="E2311" s="5" t="inlineStr"/>
      <c r="F2311" s="5" t="inlineStr"/>
      <c r="G2311" s="8">
        <f>IF($B2311="","",VLOOKUP($B2311,Jogos!$A$2:$K$105,9,FALSE))</f>
        <v/>
      </c>
      <c r="H2311" s="8">
        <f>IF($B2311="","",VLOOKUP($B2311,Jogos!$A$2:$K$105,11,FALSE))</f>
        <v/>
      </c>
      <c r="I2311" s="5">
        <f>IF(OR($A2311="", $B2311="", $E2311="", $F2311="", $G2311="", $H2311=""), "",IF(AND($E2311=$G2311, $F2311=$H2311), 3, IF(SIGN($E2311-$F2311)=SIGN($G2311-$H2311), 1, 0))))</f>
        <v/>
      </c>
    </row>
    <row r="2312">
      <c r="A2312" s="5" t="inlineStr"/>
      <c r="B2312" s="5" t="inlineStr"/>
      <c r="C2312" s="5">
        <f>IF($B2312="","",VLOOKUP($B2312,Jogos!$A$2:$K$105,8,FALSE))</f>
        <v/>
      </c>
      <c r="D2312" s="5">
        <f>IF($B2312="","",VLOOKUP($B2312,Jogos!$A$2:$K$105,10,FALSE))</f>
        <v/>
      </c>
      <c r="E2312" s="5" t="inlineStr"/>
      <c r="F2312" s="5" t="inlineStr"/>
      <c r="G2312" s="8">
        <f>IF($B2312="","",VLOOKUP($B2312,Jogos!$A$2:$K$105,9,FALSE))</f>
        <v/>
      </c>
      <c r="H2312" s="8">
        <f>IF($B2312="","",VLOOKUP($B2312,Jogos!$A$2:$K$105,11,FALSE))</f>
        <v/>
      </c>
      <c r="I2312" s="5">
        <f>IF(OR($A2312="", $B2312="", $E2312="", $F2312="", $G2312="", $H2312=""), "",IF(AND($E2312=$G2312, $F2312=$H2312), 3, IF(SIGN($E2312-$F2312)=SIGN($G2312-$H2312), 1, 0))))</f>
        <v/>
      </c>
    </row>
    <row r="2313">
      <c r="A2313" s="5" t="inlineStr"/>
      <c r="B2313" s="5" t="inlineStr"/>
      <c r="C2313" s="5">
        <f>IF($B2313="","",VLOOKUP($B2313,Jogos!$A$2:$K$105,8,FALSE))</f>
        <v/>
      </c>
      <c r="D2313" s="5">
        <f>IF($B2313="","",VLOOKUP($B2313,Jogos!$A$2:$K$105,10,FALSE))</f>
        <v/>
      </c>
      <c r="E2313" s="5" t="inlineStr"/>
      <c r="F2313" s="5" t="inlineStr"/>
      <c r="G2313" s="8">
        <f>IF($B2313="","",VLOOKUP($B2313,Jogos!$A$2:$K$105,9,FALSE))</f>
        <v/>
      </c>
      <c r="H2313" s="8">
        <f>IF($B2313="","",VLOOKUP($B2313,Jogos!$A$2:$K$105,11,FALSE))</f>
        <v/>
      </c>
      <c r="I2313" s="5">
        <f>IF(OR($A2313="", $B2313="", $E2313="", $F2313="", $G2313="", $H2313=""), "",IF(AND($E2313=$G2313, $F2313=$H2313), 3, IF(SIGN($E2313-$F2313)=SIGN($G2313-$H2313), 1, 0))))</f>
        <v/>
      </c>
    </row>
    <row r="2314">
      <c r="A2314" s="5" t="inlineStr"/>
      <c r="B2314" s="5" t="inlineStr"/>
      <c r="C2314" s="5">
        <f>IF($B2314="","",VLOOKUP($B2314,Jogos!$A$2:$K$105,8,FALSE))</f>
        <v/>
      </c>
      <c r="D2314" s="5">
        <f>IF($B2314="","",VLOOKUP($B2314,Jogos!$A$2:$K$105,10,FALSE))</f>
        <v/>
      </c>
      <c r="E2314" s="5" t="inlineStr"/>
      <c r="F2314" s="5" t="inlineStr"/>
      <c r="G2314" s="8">
        <f>IF($B2314="","",VLOOKUP($B2314,Jogos!$A$2:$K$105,9,FALSE))</f>
        <v/>
      </c>
      <c r="H2314" s="8">
        <f>IF($B2314="","",VLOOKUP($B2314,Jogos!$A$2:$K$105,11,FALSE))</f>
        <v/>
      </c>
      <c r="I2314" s="5">
        <f>IF(OR($A2314="", $B2314="", $E2314="", $F2314="", $G2314="", $H2314=""), "",IF(AND($E2314=$G2314, $F2314=$H2314), 3, IF(SIGN($E2314-$F2314)=SIGN($G2314-$H2314), 1, 0))))</f>
        <v/>
      </c>
    </row>
    <row r="2315">
      <c r="A2315" s="5" t="inlineStr"/>
      <c r="B2315" s="5" t="inlineStr"/>
      <c r="C2315" s="5">
        <f>IF($B2315="","",VLOOKUP($B2315,Jogos!$A$2:$K$105,8,FALSE))</f>
        <v/>
      </c>
      <c r="D2315" s="5">
        <f>IF($B2315="","",VLOOKUP($B2315,Jogos!$A$2:$K$105,10,FALSE))</f>
        <v/>
      </c>
      <c r="E2315" s="5" t="inlineStr"/>
      <c r="F2315" s="5" t="inlineStr"/>
      <c r="G2315" s="8">
        <f>IF($B2315="","",VLOOKUP($B2315,Jogos!$A$2:$K$105,9,FALSE))</f>
        <v/>
      </c>
      <c r="H2315" s="8">
        <f>IF($B2315="","",VLOOKUP($B2315,Jogos!$A$2:$K$105,11,FALSE))</f>
        <v/>
      </c>
      <c r="I2315" s="5">
        <f>IF(OR($A2315="", $B2315="", $E2315="", $F2315="", $G2315="", $H2315=""), "",IF(AND($E2315=$G2315, $F2315=$H2315), 3, IF(SIGN($E2315-$F2315)=SIGN($G2315-$H2315), 1, 0))))</f>
        <v/>
      </c>
    </row>
    <row r="2316">
      <c r="A2316" s="5" t="inlineStr"/>
      <c r="B2316" s="5" t="inlineStr"/>
      <c r="C2316" s="5">
        <f>IF($B2316="","",VLOOKUP($B2316,Jogos!$A$2:$K$105,8,FALSE))</f>
        <v/>
      </c>
      <c r="D2316" s="5">
        <f>IF($B2316="","",VLOOKUP($B2316,Jogos!$A$2:$K$105,10,FALSE))</f>
        <v/>
      </c>
      <c r="E2316" s="5" t="inlineStr"/>
      <c r="F2316" s="5" t="inlineStr"/>
      <c r="G2316" s="8">
        <f>IF($B2316="","",VLOOKUP($B2316,Jogos!$A$2:$K$105,9,FALSE))</f>
        <v/>
      </c>
      <c r="H2316" s="8">
        <f>IF($B2316="","",VLOOKUP($B2316,Jogos!$A$2:$K$105,11,FALSE))</f>
        <v/>
      </c>
      <c r="I2316" s="5">
        <f>IF(OR($A2316="", $B2316="", $E2316="", $F2316="", $G2316="", $H2316=""), "",IF(AND($E2316=$G2316, $F2316=$H2316), 3, IF(SIGN($E2316-$F2316)=SIGN($G2316-$H2316), 1, 0))))</f>
        <v/>
      </c>
    </row>
    <row r="2317">
      <c r="A2317" s="5" t="inlineStr"/>
      <c r="B2317" s="5" t="inlineStr"/>
      <c r="C2317" s="5">
        <f>IF($B2317="","",VLOOKUP($B2317,Jogos!$A$2:$K$105,8,FALSE))</f>
        <v/>
      </c>
      <c r="D2317" s="5">
        <f>IF($B2317="","",VLOOKUP($B2317,Jogos!$A$2:$K$105,10,FALSE))</f>
        <v/>
      </c>
      <c r="E2317" s="5" t="inlineStr"/>
      <c r="F2317" s="5" t="inlineStr"/>
      <c r="G2317" s="8">
        <f>IF($B2317="","",VLOOKUP($B2317,Jogos!$A$2:$K$105,9,FALSE))</f>
        <v/>
      </c>
      <c r="H2317" s="8">
        <f>IF($B2317="","",VLOOKUP($B2317,Jogos!$A$2:$K$105,11,FALSE))</f>
        <v/>
      </c>
      <c r="I2317" s="5">
        <f>IF(OR($A2317="", $B2317="", $E2317="", $F2317="", $G2317="", $H2317=""), "",IF(AND($E2317=$G2317, $F2317=$H2317), 3, IF(SIGN($E2317-$F2317)=SIGN($G2317-$H2317), 1, 0))))</f>
        <v/>
      </c>
    </row>
    <row r="2318">
      <c r="A2318" s="5" t="inlineStr"/>
      <c r="B2318" s="5" t="inlineStr"/>
      <c r="C2318" s="5">
        <f>IF($B2318="","",VLOOKUP($B2318,Jogos!$A$2:$K$105,8,FALSE))</f>
        <v/>
      </c>
      <c r="D2318" s="5">
        <f>IF($B2318="","",VLOOKUP($B2318,Jogos!$A$2:$K$105,10,FALSE))</f>
        <v/>
      </c>
      <c r="E2318" s="5" t="inlineStr"/>
      <c r="F2318" s="5" t="inlineStr"/>
      <c r="G2318" s="8">
        <f>IF($B2318="","",VLOOKUP($B2318,Jogos!$A$2:$K$105,9,FALSE))</f>
        <v/>
      </c>
      <c r="H2318" s="8">
        <f>IF($B2318="","",VLOOKUP($B2318,Jogos!$A$2:$K$105,11,FALSE))</f>
        <v/>
      </c>
      <c r="I2318" s="5">
        <f>IF(OR($A2318="", $B2318="", $E2318="", $F2318="", $G2318="", $H2318=""), "",IF(AND($E2318=$G2318, $F2318=$H2318), 3, IF(SIGN($E2318-$F2318)=SIGN($G2318-$H2318), 1, 0))))</f>
        <v/>
      </c>
    </row>
    <row r="2319">
      <c r="A2319" s="5" t="inlineStr"/>
      <c r="B2319" s="5" t="inlineStr"/>
      <c r="C2319" s="5">
        <f>IF($B2319="","",VLOOKUP($B2319,Jogos!$A$2:$K$105,8,FALSE))</f>
        <v/>
      </c>
      <c r="D2319" s="5">
        <f>IF($B2319="","",VLOOKUP($B2319,Jogos!$A$2:$K$105,10,FALSE))</f>
        <v/>
      </c>
      <c r="E2319" s="5" t="inlineStr"/>
      <c r="F2319" s="5" t="inlineStr"/>
      <c r="G2319" s="8">
        <f>IF($B2319="","",VLOOKUP($B2319,Jogos!$A$2:$K$105,9,FALSE))</f>
        <v/>
      </c>
      <c r="H2319" s="8">
        <f>IF($B2319="","",VLOOKUP($B2319,Jogos!$A$2:$K$105,11,FALSE))</f>
        <v/>
      </c>
      <c r="I2319" s="5">
        <f>IF(OR($A2319="", $B2319="", $E2319="", $F2319="", $G2319="", $H2319=""), "",IF(AND($E2319=$G2319, $F2319=$H2319), 3, IF(SIGN($E2319-$F2319)=SIGN($G2319-$H2319), 1, 0))))</f>
        <v/>
      </c>
    </row>
    <row r="2320">
      <c r="A2320" s="5" t="inlineStr"/>
      <c r="B2320" s="5" t="inlineStr"/>
      <c r="C2320" s="5">
        <f>IF($B2320="","",VLOOKUP($B2320,Jogos!$A$2:$K$105,8,FALSE))</f>
        <v/>
      </c>
      <c r="D2320" s="5">
        <f>IF($B2320="","",VLOOKUP($B2320,Jogos!$A$2:$K$105,10,FALSE))</f>
        <v/>
      </c>
      <c r="E2320" s="5" t="inlineStr"/>
      <c r="F2320" s="5" t="inlineStr"/>
      <c r="G2320" s="8">
        <f>IF($B2320="","",VLOOKUP($B2320,Jogos!$A$2:$K$105,9,FALSE))</f>
        <v/>
      </c>
      <c r="H2320" s="8">
        <f>IF($B2320="","",VLOOKUP($B2320,Jogos!$A$2:$K$105,11,FALSE))</f>
        <v/>
      </c>
      <c r="I2320" s="5">
        <f>IF(OR($A2320="", $B2320="", $E2320="", $F2320="", $G2320="", $H2320=""), "",IF(AND($E2320=$G2320, $F2320=$H2320), 3, IF(SIGN($E2320-$F2320)=SIGN($G2320-$H2320), 1, 0))))</f>
        <v/>
      </c>
    </row>
    <row r="2321">
      <c r="A2321" s="5" t="inlineStr"/>
      <c r="B2321" s="5" t="inlineStr"/>
      <c r="C2321" s="5">
        <f>IF($B2321="","",VLOOKUP($B2321,Jogos!$A$2:$K$105,8,FALSE))</f>
        <v/>
      </c>
      <c r="D2321" s="5">
        <f>IF($B2321="","",VLOOKUP($B2321,Jogos!$A$2:$K$105,10,FALSE))</f>
        <v/>
      </c>
      <c r="E2321" s="5" t="inlineStr"/>
      <c r="F2321" s="5" t="inlineStr"/>
      <c r="G2321" s="8">
        <f>IF($B2321="","",VLOOKUP($B2321,Jogos!$A$2:$K$105,9,FALSE))</f>
        <v/>
      </c>
      <c r="H2321" s="8">
        <f>IF($B2321="","",VLOOKUP($B2321,Jogos!$A$2:$K$105,11,FALSE))</f>
        <v/>
      </c>
      <c r="I2321" s="5">
        <f>IF(OR($A2321="", $B2321="", $E2321="", $F2321="", $G2321="", $H2321=""), "",IF(AND($E2321=$G2321, $F2321=$H2321), 3, IF(SIGN($E2321-$F2321)=SIGN($G2321-$H2321), 1, 0))))</f>
        <v/>
      </c>
    </row>
    <row r="2322">
      <c r="A2322" s="5" t="inlineStr"/>
      <c r="B2322" s="5" t="inlineStr"/>
      <c r="C2322" s="5">
        <f>IF($B2322="","",VLOOKUP($B2322,Jogos!$A$2:$K$105,8,FALSE))</f>
        <v/>
      </c>
      <c r="D2322" s="5">
        <f>IF($B2322="","",VLOOKUP($B2322,Jogos!$A$2:$K$105,10,FALSE))</f>
        <v/>
      </c>
      <c r="E2322" s="5" t="inlineStr"/>
      <c r="F2322" s="5" t="inlineStr"/>
      <c r="G2322" s="8">
        <f>IF($B2322="","",VLOOKUP($B2322,Jogos!$A$2:$K$105,9,FALSE))</f>
        <v/>
      </c>
      <c r="H2322" s="8">
        <f>IF($B2322="","",VLOOKUP($B2322,Jogos!$A$2:$K$105,11,FALSE))</f>
        <v/>
      </c>
      <c r="I2322" s="5">
        <f>IF(OR($A2322="", $B2322="", $E2322="", $F2322="", $G2322="", $H2322=""), "",IF(AND($E2322=$G2322, $F2322=$H2322), 3, IF(SIGN($E2322-$F2322)=SIGN($G2322-$H2322), 1, 0))))</f>
        <v/>
      </c>
    </row>
    <row r="2323">
      <c r="A2323" s="5" t="inlineStr"/>
      <c r="B2323" s="5" t="inlineStr"/>
      <c r="C2323" s="5">
        <f>IF($B2323="","",VLOOKUP($B2323,Jogos!$A$2:$K$105,8,FALSE))</f>
        <v/>
      </c>
      <c r="D2323" s="5">
        <f>IF($B2323="","",VLOOKUP($B2323,Jogos!$A$2:$K$105,10,FALSE))</f>
        <v/>
      </c>
      <c r="E2323" s="5" t="inlineStr"/>
      <c r="F2323" s="5" t="inlineStr"/>
      <c r="G2323" s="8">
        <f>IF($B2323="","",VLOOKUP($B2323,Jogos!$A$2:$K$105,9,FALSE))</f>
        <v/>
      </c>
      <c r="H2323" s="8">
        <f>IF($B2323="","",VLOOKUP($B2323,Jogos!$A$2:$K$105,11,FALSE))</f>
        <v/>
      </c>
      <c r="I2323" s="5">
        <f>IF(OR($A2323="", $B2323="", $E2323="", $F2323="", $G2323="", $H2323=""), "",IF(AND($E2323=$G2323, $F2323=$H2323), 3, IF(SIGN($E2323-$F2323)=SIGN($G2323-$H2323), 1, 0))))</f>
        <v/>
      </c>
    </row>
    <row r="2324">
      <c r="A2324" s="5" t="inlineStr"/>
      <c r="B2324" s="5" t="inlineStr"/>
      <c r="C2324" s="5">
        <f>IF($B2324="","",VLOOKUP($B2324,Jogos!$A$2:$K$105,8,FALSE))</f>
        <v/>
      </c>
      <c r="D2324" s="5">
        <f>IF($B2324="","",VLOOKUP($B2324,Jogos!$A$2:$K$105,10,FALSE))</f>
        <v/>
      </c>
      <c r="E2324" s="5" t="inlineStr"/>
      <c r="F2324" s="5" t="inlineStr"/>
      <c r="G2324" s="8">
        <f>IF($B2324="","",VLOOKUP($B2324,Jogos!$A$2:$K$105,9,FALSE))</f>
        <v/>
      </c>
      <c r="H2324" s="8">
        <f>IF($B2324="","",VLOOKUP($B2324,Jogos!$A$2:$K$105,11,FALSE))</f>
        <v/>
      </c>
      <c r="I2324" s="5">
        <f>IF(OR($A2324="", $B2324="", $E2324="", $F2324="", $G2324="", $H2324=""), "",IF(AND($E2324=$G2324, $F2324=$H2324), 3, IF(SIGN($E2324-$F2324)=SIGN($G2324-$H2324), 1, 0))))</f>
        <v/>
      </c>
    </row>
    <row r="2325">
      <c r="A2325" s="5" t="inlineStr"/>
      <c r="B2325" s="5" t="inlineStr"/>
      <c r="C2325" s="5">
        <f>IF($B2325="","",VLOOKUP($B2325,Jogos!$A$2:$K$105,8,FALSE))</f>
        <v/>
      </c>
      <c r="D2325" s="5">
        <f>IF($B2325="","",VLOOKUP($B2325,Jogos!$A$2:$K$105,10,FALSE))</f>
        <v/>
      </c>
      <c r="E2325" s="5" t="inlineStr"/>
      <c r="F2325" s="5" t="inlineStr"/>
      <c r="G2325" s="8">
        <f>IF($B2325="","",VLOOKUP($B2325,Jogos!$A$2:$K$105,9,FALSE))</f>
        <v/>
      </c>
      <c r="H2325" s="8">
        <f>IF($B2325="","",VLOOKUP($B2325,Jogos!$A$2:$K$105,11,FALSE))</f>
        <v/>
      </c>
      <c r="I2325" s="5">
        <f>IF(OR($A2325="", $B2325="", $E2325="", $F2325="", $G2325="", $H2325=""), "",IF(AND($E2325=$G2325, $F2325=$H2325), 3, IF(SIGN($E2325-$F2325)=SIGN($G2325-$H2325), 1, 0))))</f>
        <v/>
      </c>
    </row>
    <row r="2326">
      <c r="A2326" s="5" t="inlineStr"/>
      <c r="B2326" s="5" t="inlineStr"/>
      <c r="C2326" s="5">
        <f>IF($B2326="","",VLOOKUP($B2326,Jogos!$A$2:$K$105,8,FALSE))</f>
        <v/>
      </c>
      <c r="D2326" s="5">
        <f>IF($B2326="","",VLOOKUP($B2326,Jogos!$A$2:$K$105,10,FALSE))</f>
        <v/>
      </c>
      <c r="E2326" s="5" t="inlineStr"/>
      <c r="F2326" s="5" t="inlineStr"/>
      <c r="G2326" s="8">
        <f>IF($B2326="","",VLOOKUP($B2326,Jogos!$A$2:$K$105,9,FALSE))</f>
        <v/>
      </c>
      <c r="H2326" s="8">
        <f>IF($B2326="","",VLOOKUP($B2326,Jogos!$A$2:$K$105,11,FALSE))</f>
        <v/>
      </c>
      <c r="I2326" s="5">
        <f>IF(OR($A2326="", $B2326="", $E2326="", $F2326="", $G2326="", $H2326=""), "",IF(AND($E2326=$G2326, $F2326=$H2326), 3, IF(SIGN($E2326-$F2326)=SIGN($G2326-$H2326), 1, 0))))</f>
        <v/>
      </c>
    </row>
    <row r="2327">
      <c r="A2327" s="5" t="inlineStr"/>
      <c r="B2327" s="5" t="inlineStr"/>
      <c r="C2327" s="5">
        <f>IF($B2327="","",VLOOKUP($B2327,Jogos!$A$2:$K$105,8,FALSE))</f>
        <v/>
      </c>
      <c r="D2327" s="5">
        <f>IF($B2327="","",VLOOKUP($B2327,Jogos!$A$2:$K$105,10,FALSE))</f>
        <v/>
      </c>
      <c r="E2327" s="5" t="inlineStr"/>
      <c r="F2327" s="5" t="inlineStr"/>
      <c r="G2327" s="8">
        <f>IF($B2327="","",VLOOKUP($B2327,Jogos!$A$2:$K$105,9,FALSE))</f>
        <v/>
      </c>
      <c r="H2327" s="8">
        <f>IF($B2327="","",VLOOKUP($B2327,Jogos!$A$2:$K$105,11,FALSE))</f>
        <v/>
      </c>
      <c r="I2327" s="5">
        <f>IF(OR($A2327="", $B2327="", $E2327="", $F2327="", $G2327="", $H2327=""), "",IF(AND($E2327=$G2327, $F2327=$H2327), 3, IF(SIGN($E2327-$F2327)=SIGN($G2327-$H2327), 1, 0))))</f>
        <v/>
      </c>
    </row>
    <row r="2328">
      <c r="A2328" s="5" t="inlineStr"/>
      <c r="B2328" s="5" t="inlineStr"/>
      <c r="C2328" s="5">
        <f>IF($B2328="","",VLOOKUP($B2328,Jogos!$A$2:$K$105,8,FALSE))</f>
        <v/>
      </c>
      <c r="D2328" s="5">
        <f>IF($B2328="","",VLOOKUP($B2328,Jogos!$A$2:$K$105,10,FALSE))</f>
        <v/>
      </c>
      <c r="E2328" s="5" t="inlineStr"/>
      <c r="F2328" s="5" t="inlineStr"/>
      <c r="G2328" s="8">
        <f>IF($B2328="","",VLOOKUP($B2328,Jogos!$A$2:$K$105,9,FALSE))</f>
        <v/>
      </c>
      <c r="H2328" s="8">
        <f>IF($B2328="","",VLOOKUP($B2328,Jogos!$A$2:$K$105,11,FALSE))</f>
        <v/>
      </c>
      <c r="I2328" s="5">
        <f>IF(OR($A2328="", $B2328="", $E2328="", $F2328="", $G2328="", $H2328=""), "",IF(AND($E2328=$G2328, $F2328=$H2328), 3, IF(SIGN($E2328-$F2328)=SIGN($G2328-$H2328), 1, 0))))</f>
        <v/>
      </c>
    </row>
    <row r="2329">
      <c r="A2329" s="5" t="inlineStr"/>
      <c r="B2329" s="5" t="inlineStr"/>
      <c r="C2329" s="5">
        <f>IF($B2329="","",VLOOKUP($B2329,Jogos!$A$2:$K$105,8,FALSE))</f>
        <v/>
      </c>
      <c r="D2329" s="5">
        <f>IF($B2329="","",VLOOKUP($B2329,Jogos!$A$2:$K$105,10,FALSE))</f>
        <v/>
      </c>
      <c r="E2329" s="5" t="inlineStr"/>
      <c r="F2329" s="5" t="inlineStr"/>
      <c r="G2329" s="8">
        <f>IF($B2329="","",VLOOKUP($B2329,Jogos!$A$2:$K$105,9,FALSE))</f>
        <v/>
      </c>
      <c r="H2329" s="8">
        <f>IF($B2329="","",VLOOKUP($B2329,Jogos!$A$2:$K$105,11,FALSE))</f>
        <v/>
      </c>
      <c r="I2329" s="5">
        <f>IF(OR($A2329="", $B2329="", $E2329="", $F2329="", $G2329="", $H2329=""), "",IF(AND($E2329=$G2329, $F2329=$H2329), 3, IF(SIGN($E2329-$F2329)=SIGN($G2329-$H2329), 1, 0))))</f>
        <v/>
      </c>
    </row>
    <row r="2330">
      <c r="A2330" s="5" t="inlineStr"/>
      <c r="B2330" s="5" t="inlineStr"/>
      <c r="C2330" s="5">
        <f>IF($B2330="","",VLOOKUP($B2330,Jogos!$A$2:$K$105,8,FALSE))</f>
        <v/>
      </c>
      <c r="D2330" s="5">
        <f>IF($B2330="","",VLOOKUP($B2330,Jogos!$A$2:$K$105,10,FALSE))</f>
        <v/>
      </c>
      <c r="E2330" s="5" t="inlineStr"/>
      <c r="F2330" s="5" t="inlineStr"/>
      <c r="G2330" s="8">
        <f>IF($B2330="","",VLOOKUP($B2330,Jogos!$A$2:$K$105,9,FALSE))</f>
        <v/>
      </c>
      <c r="H2330" s="8">
        <f>IF($B2330="","",VLOOKUP($B2330,Jogos!$A$2:$K$105,11,FALSE))</f>
        <v/>
      </c>
      <c r="I2330" s="5">
        <f>IF(OR($A2330="", $B2330="", $E2330="", $F2330="", $G2330="", $H2330=""), "",IF(AND($E2330=$G2330, $F2330=$H2330), 3, IF(SIGN($E2330-$F2330)=SIGN($G2330-$H2330), 1, 0))))</f>
        <v/>
      </c>
    </row>
    <row r="2331">
      <c r="A2331" s="5" t="inlineStr"/>
      <c r="B2331" s="5" t="inlineStr"/>
      <c r="C2331" s="5">
        <f>IF($B2331="","",VLOOKUP($B2331,Jogos!$A$2:$K$105,8,FALSE))</f>
        <v/>
      </c>
      <c r="D2331" s="5">
        <f>IF($B2331="","",VLOOKUP($B2331,Jogos!$A$2:$K$105,10,FALSE))</f>
        <v/>
      </c>
      <c r="E2331" s="5" t="inlineStr"/>
      <c r="F2331" s="5" t="inlineStr"/>
      <c r="G2331" s="8">
        <f>IF($B2331="","",VLOOKUP($B2331,Jogos!$A$2:$K$105,9,FALSE))</f>
        <v/>
      </c>
      <c r="H2331" s="8">
        <f>IF($B2331="","",VLOOKUP($B2331,Jogos!$A$2:$K$105,11,FALSE))</f>
        <v/>
      </c>
      <c r="I2331" s="5">
        <f>IF(OR($A2331="", $B2331="", $E2331="", $F2331="", $G2331="", $H2331=""), "",IF(AND($E2331=$G2331, $F2331=$H2331), 3, IF(SIGN($E2331-$F2331)=SIGN($G2331-$H2331), 1, 0))))</f>
        <v/>
      </c>
    </row>
    <row r="2332">
      <c r="A2332" s="5" t="inlineStr"/>
      <c r="B2332" s="5" t="inlineStr"/>
      <c r="C2332" s="5">
        <f>IF($B2332="","",VLOOKUP($B2332,Jogos!$A$2:$K$105,8,FALSE))</f>
        <v/>
      </c>
      <c r="D2332" s="5">
        <f>IF($B2332="","",VLOOKUP($B2332,Jogos!$A$2:$K$105,10,FALSE))</f>
        <v/>
      </c>
      <c r="E2332" s="5" t="inlineStr"/>
      <c r="F2332" s="5" t="inlineStr"/>
      <c r="G2332" s="8">
        <f>IF($B2332="","",VLOOKUP($B2332,Jogos!$A$2:$K$105,9,FALSE))</f>
        <v/>
      </c>
      <c r="H2332" s="8">
        <f>IF($B2332="","",VLOOKUP($B2332,Jogos!$A$2:$K$105,11,FALSE))</f>
        <v/>
      </c>
      <c r="I2332" s="5">
        <f>IF(OR($A2332="", $B2332="", $E2332="", $F2332="", $G2332="", $H2332=""), "",IF(AND($E2332=$G2332, $F2332=$H2332), 3, IF(SIGN($E2332-$F2332)=SIGN($G2332-$H2332), 1, 0))))</f>
        <v/>
      </c>
    </row>
    <row r="2333">
      <c r="A2333" s="5" t="inlineStr"/>
      <c r="B2333" s="5" t="inlineStr"/>
      <c r="C2333" s="5">
        <f>IF($B2333="","",VLOOKUP($B2333,Jogos!$A$2:$K$105,8,FALSE))</f>
        <v/>
      </c>
      <c r="D2333" s="5">
        <f>IF($B2333="","",VLOOKUP($B2333,Jogos!$A$2:$K$105,10,FALSE))</f>
        <v/>
      </c>
      <c r="E2333" s="5" t="inlineStr"/>
      <c r="F2333" s="5" t="inlineStr"/>
      <c r="G2333" s="8">
        <f>IF($B2333="","",VLOOKUP($B2333,Jogos!$A$2:$K$105,9,FALSE))</f>
        <v/>
      </c>
      <c r="H2333" s="8">
        <f>IF($B2333="","",VLOOKUP($B2333,Jogos!$A$2:$K$105,11,FALSE))</f>
        <v/>
      </c>
      <c r="I2333" s="5">
        <f>IF(OR($A2333="", $B2333="", $E2333="", $F2333="", $G2333="", $H2333=""), "",IF(AND($E2333=$G2333, $F2333=$H2333), 3, IF(SIGN($E2333-$F2333)=SIGN($G2333-$H2333), 1, 0))))</f>
        <v/>
      </c>
    </row>
    <row r="2334">
      <c r="A2334" s="5" t="inlineStr"/>
      <c r="B2334" s="5" t="inlineStr"/>
      <c r="C2334" s="5">
        <f>IF($B2334="","",VLOOKUP($B2334,Jogos!$A$2:$K$105,8,FALSE))</f>
        <v/>
      </c>
      <c r="D2334" s="5">
        <f>IF($B2334="","",VLOOKUP($B2334,Jogos!$A$2:$K$105,10,FALSE))</f>
        <v/>
      </c>
      <c r="E2334" s="5" t="inlineStr"/>
      <c r="F2334" s="5" t="inlineStr"/>
      <c r="G2334" s="8">
        <f>IF($B2334="","",VLOOKUP($B2334,Jogos!$A$2:$K$105,9,FALSE))</f>
        <v/>
      </c>
      <c r="H2334" s="8">
        <f>IF($B2334="","",VLOOKUP($B2334,Jogos!$A$2:$K$105,11,FALSE))</f>
        <v/>
      </c>
      <c r="I2334" s="5">
        <f>IF(OR($A2334="", $B2334="", $E2334="", $F2334="", $G2334="", $H2334=""), "",IF(AND($E2334=$G2334, $F2334=$H2334), 3, IF(SIGN($E2334-$F2334)=SIGN($G2334-$H2334), 1, 0))))</f>
        <v/>
      </c>
    </row>
    <row r="2335">
      <c r="A2335" s="5" t="inlineStr"/>
      <c r="B2335" s="5" t="inlineStr"/>
      <c r="C2335" s="5">
        <f>IF($B2335="","",VLOOKUP($B2335,Jogos!$A$2:$K$105,8,FALSE))</f>
        <v/>
      </c>
      <c r="D2335" s="5">
        <f>IF($B2335="","",VLOOKUP($B2335,Jogos!$A$2:$K$105,10,FALSE))</f>
        <v/>
      </c>
      <c r="E2335" s="5" t="inlineStr"/>
      <c r="F2335" s="5" t="inlineStr"/>
      <c r="G2335" s="8">
        <f>IF($B2335="","",VLOOKUP($B2335,Jogos!$A$2:$K$105,9,FALSE))</f>
        <v/>
      </c>
      <c r="H2335" s="8">
        <f>IF($B2335="","",VLOOKUP($B2335,Jogos!$A$2:$K$105,11,FALSE))</f>
        <v/>
      </c>
      <c r="I2335" s="5">
        <f>IF(OR($A2335="", $B2335="", $E2335="", $F2335="", $G2335="", $H2335=""), "",IF(AND($E2335=$G2335, $F2335=$H2335), 3, IF(SIGN($E2335-$F2335)=SIGN($G2335-$H2335), 1, 0))))</f>
        <v/>
      </c>
    </row>
    <row r="2336">
      <c r="A2336" s="5" t="inlineStr"/>
      <c r="B2336" s="5" t="inlineStr"/>
      <c r="C2336" s="5">
        <f>IF($B2336="","",VLOOKUP($B2336,Jogos!$A$2:$K$105,8,FALSE))</f>
        <v/>
      </c>
      <c r="D2336" s="5">
        <f>IF($B2336="","",VLOOKUP($B2336,Jogos!$A$2:$K$105,10,FALSE))</f>
        <v/>
      </c>
      <c r="E2336" s="5" t="inlineStr"/>
      <c r="F2336" s="5" t="inlineStr"/>
      <c r="G2336" s="8">
        <f>IF($B2336="","",VLOOKUP($B2336,Jogos!$A$2:$K$105,9,FALSE))</f>
        <v/>
      </c>
      <c r="H2336" s="8">
        <f>IF($B2336="","",VLOOKUP($B2336,Jogos!$A$2:$K$105,11,FALSE))</f>
        <v/>
      </c>
      <c r="I2336" s="5">
        <f>IF(OR($A2336="", $B2336="", $E2336="", $F2336="", $G2336="", $H2336=""), "",IF(AND($E2336=$G2336, $F2336=$H2336), 3, IF(SIGN($E2336-$F2336)=SIGN($G2336-$H2336), 1, 0))))</f>
        <v/>
      </c>
    </row>
    <row r="2337">
      <c r="A2337" s="5" t="inlineStr"/>
      <c r="B2337" s="5" t="inlineStr"/>
      <c r="C2337" s="5">
        <f>IF($B2337="","",VLOOKUP($B2337,Jogos!$A$2:$K$105,8,FALSE))</f>
        <v/>
      </c>
      <c r="D2337" s="5">
        <f>IF($B2337="","",VLOOKUP($B2337,Jogos!$A$2:$K$105,10,FALSE))</f>
        <v/>
      </c>
      <c r="E2337" s="5" t="inlineStr"/>
      <c r="F2337" s="5" t="inlineStr"/>
      <c r="G2337" s="8">
        <f>IF($B2337="","",VLOOKUP($B2337,Jogos!$A$2:$K$105,9,FALSE))</f>
        <v/>
      </c>
      <c r="H2337" s="8">
        <f>IF($B2337="","",VLOOKUP($B2337,Jogos!$A$2:$K$105,11,FALSE))</f>
        <v/>
      </c>
      <c r="I2337" s="5">
        <f>IF(OR($A2337="", $B2337="", $E2337="", $F2337="", $G2337="", $H2337=""), "",IF(AND($E2337=$G2337, $F2337=$H2337), 3, IF(SIGN($E2337-$F2337)=SIGN($G2337-$H2337), 1, 0))))</f>
        <v/>
      </c>
    </row>
    <row r="2338">
      <c r="A2338" s="5" t="inlineStr"/>
      <c r="B2338" s="5" t="inlineStr"/>
      <c r="C2338" s="5">
        <f>IF($B2338="","",VLOOKUP($B2338,Jogos!$A$2:$K$105,8,FALSE))</f>
        <v/>
      </c>
      <c r="D2338" s="5">
        <f>IF($B2338="","",VLOOKUP($B2338,Jogos!$A$2:$K$105,10,FALSE))</f>
        <v/>
      </c>
      <c r="E2338" s="5" t="inlineStr"/>
      <c r="F2338" s="5" t="inlineStr"/>
      <c r="G2338" s="8">
        <f>IF($B2338="","",VLOOKUP($B2338,Jogos!$A$2:$K$105,9,FALSE))</f>
        <v/>
      </c>
      <c r="H2338" s="8">
        <f>IF($B2338="","",VLOOKUP($B2338,Jogos!$A$2:$K$105,11,FALSE))</f>
        <v/>
      </c>
      <c r="I2338" s="5">
        <f>IF(OR($A2338="", $B2338="", $E2338="", $F2338="", $G2338="", $H2338=""), "",IF(AND($E2338=$G2338, $F2338=$H2338), 3, IF(SIGN($E2338-$F2338)=SIGN($G2338-$H2338), 1, 0))))</f>
        <v/>
      </c>
    </row>
    <row r="2339">
      <c r="A2339" s="5" t="inlineStr"/>
      <c r="B2339" s="5" t="inlineStr"/>
      <c r="C2339" s="5">
        <f>IF($B2339="","",VLOOKUP($B2339,Jogos!$A$2:$K$105,8,FALSE))</f>
        <v/>
      </c>
      <c r="D2339" s="5">
        <f>IF($B2339="","",VLOOKUP($B2339,Jogos!$A$2:$K$105,10,FALSE))</f>
        <v/>
      </c>
      <c r="E2339" s="5" t="inlineStr"/>
      <c r="F2339" s="5" t="inlineStr"/>
      <c r="G2339" s="8">
        <f>IF($B2339="","",VLOOKUP($B2339,Jogos!$A$2:$K$105,9,FALSE))</f>
        <v/>
      </c>
      <c r="H2339" s="8">
        <f>IF($B2339="","",VLOOKUP($B2339,Jogos!$A$2:$K$105,11,FALSE))</f>
        <v/>
      </c>
      <c r="I2339" s="5">
        <f>IF(OR($A2339="", $B2339="", $E2339="", $F2339="", $G2339="", $H2339=""), "",IF(AND($E2339=$G2339, $F2339=$H2339), 3, IF(SIGN($E2339-$F2339)=SIGN($G2339-$H2339), 1, 0))))</f>
        <v/>
      </c>
    </row>
    <row r="2340">
      <c r="A2340" s="5" t="inlineStr"/>
      <c r="B2340" s="5" t="inlineStr"/>
      <c r="C2340" s="5">
        <f>IF($B2340="","",VLOOKUP($B2340,Jogos!$A$2:$K$105,8,FALSE))</f>
        <v/>
      </c>
      <c r="D2340" s="5">
        <f>IF($B2340="","",VLOOKUP($B2340,Jogos!$A$2:$K$105,10,FALSE))</f>
        <v/>
      </c>
      <c r="E2340" s="5" t="inlineStr"/>
      <c r="F2340" s="5" t="inlineStr"/>
      <c r="G2340" s="8">
        <f>IF($B2340="","",VLOOKUP($B2340,Jogos!$A$2:$K$105,9,FALSE))</f>
        <v/>
      </c>
      <c r="H2340" s="8">
        <f>IF($B2340="","",VLOOKUP($B2340,Jogos!$A$2:$K$105,11,FALSE))</f>
        <v/>
      </c>
      <c r="I2340" s="5">
        <f>IF(OR($A2340="", $B2340="", $E2340="", $F2340="", $G2340="", $H2340=""), "",IF(AND($E2340=$G2340, $F2340=$H2340), 3, IF(SIGN($E2340-$F2340)=SIGN($G2340-$H2340), 1, 0))))</f>
        <v/>
      </c>
    </row>
    <row r="2341">
      <c r="A2341" s="5" t="inlineStr"/>
      <c r="B2341" s="5" t="inlineStr"/>
      <c r="C2341" s="5">
        <f>IF($B2341="","",VLOOKUP($B2341,Jogos!$A$2:$K$105,8,FALSE))</f>
        <v/>
      </c>
      <c r="D2341" s="5">
        <f>IF($B2341="","",VLOOKUP($B2341,Jogos!$A$2:$K$105,10,FALSE))</f>
        <v/>
      </c>
      <c r="E2341" s="5" t="inlineStr"/>
      <c r="F2341" s="5" t="inlineStr"/>
      <c r="G2341" s="8">
        <f>IF($B2341="","",VLOOKUP($B2341,Jogos!$A$2:$K$105,9,FALSE))</f>
        <v/>
      </c>
      <c r="H2341" s="8">
        <f>IF($B2341="","",VLOOKUP($B2341,Jogos!$A$2:$K$105,11,FALSE))</f>
        <v/>
      </c>
      <c r="I2341" s="5">
        <f>IF(OR($A2341="", $B2341="", $E2341="", $F2341="", $G2341="", $H2341=""), "",IF(AND($E2341=$G2341, $F2341=$H2341), 3, IF(SIGN($E2341-$F2341)=SIGN($G2341-$H2341), 1, 0))))</f>
        <v/>
      </c>
    </row>
    <row r="2342">
      <c r="A2342" s="5" t="inlineStr"/>
      <c r="B2342" s="5" t="inlineStr"/>
      <c r="C2342" s="5">
        <f>IF($B2342="","",VLOOKUP($B2342,Jogos!$A$2:$K$105,8,FALSE))</f>
        <v/>
      </c>
      <c r="D2342" s="5">
        <f>IF($B2342="","",VLOOKUP($B2342,Jogos!$A$2:$K$105,10,FALSE))</f>
        <v/>
      </c>
      <c r="E2342" s="5" t="inlineStr"/>
      <c r="F2342" s="5" t="inlineStr"/>
      <c r="G2342" s="8">
        <f>IF($B2342="","",VLOOKUP($B2342,Jogos!$A$2:$K$105,9,FALSE))</f>
        <v/>
      </c>
      <c r="H2342" s="8">
        <f>IF($B2342="","",VLOOKUP($B2342,Jogos!$A$2:$K$105,11,FALSE))</f>
        <v/>
      </c>
      <c r="I2342" s="5">
        <f>IF(OR($A2342="", $B2342="", $E2342="", $F2342="", $G2342="", $H2342=""), "",IF(AND($E2342=$G2342, $F2342=$H2342), 3, IF(SIGN($E2342-$F2342)=SIGN($G2342-$H2342), 1, 0))))</f>
        <v/>
      </c>
    </row>
    <row r="2343">
      <c r="A2343" s="5" t="inlineStr"/>
      <c r="B2343" s="5" t="inlineStr"/>
      <c r="C2343" s="5">
        <f>IF($B2343="","",VLOOKUP($B2343,Jogos!$A$2:$K$105,8,FALSE))</f>
        <v/>
      </c>
      <c r="D2343" s="5">
        <f>IF($B2343="","",VLOOKUP($B2343,Jogos!$A$2:$K$105,10,FALSE))</f>
        <v/>
      </c>
      <c r="E2343" s="5" t="inlineStr"/>
      <c r="F2343" s="5" t="inlineStr"/>
      <c r="G2343" s="8">
        <f>IF($B2343="","",VLOOKUP($B2343,Jogos!$A$2:$K$105,9,FALSE))</f>
        <v/>
      </c>
      <c r="H2343" s="8">
        <f>IF($B2343="","",VLOOKUP($B2343,Jogos!$A$2:$K$105,11,FALSE))</f>
        <v/>
      </c>
      <c r="I2343" s="5">
        <f>IF(OR($A2343="", $B2343="", $E2343="", $F2343="", $G2343="", $H2343=""), "",IF(AND($E2343=$G2343, $F2343=$H2343), 3, IF(SIGN($E2343-$F2343)=SIGN($G2343-$H2343), 1, 0))))</f>
        <v/>
      </c>
    </row>
    <row r="2344">
      <c r="A2344" s="5" t="inlineStr"/>
      <c r="B2344" s="5" t="inlineStr"/>
      <c r="C2344" s="5">
        <f>IF($B2344="","",VLOOKUP($B2344,Jogos!$A$2:$K$105,8,FALSE))</f>
        <v/>
      </c>
      <c r="D2344" s="5">
        <f>IF($B2344="","",VLOOKUP($B2344,Jogos!$A$2:$K$105,10,FALSE))</f>
        <v/>
      </c>
      <c r="E2344" s="5" t="inlineStr"/>
      <c r="F2344" s="5" t="inlineStr"/>
      <c r="G2344" s="8">
        <f>IF($B2344="","",VLOOKUP($B2344,Jogos!$A$2:$K$105,9,FALSE))</f>
        <v/>
      </c>
      <c r="H2344" s="8">
        <f>IF($B2344="","",VLOOKUP($B2344,Jogos!$A$2:$K$105,11,FALSE))</f>
        <v/>
      </c>
      <c r="I2344" s="5">
        <f>IF(OR($A2344="", $B2344="", $E2344="", $F2344="", $G2344="", $H2344=""), "",IF(AND($E2344=$G2344, $F2344=$H2344), 3, IF(SIGN($E2344-$F2344)=SIGN($G2344-$H2344), 1, 0))))</f>
        <v/>
      </c>
    </row>
    <row r="2345">
      <c r="A2345" s="5" t="inlineStr"/>
      <c r="B2345" s="5" t="inlineStr"/>
      <c r="C2345" s="5">
        <f>IF($B2345="","",VLOOKUP($B2345,Jogos!$A$2:$K$105,8,FALSE))</f>
        <v/>
      </c>
      <c r="D2345" s="5">
        <f>IF($B2345="","",VLOOKUP($B2345,Jogos!$A$2:$K$105,10,FALSE))</f>
        <v/>
      </c>
      <c r="E2345" s="5" t="inlineStr"/>
      <c r="F2345" s="5" t="inlineStr"/>
      <c r="G2345" s="8">
        <f>IF($B2345="","",VLOOKUP($B2345,Jogos!$A$2:$K$105,9,FALSE))</f>
        <v/>
      </c>
      <c r="H2345" s="8">
        <f>IF($B2345="","",VLOOKUP($B2345,Jogos!$A$2:$K$105,11,FALSE))</f>
        <v/>
      </c>
      <c r="I2345" s="5">
        <f>IF(OR($A2345="", $B2345="", $E2345="", $F2345="", $G2345="", $H2345=""), "",IF(AND($E2345=$G2345, $F2345=$H2345), 3, IF(SIGN($E2345-$F2345)=SIGN($G2345-$H2345), 1, 0))))</f>
        <v/>
      </c>
    </row>
    <row r="2346">
      <c r="A2346" s="5" t="inlineStr"/>
      <c r="B2346" s="5" t="inlineStr"/>
      <c r="C2346" s="5">
        <f>IF($B2346="","",VLOOKUP($B2346,Jogos!$A$2:$K$105,8,FALSE))</f>
        <v/>
      </c>
      <c r="D2346" s="5">
        <f>IF($B2346="","",VLOOKUP($B2346,Jogos!$A$2:$K$105,10,FALSE))</f>
        <v/>
      </c>
      <c r="E2346" s="5" t="inlineStr"/>
      <c r="F2346" s="5" t="inlineStr"/>
      <c r="G2346" s="8">
        <f>IF($B2346="","",VLOOKUP($B2346,Jogos!$A$2:$K$105,9,FALSE))</f>
        <v/>
      </c>
      <c r="H2346" s="8">
        <f>IF($B2346="","",VLOOKUP($B2346,Jogos!$A$2:$K$105,11,FALSE))</f>
        <v/>
      </c>
      <c r="I2346" s="5">
        <f>IF(OR($A2346="", $B2346="", $E2346="", $F2346="", $G2346="", $H2346=""), "",IF(AND($E2346=$G2346, $F2346=$H2346), 3, IF(SIGN($E2346-$F2346)=SIGN($G2346-$H2346), 1, 0))))</f>
        <v/>
      </c>
    </row>
    <row r="2347">
      <c r="A2347" s="5" t="inlineStr"/>
      <c r="B2347" s="5" t="inlineStr"/>
      <c r="C2347" s="5">
        <f>IF($B2347="","",VLOOKUP($B2347,Jogos!$A$2:$K$105,8,FALSE))</f>
        <v/>
      </c>
      <c r="D2347" s="5">
        <f>IF($B2347="","",VLOOKUP($B2347,Jogos!$A$2:$K$105,10,FALSE))</f>
        <v/>
      </c>
      <c r="E2347" s="5" t="inlineStr"/>
      <c r="F2347" s="5" t="inlineStr"/>
      <c r="G2347" s="8">
        <f>IF($B2347="","",VLOOKUP($B2347,Jogos!$A$2:$K$105,9,FALSE))</f>
        <v/>
      </c>
      <c r="H2347" s="8">
        <f>IF($B2347="","",VLOOKUP($B2347,Jogos!$A$2:$K$105,11,FALSE))</f>
        <v/>
      </c>
      <c r="I2347" s="5">
        <f>IF(OR($A2347="", $B2347="", $E2347="", $F2347="", $G2347="", $H2347=""), "",IF(AND($E2347=$G2347, $F2347=$H2347), 3, IF(SIGN($E2347-$F2347)=SIGN($G2347-$H2347), 1, 0))))</f>
        <v/>
      </c>
    </row>
    <row r="2348">
      <c r="A2348" s="5" t="inlineStr"/>
      <c r="B2348" s="5" t="inlineStr"/>
      <c r="C2348" s="5">
        <f>IF($B2348="","",VLOOKUP($B2348,Jogos!$A$2:$K$105,8,FALSE))</f>
        <v/>
      </c>
      <c r="D2348" s="5">
        <f>IF($B2348="","",VLOOKUP($B2348,Jogos!$A$2:$K$105,10,FALSE))</f>
        <v/>
      </c>
      <c r="E2348" s="5" t="inlineStr"/>
      <c r="F2348" s="5" t="inlineStr"/>
      <c r="G2348" s="8">
        <f>IF($B2348="","",VLOOKUP($B2348,Jogos!$A$2:$K$105,9,FALSE))</f>
        <v/>
      </c>
      <c r="H2348" s="8">
        <f>IF($B2348="","",VLOOKUP($B2348,Jogos!$A$2:$K$105,11,FALSE))</f>
        <v/>
      </c>
      <c r="I2348" s="5">
        <f>IF(OR($A2348="", $B2348="", $E2348="", $F2348="", $G2348="", $H2348=""), "",IF(AND($E2348=$G2348, $F2348=$H2348), 3, IF(SIGN($E2348-$F2348)=SIGN($G2348-$H2348), 1, 0))))</f>
        <v/>
      </c>
    </row>
    <row r="2349">
      <c r="A2349" s="5" t="inlineStr"/>
      <c r="B2349" s="5" t="inlineStr"/>
      <c r="C2349" s="5">
        <f>IF($B2349="","",VLOOKUP($B2349,Jogos!$A$2:$K$105,8,FALSE))</f>
        <v/>
      </c>
      <c r="D2349" s="5">
        <f>IF($B2349="","",VLOOKUP($B2349,Jogos!$A$2:$K$105,10,FALSE))</f>
        <v/>
      </c>
      <c r="E2349" s="5" t="inlineStr"/>
      <c r="F2349" s="5" t="inlineStr"/>
      <c r="G2349" s="8">
        <f>IF($B2349="","",VLOOKUP($B2349,Jogos!$A$2:$K$105,9,FALSE))</f>
        <v/>
      </c>
      <c r="H2349" s="8">
        <f>IF($B2349="","",VLOOKUP($B2349,Jogos!$A$2:$K$105,11,FALSE))</f>
        <v/>
      </c>
      <c r="I2349" s="5">
        <f>IF(OR($A2349="", $B2349="", $E2349="", $F2349="", $G2349="", $H2349=""), "",IF(AND($E2349=$G2349, $F2349=$H2349), 3, IF(SIGN($E2349-$F2349)=SIGN($G2349-$H2349), 1, 0))))</f>
        <v/>
      </c>
    </row>
    <row r="2350">
      <c r="A2350" s="5" t="inlineStr"/>
      <c r="B2350" s="5" t="inlineStr"/>
      <c r="C2350" s="5">
        <f>IF($B2350="","",VLOOKUP($B2350,Jogos!$A$2:$K$105,8,FALSE))</f>
        <v/>
      </c>
      <c r="D2350" s="5">
        <f>IF($B2350="","",VLOOKUP($B2350,Jogos!$A$2:$K$105,10,FALSE))</f>
        <v/>
      </c>
      <c r="E2350" s="5" t="inlineStr"/>
      <c r="F2350" s="5" t="inlineStr"/>
      <c r="G2350" s="8">
        <f>IF($B2350="","",VLOOKUP($B2350,Jogos!$A$2:$K$105,9,FALSE))</f>
        <v/>
      </c>
      <c r="H2350" s="8">
        <f>IF($B2350="","",VLOOKUP($B2350,Jogos!$A$2:$K$105,11,FALSE))</f>
        <v/>
      </c>
      <c r="I2350" s="5">
        <f>IF(OR($A2350="", $B2350="", $E2350="", $F2350="", $G2350="", $H2350=""), "",IF(AND($E2350=$G2350, $F2350=$H2350), 3, IF(SIGN($E2350-$F2350)=SIGN($G2350-$H2350), 1, 0))))</f>
        <v/>
      </c>
    </row>
    <row r="2351">
      <c r="A2351" s="5" t="inlineStr"/>
      <c r="B2351" s="5" t="inlineStr"/>
      <c r="C2351" s="5">
        <f>IF($B2351="","",VLOOKUP($B2351,Jogos!$A$2:$K$105,8,FALSE))</f>
        <v/>
      </c>
      <c r="D2351" s="5">
        <f>IF($B2351="","",VLOOKUP($B2351,Jogos!$A$2:$K$105,10,FALSE))</f>
        <v/>
      </c>
      <c r="E2351" s="5" t="inlineStr"/>
      <c r="F2351" s="5" t="inlineStr"/>
      <c r="G2351" s="8">
        <f>IF($B2351="","",VLOOKUP($B2351,Jogos!$A$2:$K$105,9,FALSE))</f>
        <v/>
      </c>
      <c r="H2351" s="8">
        <f>IF($B2351="","",VLOOKUP($B2351,Jogos!$A$2:$K$105,11,FALSE))</f>
        <v/>
      </c>
      <c r="I2351" s="5">
        <f>IF(OR($A2351="", $B2351="", $E2351="", $F2351="", $G2351="", $H2351=""), "",IF(AND($E2351=$G2351, $F2351=$H2351), 3, IF(SIGN($E2351-$F2351)=SIGN($G2351-$H2351), 1, 0))))</f>
        <v/>
      </c>
    </row>
    <row r="2352">
      <c r="A2352" s="5" t="inlineStr"/>
      <c r="B2352" s="5" t="inlineStr"/>
      <c r="C2352" s="5">
        <f>IF($B2352="","",VLOOKUP($B2352,Jogos!$A$2:$K$105,8,FALSE))</f>
        <v/>
      </c>
      <c r="D2352" s="5">
        <f>IF($B2352="","",VLOOKUP($B2352,Jogos!$A$2:$K$105,10,FALSE))</f>
        <v/>
      </c>
      <c r="E2352" s="5" t="inlineStr"/>
      <c r="F2352" s="5" t="inlineStr"/>
      <c r="G2352" s="8">
        <f>IF($B2352="","",VLOOKUP($B2352,Jogos!$A$2:$K$105,9,FALSE))</f>
        <v/>
      </c>
      <c r="H2352" s="8">
        <f>IF($B2352="","",VLOOKUP($B2352,Jogos!$A$2:$K$105,11,FALSE))</f>
        <v/>
      </c>
      <c r="I2352" s="5">
        <f>IF(OR($A2352="", $B2352="", $E2352="", $F2352="", $G2352="", $H2352=""), "",IF(AND($E2352=$G2352, $F2352=$H2352), 3, IF(SIGN($E2352-$F2352)=SIGN($G2352-$H2352), 1, 0))))</f>
        <v/>
      </c>
    </row>
    <row r="2353">
      <c r="A2353" s="5" t="inlineStr"/>
      <c r="B2353" s="5" t="inlineStr"/>
      <c r="C2353" s="5">
        <f>IF($B2353="","",VLOOKUP($B2353,Jogos!$A$2:$K$105,8,FALSE))</f>
        <v/>
      </c>
      <c r="D2353" s="5">
        <f>IF($B2353="","",VLOOKUP($B2353,Jogos!$A$2:$K$105,10,FALSE))</f>
        <v/>
      </c>
      <c r="E2353" s="5" t="inlineStr"/>
      <c r="F2353" s="5" t="inlineStr"/>
      <c r="G2353" s="8">
        <f>IF($B2353="","",VLOOKUP($B2353,Jogos!$A$2:$K$105,9,FALSE))</f>
        <v/>
      </c>
      <c r="H2353" s="8">
        <f>IF($B2353="","",VLOOKUP($B2353,Jogos!$A$2:$K$105,11,FALSE))</f>
        <v/>
      </c>
      <c r="I2353" s="5">
        <f>IF(OR($A2353="", $B2353="", $E2353="", $F2353="", $G2353="", $H2353=""), "",IF(AND($E2353=$G2353, $F2353=$H2353), 3, IF(SIGN($E2353-$F2353)=SIGN($G2353-$H2353), 1, 0))))</f>
        <v/>
      </c>
    </row>
    <row r="2354">
      <c r="A2354" s="5" t="inlineStr"/>
      <c r="B2354" s="5" t="inlineStr"/>
      <c r="C2354" s="5">
        <f>IF($B2354="","",VLOOKUP($B2354,Jogos!$A$2:$K$105,8,FALSE))</f>
        <v/>
      </c>
      <c r="D2354" s="5">
        <f>IF($B2354="","",VLOOKUP($B2354,Jogos!$A$2:$K$105,10,FALSE))</f>
        <v/>
      </c>
      <c r="E2354" s="5" t="inlineStr"/>
      <c r="F2354" s="5" t="inlineStr"/>
      <c r="G2354" s="8">
        <f>IF($B2354="","",VLOOKUP($B2354,Jogos!$A$2:$K$105,9,FALSE))</f>
        <v/>
      </c>
      <c r="H2354" s="8">
        <f>IF($B2354="","",VLOOKUP($B2354,Jogos!$A$2:$K$105,11,FALSE))</f>
        <v/>
      </c>
      <c r="I2354" s="5">
        <f>IF(OR($A2354="", $B2354="", $E2354="", $F2354="", $G2354="", $H2354=""), "",IF(AND($E2354=$G2354, $F2354=$H2354), 3, IF(SIGN($E2354-$F2354)=SIGN($G2354-$H2354), 1, 0))))</f>
        <v/>
      </c>
    </row>
    <row r="2355">
      <c r="A2355" s="5" t="inlineStr"/>
      <c r="B2355" s="5" t="inlineStr"/>
      <c r="C2355" s="5">
        <f>IF($B2355="","",VLOOKUP($B2355,Jogos!$A$2:$K$105,8,FALSE))</f>
        <v/>
      </c>
      <c r="D2355" s="5">
        <f>IF($B2355="","",VLOOKUP($B2355,Jogos!$A$2:$K$105,10,FALSE))</f>
        <v/>
      </c>
      <c r="E2355" s="5" t="inlineStr"/>
      <c r="F2355" s="5" t="inlineStr"/>
      <c r="G2355" s="8">
        <f>IF($B2355="","",VLOOKUP($B2355,Jogos!$A$2:$K$105,9,FALSE))</f>
        <v/>
      </c>
      <c r="H2355" s="8">
        <f>IF($B2355="","",VLOOKUP($B2355,Jogos!$A$2:$K$105,11,FALSE))</f>
        <v/>
      </c>
      <c r="I2355" s="5">
        <f>IF(OR($A2355="", $B2355="", $E2355="", $F2355="", $G2355="", $H2355=""), "",IF(AND($E2355=$G2355, $F2355=$H2355), 3, IF(SIGN($E2355-$F2355)=SIGN($G2355-$H2355), 1, 0))))</f>
        <v/>
      </c>
    </row>
    <row r="2356">
      <c r="A2356" s="5" t="inlineStr"/>
      <c r="B2356" s="5" t="inlineStr"/>
      <c r="C2356" s="5">
        <f>IF($B2356="","",VLOOKUP($B2356,Jogos!$A$2:$K$105,8,FALSE))</f>
        <v/>
      </c>
      <c r="D2356" s="5">
        <f>IF($B2356="","",VLOOKUP($B2356,Jogos!$A$2:$K$105,10,FALSE))</f>
        <v/>
      </c>
      <c r="E2356" s="5" t="inlineStr"/>
      <c r="F2356" s="5" t="inlineStr"/>
      <c r="G2356" s="8">
        <f>IF($B2356="","",VLOOKUP($B2356,Jogos!$A$2:$K$105,9,FALSE))</f>
        <v/>
      </c>
      <c r="H2356" s="8">
        <f>IF($B2356="","",VLOOKUP($B2356,Jogos!$A$2:$K$105,11,FALSE))</f>
        <v/>
      </c>
      <c r="I2356" s="5">
        <f>IF(OR($A2356="", $B2356="", $E2356="", $F2356="", $G2356="", $H2356=""), "",IF(AND($E2356=$G2356, $F2356=$H2356), 3, IF(SIGN($E2356-$F2356)=SIGN($G2356-$H2356), 1, 0))))</f>
        <v/>
      </c>
    </row>
    <row r="2357">
      <c r="A2357" s="5" t="inlineStr"/>
      <c r="B2357" s="5" t="inlineStr"/>
      <c r="C2357" s="5">
        <f>IF($B2357="","",VLOOKUP($B2357,Jogos!$A$2:$K$105,8,FALSE))</f>
        <v/>
      </c>
      <c r="D2357" s="5">
        <f>IF($B2357="","",VLOOKUP($B2357,Jogos!$A$2:$K$105,10,FALSE))</f>
        <v/>
      </c>
      <c r="E2357" s="5" t="inlineStr"/>
      <c r="F2357" s="5" t="inlineStr"/>
      <c r="G2357" s="8">
        <f>IF($B2357="","",VLOOKUP($B2357,Jogos!$A$2:$K$105,9,FALSE))</f>
        <v/>
      </c>
      <c r="H2357" s="8">
        <f>IF($B2357="","",VLOOKUP($B2357,Jogos!$A$2:$K$105,11,FALSE))</f>
        <v/>
      </c>
      <c r="I2357" s="5">
        <f>IF(OR($A2357="", $B2357="", $E2357="", $F2357="", $G2357="", $H2357=""), "",IF(AND($E2357=$G2357, $F2357=$H2357), 3, IF(SIGN($E2357-$F2357)=SIGN($G2357-$H2357), 1, 0))))</f>
        <v/>
      </c>
    </row>
    <row r="2358">
      <c r="A2358" s="5" t="inlineStr"/>
      <c r="B2358" s="5" t="inlineStr"/>
      <c r="C2358" s="5">
        <f>IF($B2358="","",VLOOKUP($B2358,Jogos!$A$2:$K$105,8,FALSE))</f>
        <v/>
      </c>
      <c r="D2358" s="5">
        <f>IF($B2358="","",VLOOKUP($B2358,Jogos!$A$2:$K$105,10,FALSE))</f>
        <v/>
      </c>
      <c r="E2358" s="5" t="inlineStr"/>
      <c r="F2358" s="5" t="inlineStr"/>
      <c r="G2358" s="8">
        <f>IF($B2358="","",VLOOKUP($B2358,Jogos!$A$2:$K$105,9,FALSE))</f>
        <v/>
      </c>
      <c r="H2358" s="8">
        <f>IF($B2358="","",VLOOKUP($B2358,Jogos!$A$2:$K$105,11,FALSE))</f>
        <v/>
      </c>
      <c r="I2358" s="5">
        <f>IF(OR($A2358="", $B2358="", $E2358="", $F2358="", $G2358="", $H2358=""), "",IF(AND($E2358=$G2358, $F2358=$H2358), 3, IF(SIGN($E2358-$F2358)=SIGN($G2358-$H2358), 1, 0))))</f>
        <v/>
      </c>
    </row>
    <row r="2359">
      <c r="A2359" s="5" t="inlineStr"/>
      <c r="B2359" s="5" t="inlineStr"/>
      <c r="C2359" s="5">
        <f>IF($B2359="","",VLOOKUP($B2359,Jogos!$A$2:$K$105,8,FALSE))</f>
        <v/>
      </c>
      <c r="D2359" s="5">
        <f>IF($B2359="","",VLOOKUP($B2359,Jogos!$A$2:$K$105,10,FALSE))</f>
        <v/>
      </c>
      <c r="E2359" s="5" t="inlineStr"/>
      <c r="F2359" s="5" t="inlineStr"/>
      <c r="G2359" s="8">
        <f>IF($B2359="","",VLOOKUP($B2359,Jogos!$A$2:$K$105,9,FALSE))</f>
        <v/>
      </c>
      <c r="H2359" s="8">
        <f>IF($B2359="","",VLOOKUP($B2359,Jogos!$A$2:$K$105,11,FALSE))</f>
        <v/>
      </c>
      <c r="I2359" s="5">
        <f>IF(OR($A2359="", $B2359="", $E2359="", $F2359="", $G2359="", $H2359=""), "",IF(AND($E2359=$G2359, $F2359=$H2359), 3, IF(SIGN($E2359-$F2359)=SIGN($G2359-$H2359), 1, 0))))</f>
        <v/>
      </c>
    </row>
    <row r="2360">
      <c r="A2360" s="5" t="inlineStr"/>
      <c r="B2360" s="5" t="inlineStr"/>
      <c r="C2360" s="5">
        <f>IF($B2360="","",VLOOKUP($B2360,Jogos!$A$2:$K$105,8,FALSE))</f>
        <v/>
      </c>
      <c r="D2360" s="5">
        <f>IF($B2360="","",VLOOKUP($B2360,Jogos!$A$2:$K$105,10,FALSE))</f>
        <v/>
      </c>
      <c r="E2360" s="5" t="inlineStr"/>
      <c r="F2360" s="5" t="inlineStr"/>
      <c r="G2360" s="8">
        <f>IF($B2360="","",VLOOKUP($B2360,Jogos!$A$2:$K$105,9,FALSE))</f>
        <v/>
      </c>
      <c r="H2360" s="8">
        <f>IF($B2360="","",VLOOKUP($B2360,Jogos!$A$2:$K$105,11,FALSE))</f>
        <v/>
      </c>
      <c r="I2360" s="5">
        <f>IF(OR($A2360="", $B2360="", $E2360="", $F2360="", $G2360="", $H2360=""), "",IF(AND($E2360=$G2360, $F2360=$H2360), 3, IF(SIGN($E2360-$F2360)=SIGN($G2360-$H2360), 1, 0))))</f>
        <v/>
      </c>
    </row>
    <row r="2361">
      <c r="A2361" s="5" t="inlineStr"/>
      <c r="B2361" s="5" t="inlineStr"/>
      <c r="C2361" s="5">
        <f>IF($B2361="","",VLOOKUP($B2361,Jogos!$A$2:$K$105,8,FALSE))</f>
        <v/>
      </c>
      <c r="D2361" s="5">
        <f>IF($B2361="","",VLOOKUP($B2361,Jogos!$A$2:$K$105,10,FALSE))</f>
        <v/>
      </c>
      <c r="E2361" s="5" t="inlineStr"/>
      <c r="F2361" s="5" t="inlineStr"/>
      <c r="G2361" s="8">
        <f>IF($B2361="","",VLOOKUP($B2361,Jogos!$A$2:$K$105,9,FALSE))</f>
        <v/>
      </c>
      <c r="H2361" s="8">
        <f>IF($B2361="","",VLOOKUP($B2361,Jogos!$A$2:$K$105,11,FALSE))</f>
        <v/>
      </c>
      <c r="I2361" s="5">
        <f>IF(OR($A2361="", $B2361="", $E2361="", $F2361="", $G2361="", $H2361=""), "",IF(AND($E2361=$G2361, $F2361=$H2361), 3, IF(SIGN($E2361-$F2361)=SIGN($G2361-$H2361), 1, 0))))</f>
        <v/>
      </c>
    </row>
    <row r="2362">
      <c r="A2362" s="5" t="inlineStr"/>
      <c r="B2362" s="5" t="inlineStr"/>
      <c r="C2362" s="5">
        <f>IF($B2362="","",VLOOKUP($B2362,Jogos!$A$2:$K$105,8,FALSE))</f>
        <v/>
      </c>
      <c r="D2362" s="5">
        <f>IF($B2362="","",VLOOKUP($B2362,Jogos!$A$2:$K$105,10,FALSE))</f>
        <v/>
      </c>
      <c r="E2362" s="5" t="inlineStr"/>
      <c r="F2362" s="5" t="inlineStr"/>
      <c r="G2362" s="8">
        <f>IF($B2362="","",VLOOKUP($B2362,Jogos!$A$2:$K$105,9,FALSE))</f>
        <v/>
      </c>
      <c r="H2362" s="8">
        <f>IF($B2362="","",VLOOKUP($B2362,Jogos!$A$2:$K$105,11,FALSE))</f>
        <v/>
      </c>
      <c r="I2362" s="5">
        <f>IF(OR($A2362="", $B2362="", $E2362="", $F2362="", $G2362="", $H2362=""), "",IF(AND($E2362=$G2362, $F2362=$H2362), 3, IF(SIGN($E2362-$F2362)=SIGN($G2362-$H2362), 1, 0))))</f>
        <v/>
      </c>
    </row>
    <row r="2363">
      <c r="A2363" s="5" t="inlineStr"/>
      <c r="B2363" s="5" t="inlineStr"/>
      <c r="C2363" s="5">
        <f>IF($B2363="","",VLOOKUP($B2363,Jogos!$A$2:$K$105,8,FALSE))</f>
        <v/>
      </c>
      <c r="D2363" s="5">
        <f>IF($B2363="","",VLOOKUP($B2363,Jogos!$A$2:$K$105,10,FALSE))</f>
        <v/>
      </c>
      <c r="E2363" s="5" t="inlineStr"/>
      <c r="F2363" s="5" t="inlineStr"/>
      <c r="G2363" s="8">
        <f>IF($B2363="","",VLOOKUP($B2363,Jogos!$A$2:$K$105,9,FALSE))</f>
        <v/>
      </c>
      <c r="H2363" s="8">
        <f>IF($B2363="","",VLOOKUP($B2363,Jogos!$A$2:$K$105,11,FALSE))</f>
        <v/>
      </c>
      <c r="I2363" s="5">
        <f>IF(OR($A2363="", $B2363="", $E2363="", $F2363="", $G2363="", $H2363=""), "",IF(AND($E2363=$G2363, $F2363=$H2363), 3, IF(SIGN($E2363-$F2363)=SIGN($G2363-$H2363), 1, 0))))</f>
        <v/>
      </c>
    </row>
    <row r="2364">
      <c r="A2364" s="5" t="inlineStr"/>
      <c r="B2364" s="5" t="inlineStr"/>
      <c r="C2364" s="5">
        <f>IF($B2364="","",VLOOKUP($B2364,Jogos!$A$2:$K$105,8,FALSE))</f>
        <v/>
      </c>
      <c r="D2364" s="5">
        <f>IF($B2364="","",VLOOKUP($B2364,Jogos!$A$2:$K$105,10,FALSE))</f>
        <v/>
      </c>
      <c r="E2364" s="5" t="inlineStr"/>
      <c r="F2364" s="5" t="inlineStr"/>
      <c r="G2364" s="8">
        <f>IF($B2364="","",VLOOKUP($B2364,Jogos!$A$2:$K$105,9,FALSE))</f>
        <v/>
      </c>
      <c r="H2364" s="8">
        <f>IF($B2364="","",VLOOKUP($B2364,Jogos!$A$2:$K$105,11,FALSE))</f>
        <v/>
      </c>
      <c r="I2364" s="5">
        <f>IF(OR($A2364="", $B2364="", $E2364="", $F2364="", $G2364="", $H2364=""), "",IF(AND($E2364=$G2364, $F2364=$H2364), 3, IF(SIGN($E2364-$F2364)=SIGN($G2364-$H2364), 1, 0))))</f>
        <v/>
      </c>
    </row>
    <row r="2365">
      <c r="A2365" s="5" t="inlineStr"/>
      <c r="B2365" s="5" t="inlineStr"/>
      <c r="C2365" s="5">
        <f>IF($B2365="","",VLOOKUP($B2365,Jogos!$A$2:$K$105,8,FALSE))</f>
        <v/>
      </c>
      <c r="D2365" s="5">
        <f>IF($B2365="","",VLOOKUP($B2365,Jogos!$A$2:$K$105,10,FALSE))</f>
        <v/>
      </c>
      <c r="E2365" s="5" t="inlineStr"/>
      <c r="F2365" s="5" t="inlineStr"/>
      <c r="G2365" s="8">
        <f>IF($B2365="","",VLOOKUP($B2365,Jogos!$A$2:$K$105,9,FALSE))</f>
        <v/>
      </c>
      <c r="H2365" s="8">
        <f>IF($B2365="","",VLOOKUP($B2365,Jogos!$A$2:$K$105,11,FALSE))</f>
        <v/>
      </c>
      <c r="I2365" s="5">
        <f>IF(OR($A2365="", $B2365="", $E2365="", $F2365="", $G2365="", $H2365=""), "",IF(AND($E2365=$G2365, $F2365=$H2365), 3, IF(SIGN($E2365-$F2365)=SIGN($G2365-$H2365), 1, 0))))</f>
        <v/>
      </c>
    </row>
    <row r="2366">
      <c r="A2366" s="5" t="inlineStr"/>
      <c r="B2366" s="5" t="inlineStr"/>
      <c r="C2366" s="5">
        <f>IF($B2366="","",VLOOKUP($B2366,Jogos!$A$2:$K$105,8,FALSE))</f>
        <v/>
      </c>
      <c r="D2366" s="5">
        <f>IF($B2366="","",VLOOKUP($B2366,Jogos!$A$2:$K$105,10,FALSE))</f>
        <v/>
      </c>
      <c r="E2366" s="5" t="inlineStr"/>
      <c r="F2366" s="5" t="inlineStr"/>
      <c r="G2366" s="8">
        <f>IF($B2366="","",VLOOKUP($B2366,Jogos!$A$2:$K$105,9,FALSE))</f>
        <v/>
      </c>
      <c r="H2366" s="8">
        <f>IF($B2366="","",VLOOKUP($B2366,Jogos!$A$2:$K$105,11,FALSE))</f>
        <v/>
      </c>
      <c r="I2366" s="5">
        <f>IF(OR($A2366="", $B2366="", $E2366="", $F2366="", $G2366="", $H2366=""), "",IF(AND($E2366=$G2366, $F2366=$H2366), 3, IF(SIGN($E2366-$F2366)=SIGN($G2366-$H2366), 1, 0))))</f>
        <v/>
      </c>
    </row>
    <row r="2367">
      <c r="A2367" s="5" t="inlineStr"/>
      <c r="B2367" s="5" t="inlineStr"/>
      <c r="C2367" s="5">
        <f>IF($B2367="","",VLOOKUP($B2367,Jogos!$A$2:$K$105,8,FALSE))</f>
        <v/>
      </c>
      <c r="D2367" s="5">
        <f>IF($B2367="","",VLOOKUP($B2367,Jogos!$A$2:$K$105,10,FALSE))</f>
        <v/>
      </c>
      <c r="E2367" s="5" t="inlineStr"/>
      <c r="F2367" s="5" t="inlineStr"/>
      <c r="G2367" s="8">
        <f>IF($B2367="","",VLOOKUP($B2367,Jogos!$A$2:$K$105,9,FALSE))</f>
        <v/>
      </c>
      <c r="H2367" s="8">
        <f>IF($B2367="","",VLOOKUP($B2367,Jogos!$A$2:$K$105,11,FALSE))</f>
        <v/>
      </c>
      <c r="I2367" s="5">
        <f>IF(OR($A2367="", $B2367="", $E2367="", $F2367="", $G2367="", $H2367=""), "",IF(AND($E2367=$G2367, $F2367=$H2367), 3, IF(SIGN($E2367-$F2367)=SIGN($G2367-$H2367), 1, 0))))</f>
        <v/>
      </c>
    </row>
    <row r="2368">
      <c r="A2368" s="5" t="inlineStr"/>
      <c r="B2368" s="5" t="inlineStr"/>
      <c r="C2368" s="5">
        <f>IF($B2368="","",VLOOKUP($B2368,Jogos!$A$2:$K$105,8,FALSE))</f>
        <v/>
      </c>
      <c r="D2368" s="5">
        <f>IF($B2368="","",VLOOKUP($B2368,Jogos!$A$2:$K$105,10,FALSE))</f>
        <v/>
      </c>
      <c r="E2368" s="5" t="inlineStr"/>
      <c r="F2368" s="5" t="inlineStr"/>
      <c r="G2368" s="8">
        <f>IF($B2368="","",VLOOKUP($B2368,Jogos!$A$2:$K$105,9,FALSE))</f>
        <v/>
      </c>
      <c r="H2368" s="8">
        <f>IF($B2368="","",VLOOKUP($B2368,Jogos!$A$2:$K$105,11,FALSE))</f>
        <v/>
      </c>
      <c r="I2368" s="5">
        <f>IF(OR($A2368="", $B2368="", $E2368="", $F2368="", $G2368="", $H2368=""), "",IF(AND($E2368=$G2368, $F2368=$H2368), 3, IF(SIGN($E2368-$F2368)=SIGN($G2368-$H2368), 1, 0))))</f>
        <v/>
      </c>
    </row>
    <row r="2369">
      <c r="A2369" s="5" t="inlineStr"/>
      <c r="B2369" s="5" t="inlineStr"/>
      <c r="C2369" s="5">
        <f>IF($B2369="","",VLOOKUP($B2369,Jogos!$A$2:$K$105,8,FALSE))</f>
        <v/>
      </c>
      <c r="D2369" s="5">
        <f>IF($B2369="","",VLOOKUP($B2369,Jogos!$A$2:$K$105,10,FALSE))</f>
        <v/>
      </c>
      <c r="E2369" s="5" t="inlineStr"/>
      <c r="F2369" s="5" t="inlineStr"/>
      <c r="G2369" s="8">
        <f>IF($B2369="","",VLOOKUP($B2369,Jogos!$A$2:$K$105,9,FALSE))</f>
        <v/>
      </c>
      <c r="H2369" s="8">
        <f>IF($B2369="","",VLOOKUP($B2369,Jogos!$A$2:$K$105,11,FALSE))</f>
        <v/>
      </c>
      <c r="I2369" s="5">
        <f>IF(OR($A2369="", $B2369="", $E2369="", $F2369="", $G2369="", $H2369=""), "",IF(AND($E2369=$G2369, $F2369=$H2369), 3, IF(SIGN($E2369-$F2369)=SIGN($G2369-$H2369), 1, 0))))</f>
        <v/>
      </c>
    </row>
    <row r="2370">
      <c r="A2370" s="5" t="inlineStr"/>
      <c r="B2370" s="5" t="inlineStr"/>
      <c r="C2370" s="5">
        <f>IF($B2370="","",VLOOKUP($B2370,Jogos!$A$2:$K$105,8,FALSE))</f>
        <v/>
      </c>
      <c r="D2370" s="5">
        <f>IF($B2370="","",VLOOKUP($B2370,Jogos!$A$2:$K$105,10,FALSE))</f>
        <v/>
      </c>
      <c r="E2370" s="5" t="inlineStr"/>
      <c r="F2370" s="5" t="inlineStr"/>
      <c r="G2370" s="8">
        <f>IF($B2370="","",VLOOKUP($B2370,Jogos!$A$2:$K$105,9,FALSE))</f>
        <v/>
      </c>
      <c r="H2370" s="8">
        <f>IF($B2370="","",VLOOKUP($B2370,Jogos!$A$2:$K$105,11,FALSE))</f>
        <v/>
      </c>
      <c r="I2370" s="5">
        <f>IF(OR($A2370="", $B2370="", $E2370="", $F2370="", $G2370="", $H2370=""), "",IF(AND($E2370=$G2370, $F2370=$H2370), 3, IF(SIGN($E2370-$F2370)=SIGN($G2370-$H2370), 1, 0))))</f>
        <v/>
      </c>
    </row>
    <row r="2371">
      <c r="A2371" s="5" t="inlineStr"/>
      <c r="B2371" s="5" t="inlineStr"/>
      <c r="C2371" s="5">
        <f>IF($B2371="","",VLOOKUP($B2371,Jogos!$A$2:$K$105,8,FALSE))</f>
        <v/>
      </c>
      <c r="D2371" s="5">
        <f>IF($B2371="","",VLOOKUP($B2371,Jogos!$A$2:$K$105,10,FALSE))</f>
        <v/>
      </c>
      <c r="E2371" s="5" t="inlineStr"/>
      <c r="F2371" s="5" t="inlineStr"/>
      <c r="G2371" s="8">
        <f>IF($B2371="","",VLOOKUP($B2371,Jogos!$A$2:$K$105,9,FALSE))</f>
        <v/>
      </c>
      <c r="H2371" s="8">
        <f>IF($B2371="","",VLOOKUP($B2371,Jogos!$A$2:$K$105,11,FALSE))</f>
        <v/>
      </c>
      <c r="I2371" s="5">
        <f>IF(OR($A2371="", $B2371="", $E2371="", $F2371="", $G2371="", $H2371=""), "",IF(AND($E2371=$G2371, $F2371=$H2371), 3, IF(SIGN($E2371-$F2371)=SIGN($G2371-$H2371), 1, 0))))</f>
        <v/>
      </c>
    </row>
    <row r="2372">
      <c r="A2372" s="5" t="inlineStr"/>
      <c r="B2372" s="5" t="inlineStr"/>
      <c r="C2372" s="5">
        <f>IF($B2372="","",VLOOKUP($B2372,Jogos!$A$2:$K$105,8,FALSE))</f>
        <v/>
      </c>
      <c r="D2372" s="5">
        <f>IF($B2372="","",VLOOKUP($B2372,Jogos!$A$2:$K$105,10,FALSE))</f>
        <v/>
      </c>
      <c r="E2372" s="5" t="inlineStr"/>
      <c r="F2372" s="5" t="inlineStr"/>
      <c r="G2372" s="8">
        <f>IF($B2372="","",VLOOKUP($B2372,Jogos!$A$2:$K$105,9,FALSE))</f>
        <v/>
      </c>
      <c r="H2372" s="8">
        <f>IF($B2372="","",VLOOKUP($B2372,Jogos!$A$2:$K$105,11,FALSE))</f>
        <v/>
      </c>
      <c r="I2372" s="5">
        <f>IF(OR($A2372="", $B2372="", $E2372="", $F2372="", $G2372="", $H2372=""), "",IF(AND($E2372=$G2372, $F2372=$H2372), 3, IF(SIGN($E2372-$F2372)=SIGN($G2372-$H2372), 1, 0))))</f>
        <v/>
      </c>
    </row>
    <row r="2373">
      <c r="A2373" s="5" t="inlineStr"/>
      <c r="B2373" s="5" t="inlineStr"/>
      <c r="C2373" s="5">
        <f>IF($B2373="","",VLOOKUP($B2373,Jogos!$A$2:$K$105,8,FALSE))</f>
        <v/>
      </c>
      <c r="D2373" s="5">
        <f>IF($B2373="","",VLOOKUP($B2373,Jogos!$A$2:$K$105,10,FALSE))</f>
        <v/>
      </c>
      <c r="E2373" s="5" t="inlineStr"/>
      <c r="F2373" s="5" t="inlineStr"/>
      <c r="G2373" s="8">
        <f>IF($B2373="","",VLOOKUP($B2373,Jogos!$A$2:$K$105,9,FALSE))</f>
        <v/>
      </c>
      <c r="H2373" s="8">
        <f>IF($B2373="","",VLOOKUP($B2373,Jogos!$A$2:$K$105,11,FALSE))</f>
        <v/>
      </c>
      <c r="I2373" s="5">
        <f>IF(OR($A2373="", $B2373="", $E2373="", $F2373="", $G2373="", $H2373=""), "",IF(AND($E2373=$G2373, $F2373=$H2373), 3, IF(SIGN($E2373-$F2373)=SIGN($G2373-$H2373), 1, 0))))</f>
        <v/>
      </c>
    </row>
    <row r="2374">
      <c r="A2374" s="5" t="inlineStr"/>
      <c r="B2374" s="5" t="inlineStr"/>
      <c r="C2374" s="5">
        <f>IF($B2374="","",VLOOKUP($B2374,Jogos!$A$2:$K$105,8,FALSE))</f>
        <v/>
      </c>
      <c r="D2374" s="5">
        <f>IF($B2374="","",VLOOKUP($B2374,Jogos!$A$2:$K$105,10,FALSE))</f>
        <v/>
      </c>
      <c r="E2374" s="5" t="inlineStr"/>
      <c r="F2374" s="5" t="inlineStr"/>
      <c r="G2374" s="8">
        <f>IF($B2374="","",VLOOKUP($B2374,Jogos!$A$2:$K$105,9,FALSE))</f>
        <v/>
      </c>
      <c r="H2374" s="8">
        <f>IF($B2374="","",VLOOKUP($B2374,Jogos!$A$2:$K$105,11,FALSE))</f>
        <v/>
      </c>
      <c r="I2374" s="5">
        <f>IF(OR($A2374="", $B2374="", $E2374="", $F2374="", $G2374="", $H2374=""), "",IF(AND($E2374=$G2374, $F2374=$H2374), 3, IF(SIGN($E2374-$F2374)=SIGN($G2374-$H2374), 1, 0))))</f>
        <v/>
      </c>
    </row>
    <row r="2375">
      <c r="A2375" s="5" t="inlineStr"/>
      <c r="B2375" s="5" t="inlineStr"/>
      <c r="C2375" s="5">
        <f>IF($B2375="","",VLOOKUP($B2375,Jogos!$A$2:$K$105,8,FALSE))</f>
        <v/>
      </c>
      <c r="D2375" s="5">
        <f>IF($B2375="","",VLOOKUP($B2375,Jogos!$A$2:$K$105,10,FALSE))</f>
        <v/>
      </c>
      <c r="E2375" s="5" t="inlineStr"/>
      <c r="F2375" s="5" t="inlineStr"/>
      <c r="G2375" s="8">
        <f>IF($B2375="","",VLOOKUP($B2375,Jogos!$A$2:$K$105,9,FALSE))</f>
        <v/>
      </c>
      <c r="H2375" s="8">
        <f>IF($B2375="","",VLOOKUP($B2375,Jogos!$A$2:$K$105,11,FALSE))</f>
        <v/>
      </c>
      <c r="I2375" s="5">
        <f>IF(OR($A2375="", $B2375="", $E2375="", $F2375="", $G2375="", $H2375=""), "",IF(AND($E2375=$G2375, $F2375=$H2375), 3, IF(SIGN($E2375-$F2375)=SIGN($G2375-$H2375), 1, 0))))</f>
        <v/>
      </c>
    </row>
    <row r="2376">
      <c r="A2376" s="5" t="inlineStr"/>
      <c r="B2376" s="5" t="inlineStr"/>
      <c r="C2376" s="5">
        <f>IF($B2376="","",VLOOKUP($B2376,Jogos!$A$2:$K$105,8,FALSE))</f>
        <v/>
      </c>
      <c r="D2376" s="5">
        <f>IF($B2376="","",VLOOKUP($B2376,Jogos!$A$2:$K$105,10,FALSE))</f>
        <v/>
      </c>
      <c r="E2376" s="5" t="inlineStr"/>
      <c r="F2376" s="5" t="inlineStr"/>
      <c r="G2376" s="8">
        <f>IF($B2376="","",VLOOKUP($B2376,Jogos!$A$2:$K$105,9,FALSE))</f>
        <v/>
      </c>
      <c r="H2376" s="8">
        <f>IF($B2376="","",VLOOKUP($B2376,Jogos!$A$2:$K$105,11,FALSE))</f>
        <v/>
      </c>
      <c r="I2376" s="5">
        <f>IF(OR($A2376="", $B2376="", $E2376="", $F2376="", $G2376="", $H2376=""), "",IF(AND($E2376=$G2376, $F2376=$H2376), 3, IF(SIGN($E2376-$F2376)=SIGN($G2376-$H2376), 1, 0))))</f>
        <v/>
      </c>
    </row>
    <row r="2377">
      <c r="A2377" s="5" t="inlineStr"/>
      <c r="B2377" s="5" t="inlineStr"/>
      <c r="C2377" s="5">
        <f>IF($B2377="","",VLOOKUP($B2377,Jogos!$A$2:$K$105,8,FALSE))</f>
        <v/>
      </c>
      <c r="D2377" s="5">
        <f>IF($B2377="","",VLOOKUP($B2377,Jogos!$A$2:$K$105,10,FALSE))</f>
        <v/>
      </c>
      <c r="E2377" s="5" t="inlineStr"/>
      <c r="F2377" s="5" t="inlineStr"/>
      <c r="G2377" s="8">
        <f>IF($B2377="","",VLOOKUP($B2377,Jogos!$A$2:$K$105,9,FALSE))</f>
        <v/>
      </c>
      <c r="H2377" s="8">
        <f>IF($B2377="","",VLOOKUP($B2377,Jogos!$A$2:$K$105,11,FALSE))</f>
        <v/>
      </c>
      <c r="I2377" s="5">
        <f>IF(OR($A2377="", $B2377="", $E2377="", $F2377="", $G2377="", $H2377=""), "",IF(AND($E2377=$G2377, $F2377=$H2377), 3, IF(SIGN($E2377-$F2377)=SIGN($G2377-$H2377), 1, 0))))</f>
        <v/>
      </c>
    </row>
    <row r="2378">
      <c r="A2378" s="5" t="inlineStr"/>
      <c r="B2378" s="5" t="inlineStr"/>
      <c r="C2378" s="5">
        <f>IF($B2378="","",VLOOKUP($B2378,Jogos!$A$2:$K$105,8,FALSE))</f>
        <v/>
      </c>
      <c r="D2378" s="5">
        <f>IF($B2378="","",VLOOKUP($B2378,Jogos!$A$2:$K$105,10,FALSE))</f>
        <v/>
      </c>
      <c r="E2378" s="5" t="inlineStr"/>
      <c r="F2378" s="5" t="inlineStr"/>
      <c r="G2378" s="8">
        <f>IF($B2378="","",VLOOKUP($B2378,Jogos!$A$2:$K$105,9,FALSE))</f>
        <v/>
      </c>
      <c r="H2378" s="8">
        <f>IF($B2378="","",VLOOKUP($B2378,Jogos!$A$2:$K$105,11,FALSE))</f>
        <v/>
      </c>
      <c r="I2378" s="5">
        <f>IF(OR($A2378="", $B2378="", $E2378="", $F2378="", $G2378="", $H2378=""), "",IF(AND($E2378=$G2378, $F2378=$H2378), 3, IF(SIGN($E2378-$F2378)=SIGN($G2378-$H2378), 1, 0))))</f>
        <v/>
      </c>
    </row>
    <row r="2379">
      <c r="A2379" s="5" t="inlineStr"/>
      <c r="B2379" s="5" t="inlineStr"/>
      <c r="C2379" s="5">
        <f>IF($B2379="","",VLOOKUP($B2379,Jogos!$A$2:$K$105,8,FALSE))</f>
        <v/>
      </c>
      <c r="D2379" s="5">
        <f>IF($B2379="","",VLOOKUP($B2379,Jogos!$A$2:$K$105,10,FALSE))</f>
        <v/>
      </c>
      <c r="E2379" s="5" t="inlineStr"/>
      <c r="F2379" s="5" t="inlineStr"/>
      <c r="G2379" s="8">
        <f>IF($B2379="","",VLOOKUP($B2379,Jogos!$A$2:$K$105,9,FALSE))</f>
        <v/>
      </c>
      <c r="H2379" s="8">
        <f>IF($B2379="","",VLOOKUP($B2379,Jogos!$A$2:$K$105,11,FALSE))</f>
        <v/>
      </c>
      <c r="I2379" s="5">
        <f>IF(OR($A2379="", $B2379="", $E2379="", $F2379="", $G2379="", $H2379=""), "",IF(AND($E2379=$G2379, $F2379=$H2379), 3, IF(SIGN($E2379-$F2379)=SIGN($G2379-$H2379), 1, 0))))</f>
        <v/>
      </c>
    </row>
    <row r="2380">
      <c r="A2380" s="5" t="inlineStr"/>
      <c r="B2380" s="5" t="inlineStr"/>
      <c r="C2380" s="5">
        <f>IF($B2380="","",VLOOKUP($B2380,Jogos!$A$2:$K$105,8,FALSE))</f>
        <v/>
      </c>
      <c r="D2380" s="5">
        <f>IF($B2380="","",VLOOKUP($B2380,Jogos!$A$2:$K$105,10,FALSE))</f>
        <v/>
      </c>
      <c r="E2380" s="5" t="inlineStr"/>
      <c r="F2380" s="5" t="inlineStr"/>
      <c r="G2380" s="8">
        <f>IF($B2380="","",VLOOKUP($B2380,Jogos!$A$2:$K$105,9,FALSE))</f>
        <v/>
      </c>
      <c r="H2380" s="8">
        <f>IF($B2380="","",VLOOKUP($B2380,Jogos!$A$2:$K$105,11,FALSE))</f>
        <v/>
      </c>
      <c r="I2380" s="5">
        <f>IF(OR($A2380="", $B2380="", $E2380="", $F2380="", $G2380="", $H2380=""), "",IF(AND($E2380=$G2380, $F2380=$H2380), 3, IF(SIGN($E2380-$F2380)=SIGN($G2380-$H2380), 1, 0))))</f>
        <v/>
      </c>
    </row>
    <row r="2381">
      <c r="A2381" s="5" t="inlineStr"/>
      <c r="B2381" s="5" t="inlineStr"/>
      <c r="C2381" s="5">
        <f>IF($B2381="","",VLOOKUP($B2381,Jogos!$A$2:$K$105,8,FALSE))</f>
        <v/>
      </c>
      <c r="D2381" s="5">
        <f>IF($B2381="","",VLOOKUP($B2381,Jogos!$A$2:$K$105,10,FALSE))</f>
        <v/>
      </c>
      <c r="E2381" s="5" t="inlineStr"/>
      <c r="F2381" s="5" t="inlineStr"/>
      <c r="G2381" s="8">
        <f>IF($B2381="","",VLOOKUP($B2381,Jogos!$A$2:$K$105,9,FALSE))</f>
        <v/>
      </c>
      <c r="H2381" s="8">
        <f>IF($B2381="","",VLOOKUP($B2381,Jogos!$A$2:$K$105,11,FALSE))</f>
        <v/>
      </c>
      <c r="I2381" s="5">
        <f>IF(OR($A2381="", $B2381="", $E2381="", $F2381="", $G2381="", $H2381=""), "",IF(AND($E2381=$G2381, $F2381=$H2381), 3, IF(SIGN($E2381-$F2381)=SIGN($G2381-$H2381), 1, 0))))</f>
        <v/>
      </c>
    </row>
    <row r="2382">
      <c r="A2382" s="5" t="inlineStr"/>
      <c r="B2382" s="5" t="inlineStr"/>
      <c r="C2382" s="5">
        <f>IF($B2382="","",VLOOKUP($B2382,Jogos!$A$2:$K$105,8,FALSE))</f>
        <v/>
      </c>
      <c r="D2382" s="5">
        <f>IF($B2382="","",VLOOKUP($B2382,Jogos!$A$2:$K$105,10,FALSE))</f>
        <v/>
      </c>
      <c r="E2382" s="5" t="inlineStr"/>
      <c r="F2382" s="5" t="inlineStr"/>
      <c r="G2382" s="8">
        <f>IF($B2382="","",VLOOKUP($B2382,Jogos!$A$2:$K$105,9,FALSE))</f>
        <v/>
      </c>
      <c r="H2382" s="8">
        <f>IF($B2382="","",VLOOKUP($B2382,Jogos!$A$2:$K$105,11,FALSE))</f>
        <v/>
      </c>
      <c r="I2382" s="5">
        <f>IF(OR($A2382="", $B2382="", $E2382="", $F2382="", $G2382="", $H2382=""), "",IF(AND($E2382=$G2382, $F2382=$H2382), 3, IF(SIGN($E2382-$F2382)=SIGN($G2382-$H2382), 1, 0))))</f>
        <v/>
      </c>
    </row>
    <row r="2383">
      <c r="A2383" s="5" t="inlineStr"/>
      <c r="B2383" s="5" t="inlineStr"/>
      <c r="C2383" s="5">
        <f>IF($B2383="","",VLOOKUP($B2383,Jogos!$A$2:$K$105,8,FALSE))</f>
        <v/>
      </c>
      <c r="D2383" s="5">
        <f>IF($B2383="","",VLOOKUP($B2383,Jogos!$A$2:$K$105,10,FALSE))</f>
        <v/>
      </c>
      <c r="E2383" s="5" t="inlineStr"/>
      <c r="F2383" s="5" t="inlineStr"/>
      <c r="G2383" s="8">
        <f>IF($B2383="","",VLOOKUP($B2383,Jogos!$A$2:$K$105,9,FALSE))</f>
        <v/>
      </c>
      <c r="H2383" s="8">
        <f>IF($B2383="","",VLOOKUP($B2383,Jogos!$A$2:$K$105,11,FALSE))</f>
        <v/>
      </c>
      <c r="I2383" s="5">
        <f>IF(OR($A2383="", $B2383="", $E2383="", $F2383="", $G2383="", $H2383=""), "",IF(AND($E2383=$G2383, $F2383=$H2383), 3, IF(SIGN($E2383-$F2383)=SIGN($G2383-$H2383), 1, 0))))</f>
        <v/>
      </c>
    </row>
    <row r="2384">
      <c r="A2384" s="5" t="inlineStr"/>
      <c r="B2384" s="5" t="inlineStr"/>
      <c r="C2384" s="5">
        <f>IF($B2384="","",VLOOKUP($B2384,Jogos!$A$2:$K$105,8,FALSE))</f>
        <v/>
      </c>
      <c r="D2384" s="5">
        <f>IF($B2384="","",VLOOKUP($B2384,Jogos!$A$2:$K$105,10,FALSE))</f>
        <v/>
      </c>
      <c r="E2384" s="5" t="inlineStr"/>
      <c r="F2384" s="5" t="inlineStr"/>
      <c r="G2384" s="8">
        <f>IF($B2384="","",VLOOKUP($B2384,Jogos!$A$2:$K$105,9,FALSE))</f>
        <v/>
      </c>
      <c r="H2384" s="8">
        <f>IF($B2384="","",VLOOKUP($B2384,Jogos!$A$2:$K$105,11,FALSE))</f>
        <v/>
      </c>
      <c r="I2384" s="5">
        <f>IF(OR($A2384="", $B2384="", $E2384="", $F2384="", $G2384="", $H2384=""), "",IF(AND($E2384=$G2384, $F2384=$H2384), 3, IF(SIGN($E2384-$F2384)=SIGN($G2384-$H2384), 1, 0))))</f>
        <v/>
      </c>
    </row>
    <row r="2385">
      <c r="A2385" s="5" t="inlineStr"/>
      <c r="B2385" s="5" t="inlineStr"/>
      <c r="C2385" s="5">
        <f>IF($B2385="","",VLOOKUP($B2385,Jogos!$A$2:$K$105,8,FALSE))</f>
        <v/>
      </c>
      <c r="D2385" s="5">
        <f>IF($B2385="","",VLOOKUP($B2385,Jogos!$A$2:$K$105,10,FALSE))</f>
        <v/>
      </c>
      <c r="E2385" s="5" t="inlineStr"/>
      <c r="F2385" s="5" t="inlineStr"/>
      <c r="G2385" s="8">
        <f>IF($B2385="","",VLOOKUP($B2385,Jogos!$A$2:$K$105,9,FALSE))</f>
        <v/>
      </c>
      <c r="H2385" s="8">
        <f>IF($B2385="","",VLOOKUP($B2385,Jogos!$A$2:$K$105,11,FALSE))</f>
        <v/>
      </c>
      <c r="I2385" s="5">
        <f>IF(OR($A2385="", $B2385="", $E2385="", $F2385="", $G2385="", $H2385=""), "",IF(AND($E2385=$G2385, $F2385=$H2385), 3, IF(SIGN($E2385-$F2385)=SIGN($G2385-$H2385), 1, 0))))</f>
        <v/>
      </c>
    </row>
    <row r="2386">
      <c r="A2386" s="5" t="inlineStr"/>
      <c r="B2386" s="5" t="inlineStr"/>
      <c r="C2386" s="5">
        <f>IF($B2386="","",VLOOKUP($B2386,Jogos!$A$2:$K$105,8,FALSE))</f>
        <v/>
      </c>
      <c r="D2386" s="5">
        <f>IF($B2386="","",VLOOKUP($B2386,Jogos!$A$2:$K$105,10,FALSE))</f>
        <v/>
      </c>
      <c r="E2386" s="5" t="inlineStr"/>
      <c r="F2386" s="5" t="inlineStr"/>
      <c r="G2386" s="8">
        <f>IF($B2386="","",VLOOKUP($B2386,Jogos!$A$2:$K$105,9,FALSE))</f>
        <v/>
      </c>
      <c r="H2386" s="8">
        <f>IF($B2386="","",VLOOKUP($B2386,Jogos!$A$2:$K$105,11,FALSE))</f>
        <v/>
      </c>
      <c r="I2386" s="5">
        <f>IF(OR($A2386="", $B2386="", $E2386="", $F2386="", $G2386="", $H2386=""), "",IF(AND($E2386=$G2386, $F2386=$H2386), 3, IF(SIGN($E2386-$F2386)=SIGN($G2386-$H2386), 1, 0))))</f>
        <v/>
      </c>
    </row>
    <row r="2387">
      <c r="A2387" s="5" t="inlineStr"/>
      <c r="B2387" s="5" t="inlineStr"/>
      <c r="C2387" s="5">
        <f>IF($B2387="","",VLOOKUP($B2387,Jogos!$A$2:$K$105,8,FALSE))</f>
        <v/>
      </c>
      <c r="D2387" s="5">
        <f>IF($B2387="","",VLOOKUP($B2387,Jogos!$A$2:$K$105,10,FALSE))</f>
        <v/>
      </c>
      <c r="E2387" s="5" t="inlineStr"/>
      <c r="F2387" s="5" t="inlineStr"/>
      <c r="G2387" s="8">
        <f>IF($B2387="","",VLOOKUP($B2387,Jogos!$A$2:$K$105,9,FALSE))</f>
        <v/>
      </c>
      <c r="H2387" s="8">
        <f>IF($B2387="","",VLOOKUP($B2387,Jogos!$A$2:$K$105,11,FALSE))</f>
        <v/>
      </c>
      <c r="I2387" s="5">
        <f>IF(OR($A2387="", $B2387="", $E2387="", $F2387="", $G2387="", $H2387=""), "",IF(AND($E2387=$G2387, $F2387=$H2387), 3, IF(SIGN($E2387-$F2387)=SIGN($G2387-$H2387), 1, 0))))</f>
        <v/>
      </c>
    </row>
    <row r="2388">
      <c r="A2388" s="5" t="inlineStr"/>
      <c r="B2388" s="5" t="inlineStr"/>
      <c r="C2388" s="5">
        <f>IF($B2388="","",VLOOKUP($B2388,Jogos!$A$2:$K$105,8,FALSE))</f>
        <v/>
      </c>
      <c r="D2388" s="5">
        <f>IF($B2388="","",VLOOKUP($B2388,Jogos!$A$2:$K$105,10,FALSE))</f>
        <v/>
      </c>
      <c r="E2388" s="5" t="inlineStr"/>
      <c r="F2388" s="5" t="inlineStr"/>
      <c r="G2388" s="8">
        <f>IF($B2388="","",VLOOKUP($B2388,Jogos!$A$2:$K$105,9,FALSE))</f>
        <v/>
      </c>
      <c r="H2388" s="8">
        <f>IF($B2388="","",VLOOKUP($B2388,Jogos!$A$2:$K$105,11,FALSE))</f>
        <v/>
      </c>
      <c r="I2388" s="5">
        <f>IF(OR($A2388="", $B2388="", $E2388="", $F2388="", $G2388="", $H2388=""), "",IF(AND($E2388=$G2388, $F2388=$H2388), 3, IF(SIGN($E2388-$F2388)=SIGN($G2388-$H2388), 1, 0))))</f>
        <v/>
      </c>
    </row>
    <row r="2389">
      <c r="A2389" s="5" t="inlineStr"/>
      <c r="B2389" s="5" t="inlineStr"/>
      <c r="C2389" s="5">
        <f>IF($B2389="","",VLOOKUP($B2389,Jogos!$A$2:$K$105,8,FALSE))</f>
        <v/>
      </c>
      <c r="D2389" s="5">
        <f>IF($B2389="","",VLOOKUP($B2389,Jogos!$A$2:$K$105,10,FALSE))</f>
        <v/>
      </c>
      <c r="E2389" s="5" t="inlineStr"/>
      <c r="F2389" s="5" t="inlineStr"/>
      <c r="G2389" s="8">
        <f>IF($B2389="","",VLOOKUP($B2389,Jogos!$A$2:$K$105,9,FALSE))</f>
        <v/>
      </c>
      <c r="H2389" s="8">
        <f>IF($B2389="","",VLOOKUP($B2389,Jogos!$A$2:$K$105,11,FALSE))</f>
        <v/>
      </c>
      <c r="I2389" s="5">
        <f>IF(OR($A2389="", $B2389="", $E2389="", $F2389="", $G2389="", $H2389=""), "",IF(AND($E2389=$G2389, $F2389=$H2389), 3, IF(SIGN($E2389-$F2389)=SIGN($G2389-$H2389), 1, 0))))</f>
        <v/>
      </c>
    </row>
    <row r="2390">
      <c r="A2390" s="5" t="inlineStr"/>
      <c r="B2390" s="5" t="inlineStr"/>
      <c r="C2390" s="5">
        <f>IF($B2390="","",VLOOKUP($B2390,Jogos!$A$2:$K$105,8,FALSE))</f>
        <v/>
      </c>
      <c r="D2390" s="5">
        <f>IF($B2390="","",VLOOKUP($B2390,Jogos!$A$2:$K$105,10,FALSE))</f>
        <v/>
      </c>
      <c r="E2390" s="5" t="inlineStr"/>
      <c r="F2390" s="5" t="inlineStr"/>
      <c r="G2390" s="8">
        <f>IF($B2390="","",VLOOKUP($B2390,Jogos!$A$2:$K$105,9,FALSE))</f>
        <v/>
      </c>
      <c r="H2390" s="8">
        <f>IF($B2390="","",VLOOKUP($B2390,Jogos!$A$2:$K$105,11,FALSE))</f>
        <v/>
      </c>
      <c r="I2390" s="5">
        <f>IF(OR($A2390="", $B2390="", $E2390="", $F2390="", $G2390="", $H2390=""), "",IF(AND($E2390=$G2390, $F2390=$H2390), 3, IF(SIGN($E2390-$F2390)=SIGN($G2390-$H2390), 1, 0))))</f>
        <v/>
      </c>
    </row>
    <row r="2391">
      <c r="A2391" s="5" t="inlineStr"/>
      <c r="B2391" s="5" t="inlineStr"/>
      <c r="C2391" s="5">
        <f>IF($B2391="","",VLOOKUP($B2391,Jogos!$A$2:$K$105,8,FALSE))</f>
        <v/>
      </c>
      <c r="D2391" s="5">
        <f>IF($B2391="","",VLOOKUP($B2391,Jogos!$A$2:$K$105,10,FALSE))</f>
        <v/>
      </c>
      <c r="E2391" s="5" t="inlineStr"/>
      <c r="F2391" s="5" t="inlineStr"/>
      <c r="G2391" s="8">
        <f>IF($B2391="","",VLOOKUP($B2391,Jogos!$A$2:$K$105,9,FALSE))</f>
        <v/>
      </c>
      <c r="H2391" s="8">
        <f>IF($B2391="","",VLOOKUP($B2391,Jogos!$A$2:$K$105,11,FALSE))</f>
        <v/>
      </c>
      <c r="I2391" s="5">
        <f>IF(OR($A2391="", $B2391="", $E2391="", $F2391="", $G2391="", $H2391=""), "",IF(AND($E2391=$G2391, $F2391=$H2391), 3, IF(SIGN($E2391-$F2391)=SIGN($G2391-$H2391), 1, 0))))</f>
        <v/>
      </c>
    </row>
    <row r="2392">
      <c r="A2392" s="5" t="inlineStr"/>
      <c r="B2392" s="5" t="inlineStr"/>
      <c r="C2392" s="5">
        <f>IF($B2392="","",VLOOKUP($B2392,Jogos!$A$2:$K$105,8,FALSE))</f>
        <v/>
      </c>
      <c r="D2392" s="5">
        <f>IF($B2392="","",VLOOKUP($B2392,Jogos!$A$2:$K$105,10,FALSE))</f>
        <v/>
      </c>
      <c r="E2392" s="5" t="inlineStr"/>
      <c r="F2392" s="5" t="inlineStr"/>
      <c r="G2392" s="8">
        <f>IF($B2392="","",VLOOKUP($B2392,Jogos!$A$2:$K$105,9,FALSE))</f>
        <v/>
      </c>
      <c r="H2392" s="8">
        <f>IF($B2392="","",VLOOKUP($B2392,Jogos!$A$2:$K$105,11,FALSE))</f>
        <v/>
      </c>
      <c r="I2392" s="5">
        <f>IF(OR($A2392="", $B2392="", $E2392="", $F2392="", $G2392="", $H2392=""), "",IF(AND($E2392=$G2392, $F2392=$H2392), 3, IF(SIGN($E2392-$F2392)=SIGN($G2392-$H2392), 1, 0))))</f>
        <v/>
      </c>
    </row>
    <row r="2393">
      <c r="A2393" s="5" t="inlineStr"/>
      <c r="B2393" s="5" t="inlineStr"/>
      <c r="C2393" s="5">
        <f>IF($B2393="","",VLOOKUP($B2393,Jogos!$A$2:$K$105,8,FALSE))</f>
        <v/>
      </c>
      <c r="D2393" s="5">
        <f>IF($B2393="","",VLOOKUP($B2393,Jogos!$A$2:$K$105,10,FALSE))</f>
        <v/>
      </c>
      <c r="E2393" s="5" t="inlineStr"/>
      <c r="F2393" s="5" t="inlineStr"/>
      <c r="G2393" s="8">
        <f>IF($B2393="","",VLOOKUP($B2393,Jogos!$A$2:$K$105,9,FALSE))</f>
        <v/>
      </c>
      <c r="H2393" s="8">
        <f>IF($B2393="","",VLOOKUP($B2393,Jogos!$A$2:$K$105,11,FALSE))</f>
        <v/>
      </c>
      <c r="I2393" s="5">
        <f>IF(OR($A2393="", $B2393="", $E2393="", $F2393="", $G2393="", $H2393=""), "",IF(AND($E2393=$G2393, $F2393=$H2393), 3, IF(SIGN($E2393-$F2393)=SIGN($G2393-$H2393), 1, 0))))</f>
        <v/>
      </c>
    </row>
    <row r="2394">
      <c r="A2394" s="5" t="inlineStr"/>
      <c r="B2394" s="5" t="inlineStr"/>
      <c r="C2394" s="5">
        <f>IF($B2394="","",VLOOKUP($B2394,Jogos!$A$2:$K$105,8,FALSE))</f>
        <v/>
      </c>
      <c r="D2394" s="5">
        <f>IF($B2394="","",VLOOKUP($B2394,Jogos!$A$2:$K$105,10,FALSE))</f>
        <v/>
      </c>
      <c r="E2394" s="5" t="inlineStr"/>
      <c r="F2394" s="5" t="inlineStr"/>
      <c r="G2394" s="8">
        <f>IF($B2394="","",VLOOKUP($B2394,Jogos!$A$2:$K$105,9,FALSE))</f>
        <v/>
      </c>
      <c r="H2394" s="8">
        <f>IF($B2394="","",VLOOKUP($B2394,Jogos!$A$2:$K$105,11,FALSE))</f>
        <v/>
      </c>
      <c r="I2394" s="5">
        <f>IF(OR($A2394="", $B2394="", $E2394="", $F2394="", $G2394="", $H2394=""), "",IF(AND($E2394=$G2394, $F2394=$H2394), 3, IF(SIGN($E2394-$F2394)=SIGN($G2394-$H2394), 1, 0))))</f>
        <v/>
      </c>
    </row>
    <row r="2395">
      <c r="A2395" s="5" t="inlineStr"/>
      <c r="B2395" s="5" t="inlineStr"/>
      <c r="C2395" s="5">
        <f>IF($B2395="","",VLOOKUP($B2395,Jogos!$A$2:$K$105,8,FALSE))</f>
        <v/>
      </c>
      <c r="D2395" s="5">
        <f>IF($B2395="","",VLOOKUP($B2395,Jogos!$A$2:$K$105,10,FALSE))</f>
        <v/>
      </c>
      <c r="E2395" s="5" t="inlineStr"/>
      <c r="F2395" s="5" t="inlineStr"/>
      <c r="G2395" s="8">
        <f>IF($B2395="","",VLOOKUP($B2395,Jogos!$A$2:$K$105,9,FALSE))</f>
        <v/>
      </c>
      <c r="H2395" s="8">
        <f>IF($B2395="","",VLOOKUP($B2395,Jogos!$A$2:$K$105,11,FALSE))</f>
        <v/>
      </c>
      <c r="I2395" s="5">
        <f>IF(OR($A2395="", $B2395="", $E2395="", $F2395="", $G2395="", $H2395=""), "",IF(AND($E2395=$G2395, $F2395=$H2395), 3, IF(SIGN($E2395-$F2395)=SIGN($G2395-$H2395), 1, 0))))</f>
        <v/>
      </c>
    </row>
    <row r="2396">
      <c r="A2396" s="5" t="inlineStr"/>
      <c r="B2396" s="5" t="inlineStr"/>
      <c r="C2396" s="5">
        <f>IF($B2396="","",VLOOKUP($B2396,Jogos!$A$2:$K$105,8,FALSE))</f>
        <v/>
      </c>
      <c r="D2396" s="5">
        <f>IF($B2396="","",VLOOKUP($B2396,Jogos!$A$2:$K$105,10,FALSE))</f>
        <v/>
      </c>
      <c r="E2396" s="5" t="inlineStr"/>
      <c r="F2396" s="5" t="inlineStr"/>
      <c r="G2396" s="8">
        <f>IF($B2396="","",VLOOKUP($B2396,Jogos!$A$2:$K$105,9,FALSE))</f>
        <v/>
      </c>
      <c r="H2396" s="8">
        <f>IF($B2396="","",VLOOKUP($B2396,Jogos!$A$2:$K$105,11,FALSE))</f>
        <v/>
      </c>
      <c r="I2396" s="5">
        <f>IF(OR($A2396="", $B2396="", $E2396="", $F2396="", $G2396="", $H2396=""), "",IF(AND($E2396=$G2396, $F2396=$H2396), 3, IF(SIGN($E2396-$F2396)=SIGN($G2396-$H2396), 1, 0))))</f>
        <v/>
      </c>
    </row>
    <row r="2397">
      <c r="A2397" s="5" t="inlineStr"/>
      <c r="B2397" s="5" t="inlineStr"/>
      <c r="C2397" s="5">
        <f>IF($B2397="","",VLOOKUP($B2397,Jogos!$A$2:$K$105,8,FALSE))</f>
        <v/>
      </c>
      <c r="D2397" s="5">
        <f>IF($B2397="","",VLOOKUP($B2397,Jogos!$A$2:$K$105,10,FALSE))</f>
        <v/>
      </c>
      <c r="E2397" s="5" t="inlineStr"/>
      <c r="F2397" s="5" t="inlineStr"/>
      <c r="G2397" s="8">
        <f>IF($B2397="","",VLOOKUP($B2397,Jogos!$A$2:$K$105,9,FALSE))</f>
        <v/>
      </c>
      <c r="H2397" s="8">
        <f>IF($B2397="","",VLOOKUP($B2397,Jogos!$A$2:$K$105,11,FALSE))</f>
        <v/>
      </c>
      <c r="I2397" s="5">
        <f>IF(OR($A2397="", $B2397="", $E2397="", $F2397="", $G2397="", $H2397=""), "",IF(AND($E2397=$G2397, $F2397=$H2397), 3, IF(SIGN($E2397-$F2397)=SIGN($G2397-$H2397), 1, 0))))</f>
        <v/>
      </c>
    </row>
    <row r="2398">
      <c r="A2398" s="5" t="inlineStr"/>
      <c r="B2398" s="5" t="inlineStr"/>
      <c r="C2398" s="5">
        <f>IF($B2398="","",VLOOKUP($B2398,Jogos!$A$2:$K$105,8,FALSE))</f>
        <v/>
      </c>
      <c r="D2398" s="5">
        <f>IF($B2398="","",VLOOKUP($B2398,Jogos!$A$2:$K$105,10,FALSE))</f>
        <v/>
      </c>
      <c r="E2398" s="5" t="inlineStr"/>
      <c r="F2398" s="5" t="inlineStr"/>
      <c r="G2398" s="8">
        <f>IF($B2398="","",VLOOKUP($B2398,Jogos!$A$2:$K$105,9,FALSE))</f>
        <v/>
      </c>
      <c r="H2398" s="8">
        <f>IF($B2398="","",VLOOKUP($B2398,Jogos!$A$2:$K$105,11,FALSE))</f>
        <v/>
      </c>
      <c r="I2398" s="5">
        <f>IF(OR($A2398="", $B2398="", $E2398="", $F2398="", $G2398="", $H2398=""), "",IF(AND($E2398=$G2398, $F2398=$H2398), 3, IF(SIGN($E2398-$F2398)=SIGN($G2398-$H2398), 1, 0))))</f>
        <v/>
      </c>
    </row>
    <row r="2399">
      <c r="A2399" s="5" t="inlineStr"/>
      <c r="B2399" s="5" t="inlineStr"/>
      <c r="C2399" s="5">
        <f>IF($B2399="","",VLOOKUP($B2399,Jogos!$A$2:$K$105,8,FALSE))</f>
        <v/>
      </c>
      <c r="D2399" s="5">
        <f>IF($B2399="","",VLOOKUP($B2399,Jogos!$A$2:$K$105,10,FALSE))</f>
        <v/>
      </c>
      <c r="E2399" s="5" t="inlineStr"/>
      <c r="F2399" s="5" t="inlineStr"/>
      <c r="G2399" s="8">
        <f>IF($B2399="","",VLOOKUP($B2399,Jogos!$A$2:$K$105,9,FALSE))</f>
        <v/>
      </c>
      <c r="H2399" s="8">
        <f>IF($B2399="","",VLOOKUP($B2399,Jogos!$A$2:$K$105,11,FALSE))</f>
        <v/>
      </c>
      <c r="I2399" s="5">
        <f>IF(OR($A2399="", $B2399="", $E2399="", $F2399="", $G2399="", $H2399=""), "",IF(AND($E2399=$G2399, $F2399=$H2399), 3, IF(SIGN($E2399-$F2399)=SIGN($G2399-$H2399), 1, 0))))</f>
        <v/>
      </c>
    </row>
    <row r="2400">
      <c r="A2400" s="5" t="inlineStr"/>
      <c r="B2400" s="5" t="inlineStr"/>
      <c r="C2400" s="5">
        <f>IF($B2400="","",VLOOKUP($B2400,Jogos!$A$2:$K$105,8,FALSE))</f>
        <v/>
      </c>
      <c r="D2400" s="5">
        <f>IF($B2400="","",VLOOKUP($B2400,Jogos!$A$2:$K$105,10,FALSE))</f>
        <v/>
      </c>
      <c r="E2400" s="5" t="inlineStr"/>
      <c r="F2400" s="5" t="inlineStr"/>
      <c r="G2400" s="8">
        <f>IF($B2400="","",VLOOKUP($B2400,Jogos!$A$2:$K$105,9,FALSE))</f>
        <v/>
      </c>
      <c r="H2400" s="8">
        <f>IF($B2400="","",VLOOKUP($B2400,Jogos!$A$2:$K$105,11,FALSE))</f>
        <v/>
      </c>
      <c r="I2400" s="5">
        <f>IF(OR($A2400="", $B2400="", $E2400="", $F2400="", $G2400="", $H2400=""), "",IF(AND($E2400=$G2400, $F2400=$H2400), 3, IF(SIGN($E2400-$F2400)=SIGN($G2400-$H2400), 1, 0))))</f>
        <v/>
      </c>
    </row>
    <row r="2401">
      <c r="A2401" s="5" t="inlineStr"/>
      <c r="B2401" s="5" t="inlineStr"/>
      <c r="C2401" s="5">
        <f>IF($B2401="","",VLOOKUP($B2401,Jogos!$A$2:$K$105,8,FALSE))</f>
        <v/>
      </c>
      <c r="D2401" s="5">
        <f>IF($B2401="","",VLOOKUP($B2401,Jogos!$A$2:$K$105,10,FALSE))</f>
        <v/>
      </c>
      <c r="E2401" s="5" t="inlineStr"/>
      <c r="F2401" s="5" t="inlineStr"/>
      <c r="G2401" s="8">
        <f>IF($B2401="","",VLOOKUP($B2401,Jogos!$A$2:$K$105,9,FALSE))</f>
        <v/>
      </c>
      <c r="H2401" s="8">
        <f>IF($B2401="","",VLOOKUP($B2401,Jogos!$A$2:$K$105,11,FALSE))</f>
        <v/>
      </c>
      <c r="I2401" s="5">
        <f>IF(OR($A2401="", $B2401="", $E2401="", $F2401="", $G2401="", $H2401=""), "",IF(AND($E2401=$G2401, $F2401=$H2401), 3, IF(SIGN($E2401-$F2401)=SIGN($G2401-$H2401), 1, 0))))</f>
        <v/>
      </c>
    </row>
    <row r="2402">
      <c r="A2402" s="5" t="inlineStr"/>
      <c r="B2402" s="5" t="inlineStr"/>
      <c r="C2402" s="5">
        <f>IF($B2402="","",VLOOKUP($B2402,Jogos!$A$2:$K$105,8,FALSE))</f>
        <v/>
      </c>
      <c r="D2402" s="5">
        <f>IF($B2402="","",VLOOKUP($B2402,Jogos!$A$2:$K$105,10,FALSE))</f>
        <v/>
      </c>
      <c r="E2402" s="5" t="inlineStr"/>
      <c r="F2402" s="5" t="inlineStr"/>
      <c r="G2402" s="8">
        <f>IF($B2402="","",VLOOKUP($B2402,Jogos!$A$2:$K$105,9,FALSE))</f>
        <v/>
      </c>
      <c r="H2402" s="8">
        <f>IF($B2402="","",VLOOKUP($B2402,Jogos!$A$2:$K$105,11,FALSE))</f>
        <v/>
      </c>
      <c r="I2402" s="5">
        <f>IF(OR($A2402="", $B2402="", $E2402="", $F2402="", $G2402="", $H2402=""), "",IF(AND($E2402=$G2402, $F2402=$H2402), 3, IF(SIGN($E2402-$F2402)=SIGN($G2402-$H2402), 1, 0))))</f>
        <v/>
      </c>
    </row>
    <row r="2403">
      <c r="A2403" s="5" t="inlineStr"/>
      <c r="B2403" s="5" t="inlineStr"/>
      <c r="C2403" s="5">
        <f>IF($B2403="","",VLOOKUP($B2403,Jogos!$A$2:$K$105,8,FALSE))</f>
        <v/>
      </c>
      <c r="D2403" s="5">
        <f>IF($B2403="","",VLOOKUP($B2403,Jogos!$A$2:$K$105,10,FALSE))</f>
        <v/>
      </c>
      <c r="E2403" s="5" t="inlineStr"/>
      <c r="F2403" s="5" t="inlineStr"/>
      <c r="G2403" s="8">
        <f>IF($B2403="","",VLOOKUP($B2403,Jogos!$A$2:$K$105,9,FALSE))</f>
        <v/>
      </c>
      <c r="H2403" s="8">
        <f>IF($B2403="","",VLOOKUP($B2403,Jogos!$A$2:$K$105,11,FALSE))</f>
        <v/>
      </c>
      <c r="I2403" s="5">
        <f>IF(OR($A2403="", $B2403="", $E2403="", $F2403="", $G2403="", $H2403=""), "",IF(AND($E2403=$G2403, $F2403=$H2403), 3, IF(SIGN($E2403-$F2403)=SIGN($G2403-$H2403), 1, 0))))</f>
        <v/>
      </c>
    </row>
    <row r="2404">
      <c r="A2404" s="5" t="inlineStr"/>
      <c r="B2404" s="5" t="inlineStr"/>
      <c r="C2404" s="5">
        <f>IF($B2404="","",VLOOKUP($B2404,Jogos!$A$2:$K$105,8,FALSE))</f>
        <v/>
      </c>
      <c r="D2404" s="5">
        <f>IF($B2404="","",VLOOKUP($B2404,Jogos!$A$2:$K$105,10,FALSE))</f>
        <v/>
      </c>
      <c r="E2404" s="5" t="inlineStr"/>
      <c r="F2404" s="5" t="inlineStr"/>
      <c r="G2404" s="8">
        <f>IF($B2404="","",VLOOKUP($B2404,Jogos!$A$2:$K$105,9,FALSE))</f>
        <v/>
      </c>
      <c r="H2404" s="8">
        <f>IF($B2404="","",VLOOKUP($B2404,Jogos!$A$2:$K$105,11,FALSE))</f>
        <v/>
      </c>
      <c r="I2404" s="5">
        <f>IF(OR($A2404="", $B2404="", $E2404="", $F2404="", $G2404="", $H2404=""), "",IF(AND($E2404=$G2404, $F2404=$H2404), 3, IF(SIGN($E2404-$F2404)=SIGN($G2404-$H2404), 1, 0))))</f>
        <v/>
      </c>
    </row>
    <row r="2405">
      <c r="A2405" s="5" t="inlineStr"/>
      <c r="B2405" s="5" t="inlineStr"/>
      <c r="C2405" s="5">
        <f>IF($B2405="","",VLOOKUP($B2405,Jogos!$A$2:$K$105,8,FALSE))</f>
        <v/>
      </c>
      <c r="D2405" s="5">
        <f>IF($B2405="","",VLOOKUP($B2405,Jogos!$A$2:$K$105,10,FALSE))</f>
        <v/>
      </c>
      <c r="E2405" s="5" t="inlineStr"/>
      <c r="F2405" s="5" t="inlineStr"/>
      <c r="G2405" s="8">
        <f>IF($B2405="","",VLOOKUP($B2405,Jogos!$A$2:$K$105,9,FALSE))</f>
        <v/>
      </c>
      <c r="H2405" s="8">
        <f>IF($B2405="","",VLOOKUP($B2405,Jogos!$A$2:$K$105,11,FALSE))</f>
        <v/>
      </c>
      <c r="I2405" s="5">
        <f>IF(OR($A2405="", $B2405="", $E2405="", $F2405="", $G2405="", $H2405=""), "",IF(AND($E2405=$G2405, $F2405=$H2405), 3, IF(SIGN($E2405-$F2405)=SIGN($G2405-$H2405), 1, 0))))</f>
        <v/>
      </c>
    </row>
    <row r="2406">
      <c r="A2406" s="5" t="inlineStr"/>
      <c r="B2406" s="5" t="inlineStr"/>
      <c r="C2406" s="5">
        <f>IF($B2406="","",VLOOKUP($B2406,Jogos!$A$2:$K$105,8,FALSE))</f>
        <v/>
      </c>
      <c r="D2406" s="5">
        <f>IF($B2406="","",VLOOKUP($B2406,Jogos!$A$2:$K$105,10,FALSE))</f>
        <v/>
      </c>
      <c r="E2406" s="5" t="inlineStr"/>
      <c r="F2406" s="5" t="inlineStr"/>
      <c r="G2406" s="8">
        <f>IF($B2406="","",VLOOKUP($B2406,Jogos!$A$2:$K$105,9,FALSE))</f>
        <v/>
      </c>
      <c r="H2406" s="8">
        <f>IF($B2406="","",VLOOKUP($B2406,Jogos!$A$2:$K$105,11,FALSE))</f>
        <v/>
      </c>
      <c r="I2406" s="5">
        <f>IF(OR($A2406="", $B2406="", $E2406="", $F2406="", $G2406="", $H2406=""), "",IF(AND($E2406=$G2406, $F2406=$H2406), 3, IF(SIGN($E2406-$F2406)=SIGN($G2406-$H2406), 1, 0))))</f>
        <v/>
      </c>
    </row>
    <row r="2407">
      <c r="A2407" s="5" t="inlineStr"/>
      <c r="B2407" s="5" t="inlineStr"/>
      <c r="C2407" s="5">
        <f>IF($B2407="","",VLOOKUP($B2407,Jogos!$A$2:$K$105,8,FALSE))</f>
        <v/>
      </c>
      <c r="D2407" s="5">
        <f>IF($B2407="","",VLOOKUP($B2407,Jogos!$A$2:$K$105,10,FALSE))</f>
        <v/>
      </c>
      <c r="E2407" s="5" t="inlineStr"/>
      <c r="F2407" s="5" t="inlineStr"/>
      <c r="G2407" s="8">
        <f>IF($B2407="","",VLOOKUP($B2407,Jogos!$A$2:$K$105,9,FALSE))</f>
        <v/>
      </c>
      <c r="H2407" s="8">
        <f>IF($B2407="","",VLOOKUP($B2407,Jogos!$A$2:$K$105,11,FALSE))</f>
        <v/>
      </c>
      <c r="I2407" s="5">
        <f>IF(OR($A2407="", $B2407="", $E2407="", $F2407="", $G2407="", $H2407=""), "",IF(AND($E2407=$G2407, $F2407=$H2407), 3, IF(SIGN($E2407-$F2407)=SIGN($G2407-$H2407), 1, 0))))</f>
        <v/>
      </c>
    </row>
    <row r="2408">
      <c r="A2408" s="5" t="inlineStr"/>
      <c r="B2408" s="5" t="inlineStr"/>
      <c r="C2408" s="5">
        <f>IF($B2408="","",VLOOKUP($B2408,Jogos!$A$2:$K$105,8,FALSE))</f>
        <v/>
      </c>
      <c r="D2408" s="5">
        <f>IF($B2408="","",VLOOKUP($B2408,Jogos!$A$2:$K$105,10,FALSE))</f>
        <v/>
      </c>
      <c r="E2408" s="5" t="inlineStr"/>
      <c r="F2408" s="5" t="inlineStr"/>
      <c r="G2408" s="8">
        <f>IF($B2408="","",VLOOKUP($B2408,Jogos!$A$2:$K$105,9,FALSE))</f>
        <v/>
      </c>
      <c r="H2408" s="8">
        <f>IF($B2408="","",VLOOKUP($B2408,Jogos!$A$2:$K$105,11,FALSE))</f>
        <v/>
      </c>
      <c r="I2408" s="5">
        <f>IF(OR($A2408="", $B2408="", $E2408="", $F2408="", $G2408="", $H2408=""), "",IF(AND($E2408=$G2408, $F2408=$H2408), 3, IF(SIGN($E2408-$F2408)=SIGN($G2408-$H2408), 1, 0))))</f>
        <v/>
      </c>
    </row>
    <row r="2409">
      <c r="A2409" s="5" t="inlineStr"/>
      <c r="B2409" s="5" t="inlineStr"/>
      <c r="C2409" s="5">
        <f>IF($B2409="","",VLOOKUP($B2409,Jogos!$A$2:$K$105,8,FALSE))</f>
        <v/>
      </c>
      <c r="D2409" s="5">
        <f>IF($B2409="","",VLOOKUP($B2409,Jogos!$A$2:$K$105,10,FALSE))</f>
        <v/>
      </c>
      <c r="E2409" s="5" t="inlineStr"/>
      <c r="F2409" s="5" t="inlineStr"/>
      <c r="G2409" s="8">
        <f>IF($B2409="","",VLOOKUP($B2409,Jogos!$A$2:$K$105,9,FALSE))</f>
        <v/>
      </c>
      <c r="H2409" s="8">
        <f>IF($B2409="","",VLOOKUP($B2409,Jogos!$A$2:$K$105,11,FALSE))</f>
        <v/>
      </c>
      <c r="I2409" s="5">
        <f>IF(OR($A2409="", $B2409="", $E2409="", $F2409="", $G2409="", $H2409=""), "",IF(AND($E2409=$G2409, $F2409=$H2409), 3, IF(SIGN($E2409-$F2409)=SIGN($G2409-$H2409), 1, 0))))</f>
        <v/>
      </c>
    </row>
    <row r="2410">
      <c r="A2410" s="5" t="inlineStr"/>
      <c r="B2410" s="5" t="inlineStr"/>
      <c r="C2410" s="5">
        <f>IF($B2410="","",VLOOKUP($B2410,Jogos!$A$2:$K$105,8,FALSE))</f>
        <v/>
      </c>
      <c r="D2410" s="5">
        <f>IF($B2410="","",VLOOKUP($B2410,Jogos!$A$2:$K$105,10,FALSE))</f>
        <v/>
      </c>
      <c r="E2410" s="5" t="inlineStr"/>
      <c r="F2410" s="5" t="inlineStr"/>
      <c r="G2410" s="8">
        <f>IF($B2410="","",VLOOKUP($B2410,Jogos!$A$2:$K$105,9,FALSE))</f>
        <v/>
      </c>
      <c r="H2410" s="8">
        <f>IF($B2410="","",VLOOKUP($B2410,Jogos!$A$2:$K$105,11,FALSE))</f>
        <v/>
      </c>
      <c r="I2410" s="5">
        <f>IF(OR($A2410="", $B2410="", $E2410="", $F2410="", $G2410="", $H2410=""), "",IF(AND($E2410=$G2410, $F2410=$H2410), 3, IF(SIGN($E2410-$F2410)=SIGN($G2410-$H2410), 1, 0))))</f>
        <v/>
      </c>
    </row>
    <row r="2411">
      <c r="A2411" s="5" t="inlineStr"/>
      <c r="B2411" s="5" t="inlineStr"/>
      <c r="C2411" s="5">
        <f>IF($B2411="","",VLOOKUP($B2411,Jogos!$A$2:$K$105,8,FALSE))</f>
        <v/>
      </c>
      <c r="D2411" s="5">
        <f>IF($B2411="","",VLOOKUP($B2411,Jogos!$A$2:$K$105,10,FALSE))</f>
        <v/>
      </c>
      <c r="E2411" s="5" t="inlineStr"/>
      <c r="F2411" s="5" t="inlineStr"/>
      <c r="G2411" s="8">
        <f>IF($B2411="","",VLOOKUP($B2411,Jogos!$A$2:$K$105,9,FALSE))</f>
        <v/>
      </c>
      <c r="H2411" s="8">
        <f>IF($B2411="","",VLOOKUP($B2411,Jogos!$A$2:$K$105,11,FALSE))</f>
        <v/>
      </c>
      <c r="I2411" s="5">
        <f>IF(OR($A2411="", $B2411="", $E2411="", $F2411="", $G2411="", $H2411=""), "",IF(AND($E2411=$G2411, $F2411=$H2411), 3, IF(SIGN($E2411-$F2411)=SIGN($G2411-$H2411), 1, 0))))</f>
        <v/>
      </c>
    </row>
    <row r="2412">
      <c r="A2412" s="5" t="inlineStr"/>
      <c r="B2412" s="5" t="inlineStr"/>
      <c r="C2412" s="5">
        <f>IF($B2412="","",VLOOKUP($B2412,Jogos!$A$2:$K$105,8,FALSE))</f>
        <v/>
      </c>
      <c r="D2412" s="5">
        <f>IF($B2412="","",VLOOKUP($B2412,Jogos!$A$2:$K$105,10,FALSE))</f>
        <v/>
      </c>
      <c r="E2412" s="5" t="inlineStr"/>
      <c r="F2412" s="5" t="inlineStr"/>
      <c r="G2412" s="8">
        <f>IF($B2412="","",VLOOKUP($B2412,Jogos!$A$2:$K$105,9,FALSE))</f>
        <v/>
      </c>
      <c r="H2412" s="8">
        <f>IF($B2412="","",VLOOKUP($B2412,Jogos!$A$2:$K$105,11,FALSE))</f>
        <v/>
      </c>
      <c r="I2412" s="5">
        <f>IF(OR($A2412="", $B2412="", $E2412="", $F2412="", $G2412="", $H2412=""), "",IF(AND($E2412=$G2412, $F2412=$H2412), 3, IF(SIGN($E2412-$F2412)=SIGN($G2412-$H2412), 1, 0))))</f>
        <v/>
      </c>
    </row>
    <row r="2413">
      <c r="A2413" s="5" t="inlineStr"/>
      <c r="B2413" s="5" t="inlineStr"/>
      <c r="C2413" s="5">
        <f>IF($B2413="","",VLOOKUP($B2413,Jogos!$A$2:$K$105,8,FALSE))</f>
        <v/>
      </c>
      <c r="D2413" s="5">
        <f>IF($B2413="","",VLOOKUP($B2413,Jogos!$A$2:$K$105,10,FALSE))</f>
        <v/>
      </c>
      <c r="E2413" s="5" t="inlineStr"/>
      <c r="F2413" s="5" t="inlineStr"/>
      <c r="G2413" s="8">
        <f>IF($B2413="","",VLOOKUP($B2413,Jogos!$A$2:$K$105,9,FALSE))</f>
        <v/>
      </c>
      <c r="H2413" s="8">
        <f>IF($B2413="","",VLOOKUP($B2413,Jogos!$A$2:$K$105,11,FALSE))</f>
        <v/>
      </c>
      <c r="I2413" s="5">
        <f>IF(OR($A2413="", $B2413="", $E2413="", $F2413="", $G2413="", $H2413=""), "",IF(AND($E2413=$G2413, $F2413=$H2413), 3, IF(SIGN($E2413-$F2413)=SIGN($G2413-$H2413), 1, 0))))</f>
        <v/>
      </c>
    </row>
    <row r="2414">
      <c r="A2414" s="5" t="inlineStr"/>
      <c r="B2414" s="5" t="inlineStr"/>
      <c r="C2414" s="5">
        <f>IF($B2414="","",VLOOKUP($B2414,Jogos!$A$2:$K$105,8,FALSE))</f>
        <v/>
      </c>
      <c r="D2414" s="5">
        <f>IF($B2414="","",VLOOKUP($B2414,Jogos!$A$2:$K$105,10,FALSE))</f>
        <v/>
      </c>
      <c r="E2414" s="5" t="inlineStr"/>
      <c r="F2414" s="5" t="inlineStr"/>
      <c r="G2414" s="8">
        <f>IF($B2414="","",VLOOKUP($B2414,Jogos!$A$2:$K$105,9,FALSE))</f>
        <v/>
      </c>
      <c r="H2414" s="8">
        <f>IF($B2414="","",VLOOKUP($B2414,Jogos!$A$2:$K$105,11,FALSE))</f>
        <v/>
      </c>
      <c r="I2414" s="5">
        <f>IF(OR($A2414="", $B2414="", $E2414="", $F2414="", $G2414="", $H2414=""), "",IF(AND($E2414=$G2414, $F2414=$H2414), 3, IF(SIGN($E2414-$F2414)=SIGN($G2414-$H2414), 1, 0))))</f>
        <v/>
      </c>
    </row>
    <row r="2415">
      <c r="A2415" s="5" t="inlineStr"/>
      <c r="B2415" s="5" t="inlineStr"/>
      <c r="C2415" s="5">
        <f>IF($B2415="","",VLOOKUP($B2415,Jogos!$A$2:$K$105,8,FALSE))</f>
        <v/>
      </c>
      <c r="D2415" s="5">
        <f>IF($B2415="","",VLOOKUP($B2415,Jogos!$A$2:$K$105,10,FALSE))</f>
        <v/>
      </c>
      <c r="E2415" s="5" t="inlineStr"/>
      <c r="F2415" s="5" t="inlineStr"/>
      <c r="G2415" s="8">
        <f>IF($B2415="","",VLOOKUP($B2415,Jogos!$A$2:$K$105,9,FALSE))</f>
        <v/>
      </c>
      <c r="H2415" s="8">
        <f>IF($B2415="","",VLOOKUP($B2415,Jogos!$A$2:$K$105,11,FALSE))</f>
        <v/>
      </c>
      <c r="I2415" s="5">
        <f>IF(OR($A2415="", $B2415="", $E2415="", $F2415="", $G2415="", $H2415=""), "",IF(AND($E2415=$G2415, $F2415=$H2415), 3, IF(SIGN($E2415-$F2415)=SIGN($G2415-$H2415), 1, 0))))</f>
        <v/>
      </c>
    </row>
    <row r="2416">
      <c r="A2416" s="5" t="inlineStr"/>
      <c r="B2416" s="5" t="inlineStr"/>
      <c r="C2416" s="5">
        <f>IF($B2416="","",VLOOKUP($B2416,Jogos!$A$2:$K$105,8,FALSE))</f>
        <v/>
      </c>
      <c r="D2416" s="5">
        <f>IF($B2416="","",VLOOKUP($B2416,Jogos!$A$2:$K$105,10,FALSE))</f>
        <v/>
      </c>
      <c r="E2416" s="5" t="inlineStr"/>
      <c r="F2416" s="5" t="inlineStr"/>
      <c r="G2416" s="8">
        <f>IF($B2416="","",VLOOKUP($B2416,Jogos!$A$2:$K$105,9,FALSE))</f>
        <v/>
      </c>
      <c r="H2416" s="8">
        <f>IF($B2416="","",VLOOKUP($B2416,Jogos!$A$2:$K$105,11,FALSE))</f>
        <v/>
      </c>
      <c r="I2416" s="5">
        <f>IF(OR($A2416="", $B2416="", $E2416="", $F2416="", $G2416="", $H2416=""), "",IF(AND($E2416=$G2416, $F2416=$H2416), 3, IF(SIGN($E2416-$F2416)=SIGN($G2416-$H2416), 1, 0))))</f>
        <v/>
      </c>
    </row>
    <row r="2417">
      <c r="A2417" s="5" t="inlineStr"/>
      <c r="B2417" s="5" t="inlineStr"/>
      <c r="C2417" s="5">
        <f>IF($B2417="","",VLOOKUP($B2417,Jogos!$A$2:$K$105,8,FALSE))</f>
        <v/>
      </c>
      <c r="D2417" s="5">
        <f>IF($B2417="","",VLOOKUP($B2417,Jogos!$A$2:$K$105,10,FALSE))</f>
        <v/>
      </c>
      <c r="E2417" s="5" t="inlineStr"/>
      <c r="F2417" s="5" t="inlineStr"/>
      <c r="G2417" s="8">
        <f>IF($B2417="","",VLOOKUP($B2417,Jogos!$A$2:$K$105,9,FALSE))</f>
        <v/>
      </c>
      <c r="H2417" s="8">
        <f>IF($B2417="","",VLOOKUP($B2417,Jogos!$A$2:$K$105,11,FALSE))</f>
        <v/>
      </c>
      <c r="I2417" s="5">
        <f>IF(OR($A2417="", $B2417="", $E2417="", $F2417="", $G2417="", $H2417=""), "",IF(AND($E2417=$G2417, $F2417=$H2417), 3, IF(SIGN($E2417-$F2417)=SIGN($G2417-$H2417), 1, 0))))</f>
        <v/>
      </c>
    </row>
    <row r="2418">
      <c r="A2418" s="5" t="inlineStr"/>
      <c r="B2418" s="5" t="inlineStr"/>
      <c r="C2418" s="5">
        <f>IF($B2418="","",VLOOKUP($B2418,Jogos!$A$2:$K$105,8,FALSE))</f>
        <v/>
      </c>
      <c r="D2418" s="5">
        <f>IF($B2418="","",VLOOKUP($B2418,Jogos!$A$2:$K$105,10,FALSE))</f>
        <v/>
      </c>
      <c r="E2418" s="5" t="inlineStr"/>
      <c r="F2418" s="5" t="inlineStr"/>
      <c r="G2418" s="8">
        <f>IF($B2418="","",VLOOKUP($B2418,Jogos!$A$2:$K$105,9,FALSE))</f>
        <v/>
      </c>
      <c r="H2418" s="8">
        <f>IF($B2418="","",VLOOKUP($B2418,Jogos!$A$2:$K$105,11,FALSE))</f>
        <v/>
      </c>
      <c r="I2418" s="5">
        <f>IF(OR($A2418="", $B2418="", $E2418="", $F2418="", $G2418="", $H2418=""), "",IF(AND($E2418=$G2418, $F2418=$H2418), 3, IF(SIGN($E2418-$F2418)=SIGN($G2418-$H2418), 1, 0))))</f>
        <v/>
      </c>
    </row>
    <row r="2419">
      <c r="A2419" s="5" t="inlineStr"/>
      <c r="B2419" s="5" t="inlineStr"/>
      <c r="C2419" s="5">
        <f>IF($B2419="","",VLOOKUP($B2419,Jogos!$A$2:$K$105,8,FALSE))</f>
        <v/>
      </c>
      <c r="D2419" s="5">
        <f>IF($B2419="","",VLOOKUP($B2419,Jogos!$A$2:$K$105,10,FALSE))</f>
        <v/>
      </c>
      <c r="E2419" s="5" t="inlineStr"/>
      <c r="F2419" s="5" t="inlineStr"/>
      <c r="G2419" s="8">
        <f>IF($B2419="","",VLOOKUP($B2419,Jogos!$A$2:$K$105,9,FALSE))</f>
        <v/>
      </c>
      <c r="H2419" s="8">
        <f>IF($B2419="","",VLOOKUP($B2419,Jogos!$A$2:$K$105,11,FALSE))</f>
        <v/>
      </c>
      <c r="I2419" s="5">
        <f>IF(OR($A2419="", $B2419="", $E2419="", $F2419="", $G2419="", $H2419=""), "",IF(AND($E2419=$G2419, $F2419=$H2419), 3, IF(SIGN($E2419-$F2419)=SIGN($G2419-$H2419), 1, 0))))</f>
        <v/>
      </c>
    </row>
    <row r="2420">
      <c r="A2420" s="5" t="inlineStr"/>
      <c r="B2420" s="5" t="inlineStr"/>
      <c r="C2420" s="5">
        <f>IF($B2420="","",VLOOKUP($B2420,Jogos!$A$2:$K$105,8,FALSE))</f>
        <v/>
      </c>
      <c r="D2420" s="5">
        <f>IF($B2420="","",VLOOKUP($B2420,Jogos!$A$2:$K$105,10,FALSE))</f>
        <v/>
      </c>
      <c r="E2420" s="5" t="inlineStr"/>
      <c r="F2420" s="5" t="inlineStr"/>
      <c r="G2420" s="8">
        <f>IF($B2420="","",VLOOKUP($B2420,Jogos!$A$2:$K$105,9,FALSE))</f>
        <v/>
      </c>
      <c r="H2420" s="8">
        <f>IF($B2420="","",VLOOKUP($B2420,Jogos!$A$2:$K$105,11,FALSE))</f>
        <v/>
      </c>
      <c r="I2420" s="5">
        <f>IF(OR($A2420="", $B2420="", $E2420="", $F2420="", $G2420="", $H2420=""), "",IF(AND($E2420=$G2420, $F2420=$H2420), 3, IF(SIGN($E2420-$F2420)=SIGN($G2420-$H2420), 1, 0))))</f>
        <v/>
      </c>
    </row>
    <row r="2421">
      <c r="A2421" s="5" t="inlineStr"/>
      <c r="B2421" s="5" t="inlineStr"/>
      <c r="C2421" s="5">
        <f>IF($B2421="","",VLOOKUP($B2421,Jogos!$A$2:$K$105,8,FALSE))</f>
        <v/>
      </c>
      <c r="D2421" s="5">
        <f>IF($B2421="","",VLOOKUP($B2421,Jogos!$A$2:$K$105,10,FALSE))</f>
        <v/>
      </c>
      <c r="E2421" s="5" t="inlineStr"/>
      <c r="F2421" s="5" t="inlineStr"/>
      <c r="G2421" s="8">
        <f>IF($B2421="","",VLOOKUP($B2421,Jogos!$A$2:$K$105,9,FALSE))</f>
        <v/>
      </c>
      <c r="H2421" s="8">
        <f>IF($B2421="","",VLOOKUP($B2421,Jogos!$A$2:$K$105,11,FALSE))</f>
        <v/>
      </c>
      <c r="I2421" s="5">
        <f>IF(OR($A2421="", $B2421="", $E2421="", $F2421="", $G2421="", $H2421=""), "",IF(AND($E2421=$G2421, $F2421=$H2421), 3, IF(SIGN($E2421-$F2421)=SIGN($G2421-$H2421), 1, 0))))</f>
        <v/>
      </c>
    </row>
    <row r="2422">
      <c r="A2422" s="5" t="inlineStr"/>
      <c r="B2422" s="5" t="inlineStr"/>
      <c r="C2422" s="5">
        <f>IF($B2422="","",VLOOKUP($B2422,Jogos!$A$2:$K$105,8,FALSE))</f>
        <v/>
      </c>
      <c r="D2422" s="5">
        <f>IF($B2422="","",VLOOKUP($B2422,Jogos!$A$2:$K$105,10,FALSE))</f>
        <v/>
      </c>
      <c r="E2422" s="5" t="inlineStr"/>
      <c r="F2422" s="5" t="inlineStr"/>
      <c r="G2422" s="8">
        <f>IF($B2422="","",VLOOKUP($B2422,Jogos!$A$2:$K$105,9,FALSE))</f>
        <v/>
      </c>
      <c r="H2422" s="8">
        <f>IF($B2422="","",VLOOKUP($B2422,Jogos!$A$2:$K$105,11,FALSE))</f>
        <v/>
      </c>
      <c r="I2422" s="5">
        <f>IF(OR($A2422="", $B2422="", $E2422="", $F2422="", $G2422="", $H2422=""), "",IF(AND($E2422=$G2422, $F2422=$H2422), 3, IF(SIGN($E2422-$F2422)=SIGN($G2422-$H2422), 1, 0))))</f>
        <v/>
      </c>
    </row>
    <row r="2423">
      <c r="A2423" s="5" t="inlineStr"/>
      <c r="B2423" s="5" t="inlineStr"/>
      <c r="C2423" s="5">
        <f>IF($B2423="","",VLOOKUP($B2423,Jogos!$A$2:$K$105,8,FALSE))</f>
        <v/>
      </c>
      <c r="D2423" s="5">
        <f>IF($B2423="","",VLOOKUP($B2423,Jogos!$A$2:$K$105,10,FALSE))</f>
        <v/>
      </c>
      <c r="E2423" s="5" t="inlineStr"/>
      <c r="F2423" s="5" t="inlineStr"/>
      <c r="G2423" s="8">
        <f>IF($B2423="","",VLOOKUP($B2423,Jogos!$A$2:$K$105,9,FALSE))</f>
        <v/>
      </c>
      <c r="H2423" s="8">
        <f>IF($B2423="","",VLOOKUP($B2423,Jogos!$A$2:$K$105,11,FALSE))</f>
        <v/>
      </c>
      <c r="I2423" s="5">
        <f>IF(OR($A2423="", $B2423="", $E2423="", $F2423="", $G2423="", $H2423=""), "",IF(AND($E2423=$G2423, $F2423=$H2423), 3, IF(SIGN($E2423-$F2423)=SIGN($G2423-$H2423), 1, 0))))</f>
        <v/>
      </c>
    </row>
    <row r="2424">
      <c r="A2424" s="5" t="inlineStr"/>
      <c r="B2424" s="5" t="inlineStr"/>
      <c r="C2424" s="5">
        <f>IF($B2424="","",VLOOKUP($B2424,Jogos!$A$2:$K$105,8,FALSE))</f>
        <v/>
      </c>
      <c r="D2424" s="5">
        <f>IF($B2424="","",VLOOKUP($B2424,Jogos!$A$2:$K$105,10,FALSE))</f>
        <v/>
      </c>
      <c r="E2424" s="5" t="inlineStr"/>
      <c r="F2424" s="5" t="inlineStr"/>
      <c r="G2424" s="8">
        <f>IF($B2424="","",VLOOKUP($B2424,Jogos!$A$2:$K$105,9,FALSE))</f>
        <v/>
      </c>
      <c r="H2424" s="8">
        <f>IF($B2424="","",VLOOKUP($B2424,Jogos!$A$2:$K$105,11,FALSE))</f>
        <v/>
      </c>
      <c r="I2424" s="5">
        <f>IF(OR($A2424="", $B2424="", $E2424="", $F2424="", $G2424="", $H2424=""), "",IF(AND($E2424=$G2424, $F2424=$H2424), 3, IF(SIGN($E2424-$F2424)=SIGN($G2424-$H2424), 1, 0))))</f>
        <v/>
      </c>
    </row>
    <row r="2425">
      <c r="A2425" s="5" t="inlineStr"/>
      <c r="B2425" s="5" t="inlineStr"/>
      <c r="C2425" s="5">
        <f>IF($B2425="","",VLOOKUP($B2425,Jogos!$A$2:$K$105,8,FALSE))</f>
        <v/>
      </c>
      <c r="D2425" s="5">
        <f>IF($B2425="","",VLOOKUP($B2425,Jogos!$A$2:$K$105,10,FALSE))</f>
        <v/>
      </c>
      <c r="E2425" s="5" t="inlineStr"/>
      <c r="F2425" s="5" t="inlineStr"/>
      <c r="G2425" s="8">
        <f>IF($B2425="","",VLOOKUP($B2425,Jogos!$A$2:$K$105,9,FALSE))</f>
        <v/>
      </c>
      <c r="H2425" s="8">
        <f>IF($B2425="","",VLOOKUP($B2425,Jogos!$A$2:$K$105,11,FALSE))</f>
        <v/>
      </c>
      <c r="I2425" s="5">
        <f>IF(OR($A2425="", $B2425="", $E2425="", $F2425="", $G2425="", $H2425=""), "",IF(AND($E2425=$G2425, $F2425=$H2425), 3, IF(SIGN($E2425-$F2425)=SIGN($G2425-$H2425), 1, 0))))</f>
        <v/>
      </c>
    </row>
    <row r="2426">
      <c r="A2426" s="5" t="inlineStr"/>
      <c r="B2426" s="5" t="inlineStr"/>
      <c r="C2426" s="5">
        <f>IF($B2426="","",VLOOKUP($B2426,Jogos!$A$2:$K$105,8,FALSE))</f>
        <v/>
      </c>
      <c r="D2426" s="5">
        <f>IF($B2426="","",VLOOKUP($B2426,Jogos!$A$2:$K$105,10,FALSE))</f>
        <v/>
      </c>
      <c r="E2426" s="5" t="inlineStr"/>
      <c r="F2426" s="5" t="inlineStr"/>
      <c r="G2426" s="8">
        <f>IF($B2426="","",VLOOKUP($B2426,Jogos!$A$2:$K$105,9,FALSE))</f>
        <v/>
      </c>
      <c r="H2426" s="8">
        <f>IF($B2426="","",VLOOKUP($B2426,Jogos!$A$2:$K$105,11,FALSE))</f>
        <v/>
      </c>
      <c r="I2426" s="5">
        <f>IF(OR($A2426="", $B2426="", $E2426="", $F2426="", $G2426="", $H2426=""), "",IF(AND($E2426=$G2426, $F2426=$H2426), 3, IF(SIGN($E2426-$F2426)=SIGN($G2426-$H2426), 1, 0))))</f>
        <v/>
      </c>
    </row>
    <row r="2427">
      <c r="A2427" s="5" t="inlineStr"/>
      <c r="B2427" s="5" t="inlineStr"/>
      <c r="C2427" s="5">
        <f>IF($B2427="","",VLOOKUP($B2427,Jogos!$A$2:$K$105,8,FALSE))</f>
        <v/>
      </c>
      <c r="D2427" s="5">
        <f>IF($B2427="","",VLOOKUP($B2427,Jogos!$A$2:$K$105,10,FALSE))</f>
        <v/>
      </c>
      <c r="E2427" s="5" t="inlineStr"/>
      <c r="F2427" s="5" t="inlineStr"/>
      <c r="G2427" s="8">
        <f>IF($B2427="","",VLOOKUP($B2427,Jogos!$A$2:$K$105,9,FALSE))</f>
        <v/>
      </c>
      <c r="H2427" s="8">
        <f>IF($B2427="","",VLOOKUP($B2427,Jogos!$A$2:$K$105,11,FALSE))</f>
        <v/>
      </c>
      <c r="I2427" s="5">
        <f>IF(OR($A2427="", $B2427="", $E2427="", $F2427="", $G2427="", $H2427=""), "",IF(AND($E2427=$G2427, $F2427=$H2427), 3, IF(SIGN($E2427-$F2427)=SIGN($G2427-$H2427), 1, 0))))</f>
        <v/>
      </c>
    </row>
    <row r="2428">
      <c r="A2428" s="5" t="inlineStr"/>
      <c r="B2428" s="5" t="inlineStr"/>
      <c r="C2428" s="5">
        <f>IF($B2428="","",VLOOKUP($B2428,Jogos!$A$2:$K$105,8,FALSE))</f>
        <v/>
      </c>
      <c r="D2428" s="5">
        <f>IF($B2428="","",VLOOKUP($B2428,Jogos!$A$2:$K$105,10,FALSE))</f>
        <v/>
      </c>
      <c r="E2428" s="5" t="inlineStr"/>
      <c r="F2428" s="5" t="inlineStr"/>
      <c r="G2428" s="8">
        <f>IF($B2428="","",VLOOKUP($B2428,Jogos!$A$2:$K$105,9,FALSE))</f>
        <v/>
      </c>
      <c r="H2428" s="8">
        <f>IF($B2428="","",VLOOKUP($B2428,Jogos!$A$2:$K$105,11,FALSE))</f>
        <v/>
      </c>
      <c r="I2428" s="5">
        <f>IF(OR($A2428="", $B2428="", $E2428="", $F2428="", $G2428="", $H2428=""), "",IF(AND($E2428=$G2428, $F2428=$H2428), 3, IF(SIGN($E2428-$F2428)=SIGN($G2428-$H2428), 1, 0))))</f>
        <v/>
      </c>
    </row>
    <row r="2429">
      <c r="A2429" s="5" t="inlineStr"/>
      <c r="B2429" s="5" t="inlineStr"/>
      <c r="C2429" s="5">
        <f>IF($B2429="","",VLOOKUP($B2429,Jogos!$A$2:$K$105,8,FALSE))</f>
        <v/>
      </c>
      <c r="D2429" s="5">
        <f>IF($B2429="","",VLOOKUP($B2429,Jogos!$A$2:$K$105,10,FALSE))</f>
        <v/>
      </c>
      <c r="E2429" s="5" t="inlineStr"/>
      <c r="F2429" s="5" t="inlineStr"/>
      <c r="G2429" s="8">
        <f>IF($B2429="","",VLOOKUP($B2429,Jogos!$A$2:$K$105,9,FALSE))</f>
        <v/>
      </c>
      <c r="H2429" s="8">
        <f>IF($B2429="","",VLOOKUP($B2429,Jogos!$A$2:$K$105,11,FALSE))</f>
        <v/>
      </c>
      <c r="I2429" s="5">
        <f>IF(OR($A2429="", $B2429="", $E2429="", $F2429="", $G2429="", $H2429=""), "",IF(AND($E2429=$G2429, $F2429=$H2429), 3, IF(SIGN($E2429-$F2429)=SIGN($G2429-$H2429), 1, 0))))</f>
        <v/>
      </c>
    </row>
    <row r="2430">
      <c r="A2430" s="5" t="inlineStr"/>
      <c r="B2430" s="5" t="inlineStr"/>
      <c r="C2430" s="5">
        <f>IF($B2430="","",VLOOKUP($B2430,Jogos!$A$2:$K$105,8,FALSE))</f>
        <v/>
      </c>
      <c r="D2430" s="5">
        <f>IF($B2430="","",VLOOKUP($B2430,Jogos!$A$2:$K$105,10,FALSE))</f>
        <v/>
      </c>
      <c r="E2430" s="5" t="inlineStr"/>
      <c r="F2430" s="5" t="inlineStr"/>
      <c r="G2430" s="8">
        <f>IF($B2430="","",VLOOKUP($B2430,Jogos!$A$2:$K$105,9,FALSE))</f>
        <v/>
      </c>
      <c r="H2430" s="8">
        <f>IF($B2430="","",VLOOKUP($B2430,Jogos!$A$2:$K$105,11,FALSE))</f>
        <v/>
      </c>
      <c r="I2430" s="5">
        <f>IF(OR($A2430="", $B2430="", $E2430="", $F2430="", $G2430="", $H2430=""), "",IF(AND($E2430=$G2430, $F2430=$H2430), 3, IF(SIGN($E2430-$F2430)=SIGN($G2430-$H2430), 1, 0))))</f>
        <v/>
      </c>
    </row>
    <row r="2431">
      <c r="A2431" s="5" t="inlineStr"/>
      <c r="B2431" s="5" t="inlineStr"/>
      <c r="C2431" s="5">
        <f>IF($B2431="","",VLOOKUP($B2431,Jogos!$A$2:$K$105,8,FALSE))</f>
        <v/>
      </c>
      <c r="D2431" s="5">
        <f>IF($B2431="","",VLOOKUP($B2431,Jogos!$A$2:$K$105,10,FALSE))</f>
        <v/>
      </c>
      <c r="E2431" s="5" t="inlineStr"/>
      <c r="F2431" s="5" t="inlineStr"/>
      <c r="G2431" s="8">
        <f>IF($B2431="","",VLOOKUP($B2431,Jogos!$A$2:$K$105,9,FALSE))</f>
        <v/>
      </c>
      <c r="H2431" s="8">
        <f>IF($B2431="","",VLOOKUP($B2431,Jogos!$A$2:$K$105,11,FALSE))</f>
        <v/>
      </c>
      <c r="I2431" s="5">
        <f>IF(OR($A2431="", $B2431="", $E2431="", $F2431="", $G2431="", $H2431=""), "",IF(AND($E2431=$G2431, $F2431=$H2431), 3, IF(SIGN($E2431-$F2431)=SIGN($G2431-$H2431), 1, 0))))</f>
        <v/>
      </c>
    </row>
    <row r="2432">
      <c r="A2432" s="5" t="inlineStr"/>
      <c r="B2432" s="5" t="inlineStr"/>
      <c r="C2432" s="5">
        <f>IF($B2432="","",VLOOKUP($B2432,Jogos!$A$2:$K$105,8,FALSE))</f>
        <v/>
      </c>
      <c r="D2432" s="5">
        <f>IF($B2432="","",VLOOKUP($B2432,Jogos!$A$2:$K$105,10,FALSE))</f>
        <v/>
      </c>
      <c r="E2432" s="5" t="inlineStr"/>
      <c r="F2432" s="5" t="inlineStr"/>
      <c r="G2432" s="8">
        <f>IF($B2432="","",VLOOKUP($B2432,Jogos!$A$2:$K$105,9,FALSE))</f>
        <v/>
      </c>
      <c r="H2432" s="8">
        <f>IF($B2432="","",VLOOKUP($B2432,Jogos!$A$2:$K$105,11,FALSE))</f>
        <v/>
      </c>
      <c r="I2432" s="5">
        <f>IF(OR($A2432="", $B2432="", $E2432="", $F2432="", $G2432="", $H2432=""), "",IF(AND($E2432=$G2432, $F2432=$H2432), 3, IF(SIGN($E2432-$F2432)=SIGN($G2432-$H2432), 1, 0))))</f>
        <v/>
      </c>
    </row>
    <row r="2433">
      <c r="A2433" s="5" t="inlineStr"/>
      <c r="B2433" s="5" t="inlineStr"/>
      <c r="C2433" s="5">
        <f>IF($B2433="","",VLOOKUP($B2433,Jogos!$A$2:$K$105,8,FALSE))</f>
        <v/>
      </c>
      <c r="D2433" s="5">
        <f>IF($B2433="","",VLOOKUP($B2433,Jogos!$A$2:$K$105,10,FALSE))</f>
        <v/>
      </c>
      <c r="E2433" s="5" t="inlineStr"/>
      <c r="F2433" s="5" t="inlineStr"/>
      <c r="G2433" s="8">
        <f>IF($B2433="","",VLOOKUP($B2433,Jogos!$A$2:$K$105,9,FALSE))</f>
        <v/>
      </c>
      <c r="H2433" s="8">
        <f>IF($B2433="","",VLOOKUP($B2433,Jogos!$A$2:$K$105,11,FALSE))</f>
        <v/>
      </c>
      <c r="I2433" s="5">
        <f>IF(OR($A2433="", $B2433="", $E2433="", $F2433="", $G2433="", $H2433=""), "",IF(AND($E2433=$G2433, $F2433=$H2433), 3, IF(SIGN($E2433-$F2433)=SIGN($G2433-$H2433), 1, 0))))</f>
        <v/>
      </c>
    </row>
    <row r="2434">
      <c r="A2434" s="5" t="inlineStr"/>
      <c r="B2434" s="5" t="inlineStr"/>
      <c r="C2434" s="5">
        <f>IF($B2434="","",VLOOKUP($B2434,Jogos!$A$2:$K$105,8,FALSE))</f>
        <v/>
      </c>
      <c r="D2434" s="5">
        <f>IF($B2434="","",VLOOKUP($B2434,Jogos!$A$2:$K$105,10,FALSE))</f>
        <v/>
      </c>
      <c r="E2434" s="5" t="inlineStr"/>
      <c r="F2434" s="5" t="inlineStr"/>
      <c r="G2434" s="8">
        <f>IF($B2434="","",VLOOKUP($B2434,Jogos!$A$2:$K$105,9,FALSE))</f>
        <v/>
      </c>
      <c r="H2434" s="8">
        <f>IF($B2434="","",VLOOKUP($B2434,Jogos!$A$2:$K$105,11,FALSE))</f>
        <v/>
      </c>
      <c r="I2434" s="5">
        <f>IF(OR($A2434="", $B2434="", $E2434="", $F2434="", $G2434="", $H2434=""), "",IF(AND($E2434=$G2434, $F2434=$H2434), 3, IF(SIGN($E2434-$F2434)=SIGN($G2434-$H2434), 1, 0))))</f>
        <v/>
      </c>
    </row>
    <row r="2435">
      <c r="A2435" s="5" t="inlineStr"/>
      <c r="B2435" s="5" t="inlineStr"/>
      <c r="C2435" s="5">
        <f>IF($B2435="","",VLOOKUP($B2435,Jogos!$A$2:$K$105,8,FALSE))</f>
        <v/>
      </c>
      <c r="D2435" s="5">
        <f>IF($B2435="","",VLOOKUP($B2435,Jogos!$A$2:$K$105,10,FALSE))</f>
        <v/>
      </c>
      <c r="E2435" s="5" t="inlineStr"/>
      <c r="F2435" s="5" t="inlineStr"/>
      <c r="G2435" s="8">
        <f>IF($B2435="","",VLOOKUP($B2435,Jogos!$A$2:$K$105,9,FALSE))</f>
        <v/>
      </c>
      <c r="H2435" s="8">
        <f>IF($B2435="","",VLOOKUP($B2435,Jogos!$A$2:$K$105,11,FALSE))</f>
        <v/>
      </c>
      <c r="I2435" s="5">
        <f>IF(OR($A2435="", $B2435="", $E2435="", $F2435="", $G2435="", $H2435=""), "",IF(AND($E2435=$G2435, $F2435=$H2435), 3, IF(SIGN($E2435-$F2435)=SIGN($G2435-$H2435), 1, 0))))</f>
        <v/>
      </c>
    </row>
    <row r="2436">
      <c r="A2436" s="5" t="inlineStr"/>
      <c r="B2436" s="5" t="inlineStr"/>
      <c r="C2436" s="5">
        <f>IF($B2436="","",VLOOKUP($B2436,Jogos!$A$2:$K$105,8,FALSE))</f>
        <v/>
      </c>
      <c r="D2436" s="5">
        <f>IF($B2436="","",VLOOKUP($B2436,Jogos!$A$2:$K$105,10,FALSE))</f>
        <v/>
      </c>
      <c r="E2436" s="5" t="inlineStr"/>
      <c r="F2436" s="5" t="inlineStr"/>
      <c r="G2436" s="8">
        <f>IF($B2436="","",VLOOKUP($B2436,Jogos!$A$2:$K$105,9,FALSE))</f>
        <v/>
      </c>
      <c r="H2436" s="8">
        <f>IF($B2436="","",VLOOKUP($B2436,Jogos!$A$2:$K$105,11,FALSE))</f>
        <v/>
      </c>
      <c r="I2436" s="5">
        <f>IF(OR($A2436="", $B2436="", $E2436="", $F2436="", $G2436="", $H2436=""), "",IF(AND($E2436=$G2436, $F2436=$H2436), 3, IF(SIGN($E2436-$F2436)=SIGN($G2436-$H2436), 1, 0))))</f>
        <v/>
      </c>
    </row>
    <row r="2437">
      <c r="A2437" s="5" t="inlineStr"/>
      <c r="B2437" s="5" t="inlineStr"/>
      <c r="C2437" s="5">
        <f>IF($B2437="","",VLOOKUP($B2437,Jogos!$A$2:$K$105,8,FALSE))</f>
        <v/>
      </c>
      <c r="D2437" s="5">
        <f>IF($B2437="","",VLOOKUP($B2437,Jogos!$A$2:$K$105,10,FALSE))</f>
        <v/>
      </c>
      <c r="E2437" s="5" t="inlineStr"/>
      <c r="F2437" s="5" t="inlineStr"/>
      <c r="G2437" s="8">
        <f>IF($B2437="","",VLOOKUP($B2437,Jogos!$A$2:$K$105,9,FALSE))</f>
        <v/>
      </c>
      <c r="H2437" s="8">
        <f>IF($B2437="","",VLOOKUP($B2437,Jogos!$A$2:$K$105,11,FALSE))</f>
        <v/>
      </c>
      <c r="I2437" s="5">
        <f>IF(OR($A2437="", $B2437="", $E2437="", $F2437="", $G2437="", $H2437=""), "",IF(AND($E2437=$G2437, $F2437=$H2437), 3, IF(SIGN($E2437-$F2437)=SIGN($G2437-$H2437), 1, 0))))</f>
        <v/>
      </c>
    </row>
    <row r="2438">
      <c r="A2438" s="5" t="inlineStr"/>
      <c r="B2438" s="5" t="inlineStr"/>
      <c r="C2438" s="5">
        <f>IF($B2438="","",VLOOKUP($B2438,Jogos!$A$2:$K$105,8,FALSE))</f>
        <v/>
      </c>
      <c r="D2438" s="5">
        <f>IF($B2438="","",VLOOKUP($B2438,Jogos!$A$2:$K$105,10,FALSE))</f>
        <v/>
      </c>
      <c r="E2438" s="5" t="inlineStr"/>
      <c r="F2438" s="5" t="inlineStr"/>
      <c r="G2438" s="8">
        <f>IF($B2438="","",VLOOKUP($B2438,Jogos!$A$2:$K$105,9,FALSE))</f>
        <v/>
      </c>
      <c r="H2438" s="8">
        <f>IF($B2438="","",VLOOKUP($B2438,Jogos!$A$2:$K$105,11,FALSE))</f>
        <v/>
      </c>
      <c r="I2438" s="5">
        <f>IF(OR($A2438="", $B2438="", $E2438="", $F2438="", $G2438="", $H2438=""), "",IF(AND($E2438=$G2438, $F2438=$H2438), 3, IF(SIGN($E2438-$F2438)=SIGN($G2438-$H2438), 1, 0))))</f>
        <v/>
      </c>
    </row>
    <row r="2439">
      <c r="A2439" s="5" t="inlineStr"/>
      <c r="B2439" s="5" t="inlineStr"/>
      <c r="C2439" s="5">
        <f>IF($B2439="","",VLOOKUP($B2439,Jogos!$A$2:$K$105,8,FALSE))</f>
        <v/>
      </c>
      <c r="D2439" s="5">
        <f>IF($B2439="","",VLOOKUP($B2439,Jogos!$A$2:$K$105,10,FALSE))</f>
        <v/>
      </c>
      <c r="E2439" s="5" t="inlineStr"/>
      <c r="F2439" s="5" t="inlineStr"/>
      <c r="G2439" s="8">
        <f>IF($B2439="","",VLOOKUP($B2439,Jogos!$A$2:$K$105,9,FALSE))</f>
        <v/>
      </c>
      <c r="H2439" s="8">
        <f>IF($B2439="","",VLOOKUP($B2439,Jogos!$A$2:$K$105,11,FALSE))</f>
        <v/>
      </c>
      <c r="I2439" s="5">
        <f>IF(OR($A2439="", $B2439="", $E2439="", $F2439="", $G2439="", $H2439=""), "",IF(AND($E2439=$G2439, $F2439=$H2439), 3, IF(SIGN($E2439-$F2439)=SIGN($G2439-$H2439), 1, 0))))</f>
        <v/>
      </c>
    </row>
    <row r="2440">
      <c r="A2440" s="5" t="inlineStr"/>
      <c r="B2440" s="5" t="inlineStr"/>
      <c r="C2440" s="5">
        <f>IF($B2440="","",VLOOKUP($B2440,Jogos!$A$2:$K$105,8,FALSE))</f>
        <v/>
      </c>
      <c r="D2440" s="5">
        <f>IF($B2440="","",VLOOKUP($B2440,Jogos!$A$2:$K$105,10,FALSE))</f>
        <v/>
      </c>
      <c r="E2440" s="5" t="inlineStr"/>
      <c r="F2440" s="5" t="inlineStr"/>
      <c r="G2440" s="8">
        <f>IF($B2440="","",VLOOKUP($B2440,Jogos!$A$2:$K$105,9,FALSE))</f>
        <v/>
      </c>
      <c r="H2440" s="8">
        <f>IF($B2440="","",VLOOKUP($B2440,Jogos!$A$2:$K$105,11,FALSE))</f>
        <v/>
      </c>
      <c r="I2440" s="5">
        <f>IF(OR($A2440="", $B2440="", $E2440="", $F2440="", $G2440="", $H2440=""), "",IF(AND($E2440=$G2440, $F2440=$H2440), 3, IF(SIGN($E2440-$F2440)=SIGN($G2440-$H2440), 1, 0))))</f>
        <v/>
      </c>
    </row>
    <row r="2441">
      <c r="A2441" s="5" t="inlineStr"/>
      <c r="B2441" s="5" t="inlineStr"/>
      <c r="C2441" s="5">
        <f>IF($B2441="","",VLOOKUP($B2441,Jogos!$A$2:$K$105,8,FALSE))</f>
        <v/>
      </c>
      <c r="D2441" s="5">
        <f>IF($B2441="","",VLOOKUP($B2441,Jogos!$A$2:$K$105,10,FALSE))</f>
        <v/>
      </c>
      <c r="E2441" s="5" t="inlineStr"/>
      <c r="F2441" s="5" t="inlineStr"/>
      <c r="G2441" s="8">
        <f>IF($B2441="","",VLOOKUP($B2441,Jogos!$A$2:$K$105,9,FALSE))</f>
        <v/>
      </c>
      <c r="H2441" s="8">
        <f>IF($B2441="","",VLOOKUP($B2441,Jogos!$A$2:$K$105,11,FALSE))</f>
        <v/>
      </c>
      <c r="I2441" s="5">
        <f>IF(OR($A2441="", $B2441="", $E2441="", $F2441="", $G2441="", $H2441=""), "",IF(AND($E2441=$G2441, $F2441=$H2441), 3, IF(SIGN($E2441-$F2441)=SIGN($G2441-$H2441), 1, 0))))</f>
        <v/>
      </c>
    </row>
    <row r="2442">
      <c r="A2442" s="5" t="inlineStr"/>
      <c r="B2442" s="5" t="inlineStr"/>
      <c r="C2442" s="5">
        <f>IF($B2442="","",VLOOKUP($B2442,Jogos!$A$2:$K$105,8,FALSE))</f>
        <v/>
      </c>
      <c r="D2442" s="5">
        <f>IF($B2442="","",VLOOKUP($B2442,Jogos!$A$2:$K$105,10,FALSE))</f>
        <v/>
      </c>
      <c r="E2442" s="5" t="inlineStr"/>
      <c r="F2442" s="5" t="inlineStr"/>
      <c r="G2442" s="8">
        <f>IF($B2442="","",VLOOKUP($B2442,Jogos!$A$2:$K$105,9,FALSE))</f>
        <v/>
      </c>
      <c r="H2442" s="8">
        <f>IF($B2442="","",VLOOKUP($B2442,Jogos!$A$2:$K$105,11,FALSE))</f>
        <v/>
      </c>
      <c r="I2442" s="5">
        <f>IF(OR($A2442="", $B2442="", $E2442="", $F2442="", $G2442="", $H2442=""), "",IF(AND($E2442=$G2442, $F2442=$H2442), 3, IF(SIGN($E2442-$F2442)=SIGN($G2442-$H2442), 1, 0))))</f>
        <v/>
      </c>
    </row>
    <row r="2443">
      <c r="A2443" s="5" t="inlineStr"/>
      <c r="B2443" s="5" t="inlineStr"/>
      <c r="C2443" s="5">
        <f>IF($B2443="","",VLOOKUP($B2443,Jogos!$A$2:$K$105,8,FALSE))</f>
        <v/>
      </c>
      <c r="D2443" s="5">
        <f>IF($B2443="","",VLOOKUP($B2443,Jogos!$A$2:$K$105,10,FALSE))</f>
        <v/>
      </c>
      <c r="E2443" s="5" t="inlineStr"/>
      <c r="F2443" s="5" t="inlineStr"/>
      <c r="G2443" s="8">
        <f>IF($B2443="","",VLOOKUP($B2443,Jogos!$A$2:$K$105,9,FALSE))</f>
        <v/>
      </c>
      <c r="H2443" s="8">
        <f>IF($B2443="","",VLOOKUP($B2443,Jogos!$A$2:$K$105,11,FALSE))</f>
        <v/>
      </c>
      <c r="I2443" s="5">
        <f>IF(OR($A2443="", $B2443="", $E2443="", $F2443="", $G2443="", $H2443=""), "",IF(AND($E2443=$G2443, $F2443=$H2443), 3, IF(SIGN($E2443-$F2443)=SIGN($G2443-$H2443), 1, 0))))</f>
        <v/>
      </c>
    </row>
    <row r="2444">
      <c r="A2444" s="5" t="inlineStr"/>
      <c r="B2444" s="5" t="inlineStr"/>
      <c r="C2444" s="5">
        <f>IF($B2444="","",VLOOKUP($B2444,Jogos!$A$2:$K$105,8,FALSE))</f>
        <v/>
      </c>
      <c r="D2444" s="5">
        <f>IF($B2444="","",VLOOKUP($B2444,Jogos!$A$2:$K$105,10,FALSE))</f>
        <v/>
      </c>
      <c r="E2444" s="5" t="inlineStr"/>
      <c r="F2444" s="5" t="inlineStr"/>
      <c r="G2444" s="8">
        <f>IF($B2444="","",VLOOKUP($B2444,Jogos!$A$2:$K$105,9,FALSE))</f>
        <v/>
      </c>
      <c r="H2444" s="8">
        <f>IF($B2444="","",VLOOKUP($B2444,Jogos!$A$2:$K$105,11,FALSE))</f>
        <v/>
      </c>
      <c r="I2444" s="5">
        <f>IF(OR($A2444="", $B2444="", $E2444="", $F2444="", $G2444="", $H2444=""), "",IF(AND($E2444=$G2444, $F2444=$H2444), 3, IF(SIGN($E2444-$F2444)=SIGN($G2444-$H2444), 1, 0))))</f>
        <v/>
      </c>
    </row>
    <row r="2445">
      <c r="A2445" s="5" t="inlineStr"/>
      <c r="B2445" s="5" t="inlineStr"/>
      <c r="C2445" s="5">
        <f>IF($B2445="","",VLOOKUP($B2445,Jogos!$A$2:$K$105,8,FALSE))</f>
        <v/>
      </c>
      <c r="D2445" s="5">
        <f>IF($B2445="","",VLOOKUP($B2445,Jogos!$A$2:$K$105,10,FALSE))</f>
        <v/>
      </c>
      <c r="E2445" s="5" t="inlineStr"/>
      <c r="F2445" s="5" t="inlineStr"/>
      <c r="G2445" s="8">
        <f>IF($B2445="","",VLOOKUP($B2445,Jogos!$A$2:$K$105,9,FALSE))</f>
        <v/>
      </c>
      <c r="H2445" s="8">
        <f>IF($B2445="","",VLOOKUP($B2445,Jogos!$A$2:$K$105,11,FALSE))</f>
        <v/>
      </c>
      <c r="I2445" s="5">
        <f>IF(OR($A2445="", $B2445="", $E2445="", $F2445="", $G2445="", $H2445=""), "",IF(AND($E2445=$G2445, $F2445=$H2445), 3, IF(SIGN($E2445-$F2445)=SIGN($G2445-$H2445), 1, 0))))</f>
        <v/>
      </c>
    </row>
    <row r="2446">
      <c r="A2446" s="5" t="inlineStr"/>
      <c r="B2446" s="5" t="inlineStr"/>
      <c r="C2446" s="5">
        <f>IF($B2446="","",VLOOKUP($B2446,Jogos!$A$2:$K$105,8,FALSE))</f>
        <v/>
      </c>
      <c r="D2446" s="5">
        <f>IF($B2446="","",VLOOKUP($B2446,Jogos!$A$2:$K$105,10,FALSE))</f>
        <v/>
      </c>
      <c r="E2446" s="5" t="inlineStr"/>
      <c r="F2446" s="5" t="inlineStr"/>
      <c r="G2446" s="8">
        <f>IF($B2446="","",VLOOKUP($B2446,Jogos!$A$2:$K$105,9,FALSE))</f>
        <v/>
      </c>
      <c r="H2446" s="8">
        <f>IF($B2446="","",VLOOKUP($B2446,Jogos!$A$2:$K$105,11,FALSE))</f>
        <v/>
      </c>
      <c r="I2446" s="5">
        <f>IF(OR($A2446="", $B2446="", $E2446="", $F2446="", $G2446="", $H2446=""), "",IF(AND($E2446=$G2446, $F2446=$H2446), 3, IF(SIGN($E2446-$F2446)=SIGN($G2446-$H2446), 1, 0))))</f>
        <v/>
      </c>
    </row>
    <row r="2447">
      <c r="A2447" s="5" t="inlineStr"/>
      <c r="B2447" s="5" t="inlineStr"/>
      <c r="C2447" s="5">
        <f>IF($B2447="","",VLOOKUP($B2447,Jogos!$A$2:$K$105,8,FALSE))</f>
        <v/>
      </c>
      <c r="D2447" s="5">
        <f>IF($B2447="","",VLOOKUP($B2447,Jogos!$A$2:$K$105,10,FALSE))</f>
        <v/>
      </c>
      <c r="E2447" s="5" t="inlineStr"/>
      <c r="F2447" s="5" t="inlineStr"/>
      <c r="G2447" s="8">
        <f>IF($B2447="","",VLOOKUP($B2447,Jogos!$A$2:$K$105,9,FALSE))</f>
        <v/>
      </c>
      <c r="H2447" s="8">
        <f>IF($B2447="","",VLOOKUP($B2447,Jogos!$A$2:$K$105,11,FALSE))</f>
        <v/>
      </c>
      <c r="I2447" s="5">
        <f>IF(OR($A2447="", $B2447="", $E2447="", $F2447="", $G2447="", $H2447=""), "",IF(AND($E2447=$G2447, $F2447=$H2447), 3, IF(SIGN($E2447-$F2447)=SIGN($G2447-$H2447), 1, 0))))</f>
        <v/>
      </c>
    </row>
    <row r="2448">
      <c r="A2448" s="5" t="inlineStr"/>
      <c r="B2448" s="5" t="inlineStr"/>
      <c r="C2448" s="5">
        <f>IF($B2448="","",VLOOKUP($B2448,Jogos!$A$2:$K$105,8,FALSE))</f>
        <v/>
      </c>
      <c r="D2448" s="5">
        <f>IF($B2448="","",VLOOKUP($B2448,Jogos!$A$2:$K$105,10,FALSE))</f>
        <v/>
      </c>
      <c r="E2448" s="5" t="inlineStr"/>
      <c r="F2448" s="5" t="inlineStr"/>
      <c r="G2448" s="8">
        <f>IF($B2448="","",VLOOKUP($B2448,Jogos!$A$2:$K$105,9,FALSE))</f>
        <v/>
      </c>
      <c r="H2448" s="8">
        <f>IF($B2448="","",VLOOKUP($B2448,Jogos!$A$2:$K$105,11,FALSE))</f>
        <v/>
      </c>
      <c r="I2448" s="5">
        <f>IF(OR($A2448="", $B2448="", $E2448="", $F2448="", $G2448="", $H2448=""), "",IF(AND($E2448=$G2448, $F2448=$H2448), 3, IF(SIGN($E2448-$F2448)=SIGN($G2448-$H2448), 1, 0))))</f>
        <v/>
      </c>
    </row>
    <row r="2449">
      <c r="A2449" s="5" t="inlineStr"/>
      <c r="B2449" s="5" t="inlineStr"/>
      <c r="C2449" s="5">
        <f>IF($B2449="","",VLOOKUP($B2449,Jogos!$A$2:$K$105,8,FALSE))</f>
        <v/>
      </c>
      <c r="D2449" s="5">
        <f>IF($B2449="","",VLOOKUP($B2449,Jogos!$A$2:$K$105,10,FALSE))</f>
        <v/>
      </c>
      <c r="E2449" s="5" t="inlineStr"/>
      <c r="F2449" s="5" t="inlineStr"/>
      <c r="G2449" s="8">
        <f>IF($B2449="","",VLOOKUP($B2449,Jogos!$A$2:$K$105,9,FALSE))</f>
        <v/>
      </c>
      <c r="H2449" s="8">
        <f>IF($B2449="","",VLOOKUP($B2449,Jogos!$A$2:$K$105,11,FALSE))</f>
        <v/>
      </c>
      <c r="I2449" s="5">
        <f>IF(OR($A2449="", $B2449="", $E2449="", $F2449="", $G2449="", $H2449=""), "",IF(AND($E2449=$G2449, $F2449=$H2449), 3, IF(SIGN($E2449-$F2449)=SIGN($G2449-$H2449), 1, 0))))</f>
        <v/>
      </c>
    </row>
    <row r="2450">
      <c r="A2450" s="5" t="inlineStr"/>
      <c r="B2450" s="5" t="inlineStr"/>
      <c r="C2450" s="5">
        <f>IF($B2450="","",VLOOKUP($B2450,Jogos!$A$2:$K$105,8,FALSE))</f>
        <v/>
      </c>
      <c r="D2450" s="5">
        <f>IF($B2450="","",VLOOKUP($B2450,Jogos!$A$2:$K$105,10,FALSE))</f>
        <v/>
      </c>
      <c r="E2450" s="5" t="inlineStr"/>
      <c r="F2450" s="5" t="inlineStr"/>
      <c r="G2450" s="8">
        <f>IF($B2450="","",VLOOKUP($B2450,Jogos!$A$2:$K$105,9,FALSE))</f>
        <v/>
      </c>
      <c r="H2450" s="8">
        <f>IF($B2450="","",VLOOKUP($B2450,Jogos!$A$2:$K$105,11,FALSE))</f>
        <v/>
      </c>
      <c r="I2450" s="5">
        <f>IF(OR($A2450="", $B2450="", $E2450="", $F2450="", $G2450="", $H2450=""), "",IF(AND($E2450=$G2450, $F2450=$H2450), 3, IF(SIGN($E2450-$F2450)=SIGN($G2450-$H2450), 1, 0))))</f>
        <v/>
      </c>
    </row>
    <row r="2451">
      <c r="A2451" s="5" t="inlineStr"/>
      <c r="B2451" s="5" t="inlineStr"/>
      <c r="C2451" s="5">
        <f>IF($B2451="","",VLOOKUP($B2451,Jogos!$A$2:$K$105,8,FALSE))</f>
        <v/>
      </c>
      <c r="D2451" s="5">
        <f>IF($B2451="","",VLOOKUP($B2451,Jogos!$A$2:$K$105,10,FALSE))</f>
        <v/>
      </c>
      <c r="E2451" s="5" t="inlineStr"/>
      <c r="F2451" s="5" t="inlineStr"/>
      <c r="G2451" s="8">
        <f>IF($B2451="","",VLOOKUP($B2451,Jogos!$A$2:$K$105,9,FALSE))</f>
        <v/>
      </c>
      <c r="H2451" s="8">
        <f>IF($B2451="","",VLOOKUP($B2451,Jogos!$A$2:$K$105,11,FALSE))</f>
        <v/>
      </c>
      <c r="I2451" s="5">
        <f>IF(OR($A2451="", $B2451="", $E2451="", $F2451="", $G2451="", $H2451=""), "",IF(AND($E2451=$G2451, $F2451=$H2451), 3, IF(SIGN($E2451-$F2451)=SIGN($G2451-$H2451), 1, 0))))</f>
        <v/>
      </c>
    </row>
    <row r="2452">
      <c r="A2452" s="5" t="inlineStr"/>
      <c r="B2452" s="5" t="inlineStr"/>
      <c r="C2452" s="5">
        <f>IF($B2452="","",VLOOKUP($B2452,Jogos!$A$2:$K$105,8,FALSE))</f>
        <v/>
      </c>
      <c r="D2452" s="5">
        <f>IF($B2452="","",VLOOKUP($B2452,Jogos!$A$2:$K$105,10,FALSE))</f>
        <v/>
      </c>
      <c r="E2452" s="5" t="inlineStr"/>
      <c r="F2452" s="5" t="inlineStr"/>
      <c r="G2452" s="8">
        <f>IF($B2452="","",VLOOKUP($B2452,Jogos!$A$2:$K$105,9,FALSE))</f>
        <v/>
      </c>
      <c r="H2452" s="8">
        <f>IF($B2452="","",VLOOKUP($B2452,Jogos!$A$2:$K$105,11,FALSE))</f>
        <v/>
      </c>
      <c r="I2452" s="5">
        <f>IF(OR($A2452="", $B2452="", $E2452="", $F2452="", $G2452="", $H2452=""), "",IF(AND($E2452=$G2452, $F2452=$H2452), 3, IF(SIGN($E2452-$F2452)=SIGN($G2452-$H2452), 1, 0))))</f>
        <v/>
      </c>
    </row>
    <row r="2453">
      <c r="A2453" s="5" t="inlineStr"/>
      <c r="B2453" s="5" t="inlineStr"/>
      <c r="C2453" s="5">
        <f>IF($B2453="","",VLOOKUP($B2453,Jogos!$A$2:$K$105,8,FALSE))</f>
        <v/>
      </c>
      <c r="D2453" s="5">
        <f>IF($B2453="","",VLOOKUP($B2453,Jogos!$A$2:$K$105,10,FALSE))</f>
        <v/>
      </c>
      <c r="E2453" s="5" t="inlineStr"/>
      <c r="F2453" s="5" t="inlineStr"/>
      <c r="G2453" s="8">
        <f>IF($B2453="","",VLOOKUP($B2453,Jogos!$A$2:$K$105,9,FALSE))</f>
        <v/>
      </c>
      <c r="H2453" s="8">
        <f>IF($B2453="","",VLOOKUP($B2453,Jogos!$A$2:$K$105,11,FALSE))</f>
        <v/>
      </c>
      <c r="I2453" s="5">
        <f>IF(OR($A2453="", $B2453="", $E2453="", $F2453="", $G2453="", $H2453=""), "",IF(AND($E2453=$G2453, $F2453=$H2453), 3, IF(SIGN($E2453-$F2453)=SIGN($G2453-$H2453), 1, 0))))</f>
        <v/>
      </c>
    </row>
    <row r="2454">
      <c r="A2454" s="5" t="inlineStr"/>
      <c r="B2454" s="5" t="inlineStr"/>
      <c r="C2454" s="5">
        <f>IF($B2454="","",VLOOKUP($B2454,Jogos!$A$2:$K$105,8,FALSE))</f>
        <v/>
      </c>
      <c r="D2454" s="5">
        <f>IF($B2454="","",VLOOKUP($B2454,Jogos!$A$2:$K$105,10,FALSE))</f>
        <v/>
      </c>
      <c r="E2454" s="5" t="inlineStr"/>
      <c r="F2454" s="5" t="inlineStr"/>
      <c r="G2454" s="8">
        <f>IF($B2454="","",VLOOKUP($B2454,Jogos!$A$2:$K$105,9,FALSE))</f>
        <v/>
      </c>
      <c r="H2454" s="8">
        <f>IF($B2454="","",VLOOKUP($B2454,Jogos!$A$2:$K$105,11,FALSE))</f>
        <v/>
      </c>
      <c r="I2454" s="5">
        <f>IF(OR($A2454="", $B2454="", $E2454="", $F2454="", $G2454="", $H2454=""), "",IF(AND($E2454=$G2454, $F2454=$H2454), 3, IF(SIGN($E2454-$F2454)=SIGN($G2454-$H2454), 1, 0))))</f>
        <v/>
      </c>
    </row>
    <row r="2455">
      <c r="A2455" s="5" t="inlineStr"/>
      <c r="B2455" s="5" t="inlineStr"/>
      <c r="C2455" s="5">
        <f>IF($B2455="","",VLOOKUP($B2455,Jogos!$A$2:$K$105,8,FALSE))</f>
        <v/>
      </c>
      <c r="D2455" s="5">
        <f>IF($B2455="","",VLOOKUP($B2455,Jogos!$A$2:$K$105,10,FALSE))</f>
        <v/>
      </c>
      <c r="E2455" s="5" t="inlineStr"/>
      <c r="F2455" s="5" t="inlineStr"/>
      <c r="G2455" s="8">
        <f>IF($B2455="","",VLOOKUP($B2455,Jogos!$A$2:$K$105,9,FALSE))</f>
        <v/>
      </c>
      <c r="H2455" s="8">
        <f>IF($B2455="","",VLOOKUP($B2455,Jogos!$A$2:$K$105,11,FALSE))</f>
        <v/>
      </c>
      <c r="I2455" s="5">
        <f>IF(OR($A2455="", $B2455="", $E2455="", $F2455="", $G2455="", $H2455=""), "",IF(AND($E2455=$G2455, $F2455=$H2455), 3, IF(SIGN($E2455-$F2455)=SIGN($G2455-$H2455), 1, 0))))</f>
        <v/>
      </c>
    </row>
    <row r="2456">
      <c r="A2456" s="5" t="inlineStr"/>
      <c r="B2456" s="5" t="inlineStr"/>
      <c r="C2456" s="5">
        <f>IF($B2456="","",VLOOKUP($B2456,Jogos!$A$2:$K$105,8,FALSE))</f>
        <v/>
      </c>
      <c r="D2456" s="5">
        <f>IF($B2456="","",VLOOKUP($B2456,Jogos!$A$2:$K$105,10,FALSE))</f>
        <v/>
      </c>
      <c r="E2456" s="5" t="inlineStr"/>
      <c r="F2456" s="5" t="inlineStr"/>
      <c r="G2456" s="8">
        <f>IF($B2456="","",VLOOKUP($B2456,Jogos!$A$2:$K$105,9,FALSE))</f>
        <v/>
      </c>
      <c r="H2456" s="8">
        <f>IF($B2456="","",VLOOKUP($B2456,Jogos!$A$2:$K$105,11,FALSE))</f>
        <v/>
      </c>
      <c r="I2456" s="5">
        <f>IF(OR($A2456="", $B2456="", $E2456="", $F2456="", $G2456="", $H2456=""), "",IF(AND($E2456=$G2456, $F2456=$H2456), 3, IF(SIGN($E2456-$F2456)=SIGN($G2456-$H2456), 1, 0))))</f>
        <v/>
      </c>
    </row>
    <row r="2457">
      <c r="A2457" s="5" t="inlineStr"/>
      <c r="B2457" s="5" t="inlineStr"/>
      <c r="C2457" s="5">
        <f>IF($B2457="","",VLOOKUP($B2457,Jogos!$A$2:$K$105,8,FALSE))</f>
        <v/>
      </c>
      <c r="D2457" s="5">
        <f>IF($B2457="","",VLOOKUP($B2457,Jogos!$A$2:$K$105,10,FALSE))</f>
        <v/>
      </c>
      <c r="E2457" s="5" t="inlineStr"/>
      <c r="F2457" s="5" t="inlineStr"/>
      <c r="G2457" s="8">
        <f>IF($B2457="","",VLOOKUP($B2457,Jogos!$A$2:$K$105,9,FALSE))</f>
        <v/>
      </c>
      <c r="H2457" s="8">
        <f>IF($B2457="","",VLOOKUP($B2457,Jogos!$A$2:$K$105,11,FALSE))</f>
        <v/>
      </c>
      <c r="I2457" s="5">
        <f>IF(OR($A2457="", $B2457="", $E2457="", $F2457="", $G2457="", $H2457=""), "",IF(AND($E2457=$G2457, $F2457=$H2457), 3, IF(SIGN($E2457-$F2457)=SIGN($G2457-$H2457), 1, 0))))</f>
        <v/>
      </c>
    </row>
    <row r="2458">
      <c r="A2458" s="5" t="inlineStr"/>
      <c r="B2458" s="5" t="inlineStr"/>
      <c r="C2458" s="5">
        <f>IF($B2458="","",VLOOKUP($B2458,Jogos!$A$2:$K$105,8,FALSE))</f>
        <v/>
      </c>
      <c r="D2458" s="5">
        <f>IF($B2458="","",VLOOKUP($B2458,Jogos!$A$2:$K$105,10,FALSE))</f>
        <v/>
      </c>
      <c r="E2458" s="5" t="inlineStr"/>
      <c r="F2458" s="5" t="inlineStr"/>
      <c r="G2458" s="8">
        <f>IF($B2458="","",VLOOKUP($B2458,Jogos!$A$2:$K$105,9,FALSE))</f>
        <v/>
      </c>
      <c r="H2458" s="8">
        <f>IF($B2458="","",VLOOKUP($B2458,Jogos!$A$2:$K$105,11,FALSE))</f>
        <v/>
      </c>
      <c r="I2458" s="5">
        <f>IF(OR($A2458="", $B2458="", $E2458="", $F2458="", $G2458="", $H2458=""), "",IF(AND($E2458=$G2458, $F2458=$H2458), 3, IF(SIGN($E2458-$F2458)=SIGN($G2458-$H2458), 1, 0))))</f>
        <v/>
      </c>
    </row>
    <row r="2459">
      <c r="A2459" s="5" t="inlineStr"/>
      <c r="B2459" s="5" t="inlineStr"/>
      <c r="C2459" s="5">
        <f>IF($B2459="","",VLOOKUP($B2459,Jogos!$A$2:$K$105,8,FALSE))</f>
        <v/>
      </c>
      <c r="D2459" s="5">
        <f>IF($B2459="","",VLOOKUP($B2459,Jogos!$A$2:$K$105,10,FALSE))</f>
        <v/>
      </c>
      <c r="E2459" s="5" t="inlineStr"/>
      <c r="F2459" s="5" t="inlineStr"/>
      <c r="G2459" s="8">
        <f>IF($B2459="","",VLOOKUP($B2459,Jogos!$A$2:$K$105,9,FALSE))</f>
        <v/>
      </c>
      <c r="H2459" s="8">
        <f>IF($B2459="","",VLOOKUP($B2459,Jogos!$A$2:$K$105,11,FALSE))</f>
        <v/>
      </c>
      <c r="I2459" s="5">
        <f>IF(OR($A2459="", $B2459="", $E2459="", $F2459="", $G2459="", $H2459=""), "",IF(AND($E2459=$G2459, $F2459=$H2459), 3, IF(SIGN($E2459-$F2459)=SIGN($G2459-$H2459), 1, 0))))</f>
        <v/>
      </c>
    </row>
    <row r="2460">
      <c r="A2460" s="5" t="inlineStr"/>
      <c r="B2460" s="5" t="inlineStr"/>
      <c r="C2460" s="5">
        <f>IF($B2460="","",VLOOKUP($B2460,Jogos!$A$2:$K$105,8,FALSE))</f>
        <v/>
      </c>
      <c r="D2460" s="5">
        <f>IF($B2460="","",VLOOKUP($B2460,Jogos!$A$2:$K$105,10,FALSE))</f>
        <v/>
      </c>
      <c r="E2460" s="5" t="inlineStr"/>
      <c r="F2460" s="5" t="inlineStr"/>
      <c r="G2460" s="8">
        <f>IF($B2460="","",VLOOKUP($B2460,Jogos!$A$2:$K$105,9,FALSE))</f>
        <v/>
      </c>
      <c r="H2460" s="8">
        <f>IF($B2460="","",VLOOKUP($B2460,Jogos!$A$2:$K$105,11,FALSE))</f>
        <v/>
      </c>
      <c r="I2460" s="5">
        <f>IF(OR($A2460="", $B2460="", $E2460="", $F2460="", $G2460="", $H2460=""), "",IF(AND($E2460=$G2460, $F2460=$H2460), 3, IF(SIGN($E2460-$F2460)=SIGN($G2460-$H2460), 1, 0))))</f>
        <v/>
      </c>
    </row>
    <row r="2461">
      <c r="A2461" s="5" t="inlineStr"/>
      <c r="B2461" s="5" t="inlineStr"/>
      <c r="C2461" s="5">
        <f>IF($B2461="","",VLOOKUP($B2461,Jogos!$A$2:$K$105,8,FALSE))</f>
        <v/>
      </c>
      <c r="D2461" s="5">
        <f>IF($B2461="","",VLOOKUP($B2461,Jogos!$A$2:$K$105,10,FALSE))</f>
        <v/>
      </c>
      <c r="E2461" s="5" t="inlineStr"/>
      <c r="F2461" s="5" t="inlineStr"/>
      <c r="G2461" s="8">
        <f>IF($B2461="","",VLOOKUP($B2461,Jogos!$A$2:$K$105,9,FALSE))</f>
        <v/>
      </c>
      <c r="H2461" s="8">
        <f>IF($B2461="","",VLOOKUP($B2461,Jogos!$A$2:$K$105,11,FALSE))</f>
        <v/>
      </c>
      <c r="I2461" s="5">
        <f>IF(OR($A2461="", $B2461="", $E2461="", $F2461="", $G2461="", $H2461=""), "",IF(AND($E2461=$G2461, $F2461=$H2461), 3, IF(SIGN($E2461-$F2461)=SIGN($G2461-$H2461), 1, 0))))</f>
        <v/>
      </c>
    </row>
    <row r="2462">
      <c r="A2462" s="5" t="inlineStr"/>
      <c r="B2462" s="5" t="inlineStr"/>
      <c r="C2462" s="5">
        <f>IF($B2462="","",VLOOKUP($B2462,Jogos!$A$2:$K$105,8,FALSE))</f>
        <v/>
      </c>
      <c r="D2462" s="5">
        <f>IF($B2462="","",VLOOKUP($B2462,Jogos!$A$2:$K$105,10,FALSE))</f>
        <v/>
      </c>
      <c r="E2462" s="5" t="inlineStr"/>
      <c r="F2462" s="5" t="inlineStr"/>
      <c r="G2462" s="8">
        <f>IF($B2462="","",VLOOKUP($B2462,Jogos!$A$2:$K$105,9,FALSE))</f>
        <v/>
      </c>
      <c r="H2462" s="8">
        <f>IF($B2462="","",VLOOKUP($B2462,Jogos!$A$2:$K$105,11,FALSE))</f>
        <v/>
      </c>
      <c r="I2462" s="5">
        <f>IF(OR($A2462="", $B2462="", $E2462="", $F2462="", $G2462="", $H2462=""), "",IF(AND($E2462=$G2462, $F2462=$H2462), 3, IF(SIGN($E2462-$F2462)=SIGN($G2462-$H2462), 1, 0))))</f>
        <v/>
      </c>
    </row>
    <row r="2463">
      <c r="A2463" s="5" t="inlineStr"/>
      <c r="B2463" s="5" t="inlineStr"/>
      <c r="C2463" s="5">
        <f>IF($B2463="","",VLOOKUP($B2463,Jogos!$A$2:$K$105,8,FALSE))</f>
        <v/>
      </c>
      <c r="D2463" s="5">
        <f>IF($B2463="","",VLOOKUP($B2463,Jogos!$A$2:$K$105,10,FALSE))</f>
        <v/>
      </c>
      <c r="E2463" s="5" t="inlineStr"/>
      <c r="F2463" s="5" t="inlineStr"/>
      <c r="G2463" s="8">
        <f>IF($B2463="","",VLOOKUP($B2463,Jogos!$A$2:$K$105,9,FALSE))</f>
        <v/>
      </c>
      <c r="H2463" s="8">
        <f>IF($B2463="","",VLOOKUP($B2463,Jogos!$A$2:$K$105,11,FALSE))</f>
        <v/>
      </c>
      <c r="I2463" s="5">
        <f>IF(OR($A2463="", $B2463="", $E2463="", $F2463="", $G2463="", $H2463=""), "",IF(AND($E2463=$G2463, $F2463=$H2463), 3, IF(SIGN($E2463-$F2463)=SIGN($G2463-$H2463), 1, 0))))</f>
        <v/>
      </c>
    </row>
    <row r="2464">
      <c r="A2464" s="5" t="inlineStr"/>
      <c r="B2464" s="5" t="inlineStr"/>
      <c r="C2464" s="5">
        <f>IF($B2464="","",VLOOKUP($B2464,Jogos!$A$2:$K$105,8,FALSE))</f>
        <v/>
      </c>
      <c r="D2464" s="5">
        <f>IF($B2464="","",VLOOKUP($B2464,Jogos!$A$2:$K$105,10,FALSE))</f>
        <v/>
      </c>
      <c r="E2464" s="5" t="inlineStr"/>
      <c r="F2464" s="5" t="inlineStr"/>
      <c r="G2464" s="8">
        <f>IF($B2464="","",VLOOKUP($B2464,Jogos!$A$2:$K$105,9,FALSE))</f>
        <v/>
      </c>
      <c r="H2464" s="8">
        <f>IF($B2464="","",VLOOKUP($B2464,Jogos!$A$2:$K$105,11,FALSE))</f>
        <v/>
      </c>
      <c r="I2464" s="5">
        <f>IF(OR($A2464="", $B2464="", $E2464="", $F2464="", $G2464="", $H2464=""), "",IF(AND($E2464=$G2464, $F2464=$H2464), 3, IF(SIGN($E2464-$F2464)=SIGN($G2464-$H2464), 1, 0))))</f>
        <v/>
      </c>
    </row>
    <row r="2465">
      <c r="A2465" s="5" t="inlineStr"/>
      <c r="B2465" s="5" t="inlineStr"/>
      <c r="C2465" s="5">
        <f>IF($B2465="","",VLOOKUP($B2465,Jogos!$A$2:$K$105,8,FALSE))</f>
        <v/>
      </c>
      <c r="D2465" s="5">
        <f>IF($B2465="","",VLOOKUP($B2465,Jogos!$A$2:$K$105,10,FALSE))</f>
        <v/>
      </c>
      <c r="E2465" s="5" t="inlineStr"/>
      <c r="F2465" s="5" t="inlineStr"/>
      <c r="G2465" s="8">
        <f>IF($B2465="","",VLOOKUP($B2465,Jogos!$A$2:$K$105,9,FALSE))</f>
        <v/>
      </c>
      <c r="H2465" s="8">
        <f>IF($B2465="","",VLOOKUP($B2465,Jogos!$A$2:$K$105,11,FALSE))</f>
        <v/>
      </c>
      <c r="I2465" s="5">
        <f>IF(OR($A2465="", $B2465="", $E2465="", $F2465="", $G2465="", $H2465=""), "",IF(AND($E2465=$G2465, $F2465=$H2465), 3, IF(SIGN($E2465-$F2465)=SIGN($G2465-$H2465), 1, 0))))</f>
        <v/>
      </c>
    </row>
    <row r="2466">
      <c r="A2466" s="5" t="inlineStr"/>
      <c r="B2466" s="5" t="inlineStr"/>
      <c r="C2466" s="5">
        <f>IF($B2466="","",VLOOKUP($B2466,Jogos!$A$2:$K$105,8,FALSE))</f>
        <v/>
      </c>
      <c r="D2466" s="5">
        <f>IF($B2466="","",VLOOKUP($B2466,Jogos!$A$2:$K$105,10,FALSE))</f>
        <v/>
      </c>
      <c r="E2466" s="5" t="inlineStr"/>
      <c r="F2466" s="5" t="inlineStr"/>
      <c r="G2466" s="8">
        <f>IF($B2466="","",VLOOKUP($B2466,Jogos!$A$2:$K$105,9,FALSE))</f>
        <v/>
      </c>
      <c r="H2466" s="8">
        <f>IF($B2466="","",VLOOKUP($B2466,Jogos!$A$2:$K$105,11,FALSE))</f>
        <v/>
      </c>
      <c r="I2466" s="5">
        <f>IF(OR($A2466="", $B2466="", $E2466="", $F2466="", $G2466="", $H2466=""), "",IF(AND($E2466=$G2466, $F2466=$H2466), 3, IF(SIGN($E2466-$F2466)=SIGN($G2466-$H2466), 1, 0))))</f>
        <v/>
      </c>
    </row>
    <row r="2467">
      <c r="A2467" s="5" t="inlineStr"/>
      <c r="B2467" s="5" t="inlineStr"/>
      <c r="C2467" s="5">
        <f>IF($B2467="","",VLOOKUP($B2467,Jogos!$A$2:$K$105,8,FALSE))</f>
        <v/>
      </c>
      <c r="D2467" s="5">
        <f>IF($B2467="","",VLOOKUP($B2467,Jogos!$A$2:$K$105,10,FALSE))</f>
        <v/>
      </c>
      <c r="E2467" s="5" t="inlineStr"/>
      <c r="F2467" s="5" t="inlineStr"/>
      <c r="G2467" s="8">
        <f>IF($B2467="","",VLOOKUP($B2467,Jogos!$A$2:$K$105,9,FALSE))</f>
        <v/>
      </c>
      <c r="H2467" s="8">
        <f>IF($B2467="","",VLOOKUP($B2467,Jogos!$A$2:$K$105,11,FALSE))</f>
        <v/>
      </c>
      <c r="I2467" s="5">
        <f>IF(OR($A2467="", $B2467="", $E2467="", $F2467="", $G2467="", $H2467=""), "",IF(AND($E2467=$G2467, $F2467=$H2467), 3, IF(SIGN($E2467-$F2467)=SIGN($G2467-$H2467), 1, 0))))</f>
        <v/>
      </c>
    </row>
    <row r="2468">
      <c r="A2468" s="5" t="inlineStr"/>
      <c r="B2468" s="5" t="inlineStr"/>
      <c r="C2468" s="5">
        <f>IF($B2468="","",VLOOKUP($B2468,Jogos!$A$2:$K$105,8,FALSE))</f>
        <v/>
      </c>
      <c r="D2468" s="5">
        <f>IF($B2468="","",VLOOKUP($B2468,Jogos!$A$2:$K$105,10,FALSE))</f>
        <v/>
      </c>
      <c r="E2468" s="5" t="inlineStr"/>
      <c r="F2468" s="5" t="inlineStr"/>
      <c r="G2468" s="8">
        <f>IF($B2468="","",VLOOKUP($B2468,Jogos!$A$2:$K$105,9,FALSE))</f>
        <v/>
      </c>
      <c r="H2468" s="8">
        <f>IF($B2468="","",VLOOKUP($B2468,Jogos!$A$2:$K$105,11,FALSE))</f>
        <v/>
      </c>
      <c r="I2468" s="5">
        <f>IF(OR($A2468="", $B2468="", $E2468="", $F2468="", $G2468="", $H2468=""), "",IF(AND($E2468=$G2468, $F2468=$H2468), 3, IF(SIGN($E2468-$F2468)=SIGN($G2468-$H2468), 1, 0))))</f>
        <v/>
      </c>
    </row>
    <row r="2469">
      <c r="A2469" s="5" t="inlineStr"/>
      <c r="B2469" s="5" t="inlineStr"/>
      <c r="C2469" s="5">
        <f>IF($B2469="","",VLOOKUP($B2469,Jogos!$A$2:$K$105,8,FALSE))</f>
        <v/>
      </c>
      <c r="D2469" s="5">
        <f>IF($B2469="","",VLOOKUP($B2469,Jogos!$A$2:$K$105,10,FALSE))</f>
        <v/>
      </c>
      <c r="E2469" s="5" t="inlineStr"/>
      <c r="F2469" s="5" t="inlineStr"/>
      <c r="G2469" s="8">
        <f>IF($B2469="","",VLOOKUP($B2469,Jogos!$A$2:$K$105,9,FALSE))</f>
        <v/>
      </c>
      <c r="H2469" s="8">
        <f>IF($B2469="","",VLOOKUP($B2469,Jogos!$A$2:$K$105,11,FALSE))</f>
        <v/>
      </c>
      <c r="I2469" s="5">
        <f>IF(OR($A2469="", $B2469="", $E2469="", $F2469="", $G2469="", $H2469=""), "",IF(AND($E2469=$G2469, $F2469=$H2469), 3, IF(SIGN($E2469-$F2469)=SIGN($G2469-$H2469), 1, 0))))</f>
        <v/>
      </c>
    </row>
    <row r="2470">
      <c r="A2470" s="5" t="inlineStr"/>
      <c r="B2470" s="5" t="inlineStr"/>
      <c r="C2470" s="5">
        <f>IF($B2470="","",VLOOKUP($B2470,Jogos!$A$2:$K$105,8,FALSE))</f>
        <v/>
      </c>
      <c r="D2470" s="5">
        <f>IF($B2470="","",VLOOKUP($B2470,Jogos!$A$2:$K$105,10,FALSE))</f>
        <v/>
      </c>
      <c r="E2470" s="5" t="inlineStr"/>
      <c r="F2470" s="5" t="inlineStr"/>
      <c r="G2470" s="8">
        <f>IF($B2470="","",VLOOKUP($B2470,Jogos!$A$2:$K$105,9,FALSE))</f>
        <v/>
      </c>
      <c r="H2470" s="8">
        <f>IF($B2470="","",VLOOKUP($B2470,Jogos!$A$2:$K$105,11,FALSE))</f>
        <v/>
      </c>
      <c r="I2470" s="5">
        <f>IF(OR($A2470="", $B2470="", $E2470="", $F2470="", $G2470="", $H2470=""), "",IF(AND($E2470=$G2470, $F2470=$H2470), 3, IF(SIGN($E2470-$F2470)=SIGN($G2470-$H2470), 1, 0))))</f>
        <v/>
      </c>
    </row>
    <row r="2471">
      <c r="A2471" s="5" t="inlineStr"/>
      <c r="B2471" s="5" t="inlineStr"/>
      <c r="C2471" s="5">
        <f>IF($B2471="","",VLOOKUP($B2471,Jogos!$A$2:$K$105,8,FALSE))</f>
        <v/>
      </c>
      <c r="D2471" s="5">
        <f>IF($B2471="","",VLOOKUP($B2471,Jogos!$A$2:$K$105,10,FALSE))</f>
        <v/>
      </c>
      <c r="E2471" s="5" t="inlineStr"/>
      <c r="F2471" s="5" t="inlineStr"/>
      <c r="G2471" s="8">
        <f>IF($B2471="","",VLOOKUP($B2471,Jogos!$A$2:$K$105,9,FALSE))</f>
        <v/>
      </c>
      <c r="H2471" s="8">
        <f>IF($B2471="","",VLOOKUP($B2471,Jogos!$A$2:$K$105,11,FALSE))</f>
        <v/>
      </c>
      <c r="I2471" s="5">
        <f>IF(OR($A2471="", $B2471="", $E2471="", $F2471="", $G2471="", $H2471=""), "",IF(AND($E2471=$G2471, $F2471=$H2471), 3, IF(SIGN($E2471-$F2471)=SIGN($G2471-$H2471), 1, 0))))</f>
        <v/>
      </c>
    </row>
    <row r="2472">
      <c r="A2472" s="5" t="inlineStr"/>
      <c r="B2472" s="5" t="inlineStr"/>
      <c r="C2472" s="5">
        <f>IF($B2472="","",VLOOKUP($B2472,Jogos!$A$2:$K$105,8,FALSE))</f>
        <v/>
      </c>
      <c r="D2472" s="5">
        <f>IF($B2472="","",VLOOKUP($B2472,Jogos!$A$2:$K$105,10,FALSE))</f>
        <v/>
      </c>
      <c r="E2472" s="5" t="inlineStr"/>
      <c r="F2472" s="5" t="inlineStr"/>
      <c r="G2472" s="8">
        <f>IF($B2472="","",VLOOKUP($B2472,Jogos!$A$2:$K$105,9,FALSE))</f>
        <v/>
      </c>
      <c r="H2472" s="8">
        <f>IF($B2472="","",VLOOKUP($B2472,Jogos!$A$2:$K$105,11,FALSE))</f>
        <v/>
      </c>
      <c r="I2472" s="5">
        <f>IF(OR($A2472="", $B2472="", $E2472="", $F2472="", $G2472="", $H2472=""), "",IF(AND($E2472=$G2472, $F2472=$H2472), 3, IF(SIGN($E2472-$F2472)=SIGN($G2472-$H2472), 1, 0))))</f>
        <v/>
      </c>
    </row>
    <row r="2473">
      <c r="A2473" s="5" t="inlineStr"/>
      <c r="B2473" s="5" t="inlineStr"/>
      <c r="C2473" s="5">
        <f>IF($B2473="","",VLOOKUP($B2473,Jogos!$A$2:$K$105,8,FALSE))</f>
        <v/>
      </c>
      <c r="D2473" s="5">
        <f>IF($B2473="","",VLOOKUP($B2473,Jogos!$A$2:$K$105,10,FALSE))</f>
        <v/>
      </c>
      <c r="E2473" s="5" t="inlineStr"/>
      <c r="F2473" s="5" t="inlineStr"/>
      <c r="G2473" s="8">
        <f>IF($B2473="","",VLOOKUP($B2473,Jogos!$A$2:$K$105,9,FALSE))</f>
        <v/>
      </c>
      <c r="H2473" s="8">
        <f>IF($B2473="","",VLOOKUP($B2473,Jogos!$A$2:$K$105,11,FALSE))</f>
        <v/>
      </c>
      <c r="I2473" s="5">
        <f>IF(OR($A2473="", $B2473="", $E2473="", $F2473="", $G2473="", $H2473=""), "",IF(AND($E2473=$G2473, $F2473=$H2473), 3, IF(SIGN($E2473-$F2473)=SIGN($G2473-$H2473), 1, 0))))</f>
        <v/>
      </c>
    </row>
    <row r="2474">
      <c r="A2474" s="5" t="inlineStr"/>
      <c r="B2474" s="5" t="inlineStr"/>
      <c r="C2474" s="5">
        <f>IF($B2474="","",VLOOKUP($B2474,Jogos!$A$2:$K$105,8,FALSE))</f>
        <v/>
      </c>
      <c r="D2474" s="5">
        <f>IF($B2474="","",VLOOKUP($B2474,Jogos!$A$2:$K$105,10,FALSE))</f>
        <v/>
      </c>
      <c r="E2474" s="5" t="inlineStr"/>
      <c r="F2474" s="5" t="inlineStr"/>
      <c r="G2474" s="8">
        <f>IF($B2474="","",VLOOKUP($B2474,Jogos!$A$2:$K$105,9,FALSE))</f>
        <v/>
      </c>
      <c r="H2474" s="8">
        <f>IF($B2474="","",VLOOKUP($B2474,Jogos!$A$2:$K$105,11,FALSE))</f>
        <v/>
      </c>
      <c r="I2474" s="5">
        <f>IF(OR($A2474="", $B2474="", $E2474="", $F2474="", $G2474="", $H2474=""), "",IF(AND($E2474=$G2474, $F2474=$H2474), 3, IF(SIGN($E2474-$F2474)=SIGN($G2474-$H2474), 1, 0))))</f>
        <v/>
      </c>
    </row>
    <row r="2475">
      <c r="A2475" s="5" t="inlineStr"/>
      <c r="B2475" s="5" t="inlineStr"/>
      <c r="C2475" s="5">
        <f>IF($B2475="","",VLOOKUP($B2475,Jogos!$A$2:$K$105,8,FALSE))</f>
        <v/>
      </c>
      <c r="D2475" s="5">
        <f>IF($B2475="","",VLOOKUP($B2475,Jogos!$A$2:$K$105,10,FALSE))</f>
        <v/>
      </c>
      <c r="E2475" s="5" t="inlineStr"/>
      <c r="F2475" s="5" t="inlineStr"/>
      <c r="G2475" s="8">
        <f>IF($B2475="","",VLOOKUP($B2475,Jogos!$A$2:$K$105,9,FALSE))</f>
        <v/>
      </c>
      <c r="H2475" s="8">
        <f>IF($B2475="","",VLOOKUP($B2475,Jogos!$A$2:$K$105,11,FALSE))</f>
        <v/>
      </c>
      <c r="I2475" s="5">
        <f>IF(OR($A2475="", $B2475="", $E2475="", $F2475="", $G2475="", $H2475=""), "",IF(AND($E2475=$G2475, $F2475=$H2475), 3, IF(SIGN($E2475-$F2475)=SIGN($G2475-$H2475), 1, 0))))</f>
        <v/>
      </c>
    </row>
    <row r="2476">
      <c r="A2476" s="5" t="inlineStr"/>
      <c r="B2476" s="5" t="inlineStr"/>
      <c r="C2476" s="5">
        <f>IF($B2476="","",VLOOKUP($B2476,Jogos!$A$2:$K$105,8,FALSE))</f>
        <v/>
      </c>
      <c r="D2476" s="5">
        <f>IF($B2476="","",VLOOKUP($B2476,Jogos!$A$2:$K$105,10,FALSE))</f>
        <v/>
      </c>
      <c r="E2476" s="5" t="inlineStr"/>
      <c r="F2476" s="5" t="inlineStr"/>
      <c r="G2476" s="8">
        <f>IF($B2476="","",VLOOKUP($B2476,Jogos!$A$2:$K$105,9,FALSE))</f>
        <v/>
      </c>
      <c r="H2476" s="8">
        <f>IF($B2476="","",VLOOKUP($B2476,Jogos!$A$2:$K$105,11,FALSE))</f>
        <v/>
      </c>
      <c r="I2476" s="5">
        <f>IF(OR($A2476="", $B2476="", $E2476="", $F2476="", $G2476="", $H2476=""), "",IF(AND($E2476=$G2476, $F2476=$H2476), 3, IF(SIGN($E2476-$F2476)=SIGN($G2476-$H2476), 1, 0))))</f>
        <v/>
      </c>
    </row>
    <row r="2477">
      <c r="A2477" s="5" t="inlineStr"/>
      <c r="B2477" s="5" t="inlineStr"/>
      <c r="C2477" s="5">
        <f>IF($B2477="","",VLOOKUP($B2477,Jogos!$A$2:$K$105,8,FALSE))</f>
        <v/>
      </c>
      <c r="D2477" s="5">
        <f>IF($B2477="","",VLOOKUP($B2477,Jogos!$A$2:$K$105,10,FALSE))</f>
        <v/>
      </c>
      <c r="E2477" s="5" t="inlineStr"/>
      <c r="F2477" s="5" t="inlineStr"/>
      <c r="G2477" s="8">
        <f>IF($B2477="","",VLOOKUP($B2477,Jogos!$A$2:$K$105,9,FALSE))</f>
        <v/>
      </c>
      <c r="H2477" s="8">
        <f>IF($B2477="","",VLOOKUP($B2477,Jogos!$A$2:$K$105,11,FALSE))</f>
        <v/>
      </c>
      <c r="I2477" s="5">
        <f>IF(OR($A2477="", $B2477="", $E2477="", $F2477="", $G2477="", $H2477=""), "",IF(AND($E2477=$G2477, $F2477=$H2477), 3, IF(SIGN($E2477-$F2477)=SIGN($G2477-$H2477), 1, 0))))</f>
        <v/>
      </c>
    </row>
    <row r="2478">
      <c r="A2478" s="5" t="inlineStr"/>
      <c r="B2478" s="5" t="inlineStr"/>
      <c r="C2478" s="5">
        <f>IF($B2478="","",VLOOKUP($B2478,Jogos!$A$2:$K$105,8,FALSE))</f>
        <v/>
      </c>
      <c r="D2478" s="5">
        <f>IF($B2478="","",VLOOKUP($B2478,Jogos!$A$2:$K$105,10,FALSE))</f>
        <v/>
      </c>
      <c r="E2478" s="5" t="inlineStr"/>
      <c r="F2478" s="5" t="inlineStr"/>
      <c r="G2478" s="8">
        <f>IF($B2478="","",VLOOKUP($B2478,Jogos!$A$2:$K$105,9,FALSE))</f>
        <v/>
      </c>
      <c r="H2478" s="8">
        <f>IF($B2478="","",VLOOKUP($B2478,Jogos!$A$2:$K$105,11,FALSE))</f>
        <v/>
      </c>
      <c r="I2478" s="5">
        <f>IF(OR($A2478="", $B2478="", $E2478="", $F2478="", $G2478="", $H2478=""), "",IF(AND($E2478=$G2478, $F2478=$H2478), 3, IF(SIGN($E2478-$F2478)=SIGN($G2478-$H2478), 1, 0))))</f>
        <v/>
      </c>
    </row>
    <row r="2479">
      <c r="A2479" s="5" t="inlineStr"/>
      <c r="B2479" s="5" t="inlineStr"/>
      <c r="C2479" s="5">
        <f>IF($B2479="","",VLOOKUP($B2479,Jogos!$A$2:$K$105,8,FALSE))</f>
        <v/>
      </c>
      <c r="D2479" s="5">
        <f>IF($B2479="","",VLOOKUP($B2479,Jogos!$A$2:$K$105,10,FALSE))</f>
        <v/>
      </c>
      <c r="E2479" s="5" t="inlineStr"/>
      <c r="F2479" s="5" t="inlineStr"/>
      <c r="G2479" s="8">
        <f>IF($B2479="","",VLOOKUP($B2479,Jogos!$A$2:$K$105,9,FALSE))</f>
        <v/>
      </c>
      <c r="H2479" s="8">
        <f>IF($B2479="","",VLOOKUP($B2479,Jogos!$A$2:$K$105,11,FALSE))</f>
        <v/>
      </c>
      <c r="I2479" s="5">
        <f>IF(OR($A2479="", $B2479="", $E2479="", $F2479="", $G2479="", $H2479=""), "",IF(AND($E2479=$G2479, $F2479=$H2479), 3, IF(SIGN($E2479-$F2479)=SIGN($G2479-$H2479), 1, 0))))</f>
        <v/>
      </c>
    </row>
    <row r="2480">
      <c r="A2480" s="5" t="inlineStr"/>
      <c r="B2480" s="5" t="inlineStr"/>
      <c r="C2480" s="5">
        <f>IF($B2480="","",VLOOKUP($B2480,Jogos!$A$2:$K$105,8,FALSE))</f>
        <v/>
      </c>
      <c r="D2480" s="5">
        <f>IF($B2480="","",VLOOKUP($B2480,Jogos!$A$2:$K$105,10,FALSE))</f>
        <v/>
      </c>
      <c r="E2480" s="5" t="inlineStr"/>
      <c r="F2480" s="5" t="inlineStr"/>
      <c r="G2480" s="8">
        <f>IF($B2480="","",VLOOKUP($B2480,Jogos!$A$2:$K$105,9,FALSE))</f>
        <v/>
      </c>
      <c r="H2480" s="8">
        <f>IF($B2480="","",VLOOKUP($B2480,Jogos!$A$2:$K$105,11,FALSE))</f>
        <v/>
      </c>
      <c r="I2480" s="5">
        <f>IF(OR($A2480="", $B2480="", $E2480="", $F2480="", $G2480="", $H2480=""), "",IF(AND($E2480=$G2480, $F2480=$H2480), 3, IF(SIGN($E2480-$F2480)=SIGN($G2480-$H2480), 1, 0))))</f>
        <v/>
      </c>
    </row>
    <row r="2481">
      <c r="A2481" s="5" t="inlineStr"/>
      <c r="B2481" s="5" t="inlineStr"/>
      <c r="C2481" s="5">
        <f>IF($B2481="","",VLOOKUP($B2481,Jogos!$A$2:$K$105,8,FALSE))</f>
        <v/>
      </c>
      <c r="D2481" s="5">
        <f>IF($B2481="","",VLOOKUP($B2481,Jogos!$A$2:$K$105,10,FALSE))</f>
        <v/>
      </c>
      <c r="E2481" s="5" t="inlineStr"/>
      <c r="F2481" s="5" t="inlineStr"/>
      <c r="G2481" s="8">
        <f>IF($B2481="","",VLOOKUP($B2481,Jogos!$A$2:$K$105,9,FALSE))</f>
        <v/>
      </c>
      <c r="H2481" s="8">
        <f>IF($B2481="","",VLOOKUP($B2481,Jogos!$A$2:$K$105,11,FALSE))</f>
        <v/>
      </c>
      <c r="I2481" s="5">
        <f>IF(OR($A2481="", $B2481="", $E2481="", $F2481="", $G2481="", $H2481=""), "",IF(AND($E2481=$G2481, $F2481=$H2481), 3, IF(SIGN($E2481-$F2481)=SIGN($G2481-$H2481), 1, 0))))</f>
        <v/>
      </c>
    </row>
    <row r="2482">
      <c r="A2482" s="5" t="inlineStr"/>
      <c r="B2482" s="5" t="inlineStr"/>
      <c r="C2482" s="5">
        <f>IF($B2482="","",VLOOKUP($B2482,Jogos!$A$2:$K$105,8,FALSE))</f>
        <v/>
      </c>
      <c r="D2482" s="5">
        <f>IF($B2482="","",VLOOKUP($B2482,Jogos!$A$2:$K$105,10,FALSE))</f>
        <v/>
      </c>
      <c r="E2482" s="5" t="inlineStr"/>
      <c r="F2482" s="5" t="inlineStr"/>
      <c r="G2482" s="8">
        <f>IF($B2482="","",VLOOKUP($B2482,Jogos!$A$2:$K$105,9,FALSE))</f>
        <v/>
      </c>
      <c r="H2482" s="8">
        <f>IF($B2482="","",VLOOKUP($B2482,Jogos!$A$2:$K$105,11,FALSE))</f>
        <v/>
      </c>
      <c r="I2482" s="5">
        <f>IF(OR($A2482="", $B2482="", $E2482="", $F2482="", $G2482="", $H2482=""), "",IF(AND($E2482=$G2482, $F2482=$H2482), 3, IF(SIGN($E2482-$F2482)=SIGN($G2482-$H2482), 1, 0))))</f>
        <v/>
      </c>
    </row>
    <row r="2483">
      <c r="A2483" s="5" t="inlineStr"/>
      <c r="B2483" s="5" t="inlineStr"/>
      <c r="C2483" s="5">
        <f>IF($B2483="","",VLOOKUP($B2483,Jogos!$A$2:$K$105,8,FALSE))</f>
        <v/>
      </c>
      <c r="D2483" s="5">
        <f>IF($B2483="","",VLOOKUP($B2483,Jogos!$A$2:$K$105,10,FALSE))</f>
        <v/>
      </c>
      <c r="E2483" s="5" t="inlineStr"/>
      <c r="F2483" s="5" t="inlineStr"/>
      <c r="G2483" s="8">
        <f>IF($B2483="","",VLOOKUP($B2483,Jogos!$A$2:$K$105,9,FALSE))</f>
        <v/>
      </c>
      <c r="H2483" s="8">
        <f>IF($B2483="","",VLOOKUP($B2483,Jogos!$A$2:$K$105,11,FALSE))</f>
        <v/>
      </c>
      <c r="I2483" s="5">
        <f>IF(OR($A2483="", $B2483="", $E2483="", $F2483="", $G2483="", $H2483=""), "",IF(AND($E2483=$G2483, $F2483=$H2483), 3, IF(SIGN($E2483-$F2483)=SIGN($G2483-$H2483), 1, 0))))</f>
        <v/>
      </c>
    </row>
    <row r="2484">
      <c r="A2484" s="5" t="inlineStr"/>
      <c r="B2484" s="5" t="inlineStr"/>
      <c r="C2484" s="5">
        <f>IF($B2484="","",VLOOKUP($B2484,Jogos!$A$2:$K$105,8,FALSE))</f>
        <v/>
      </c>
      <c r="D2484" s="5">
        <f>IF($B2484="","",VLOOKUP($B2484,Jogos!$A$2:$K$105,10,FALSE))</f>
        <v/>
      </c>
      <c r="E2484" s="5" t="inlineStr"/>
      <c r="F2484" s="5" t="inlineStr"/>
      <c r="G2484" s="8">
        <f>IF($B2484="","",VLOOKUP($B2484,Jogos!$A$2:$K$105,9,FALSE))</f>
        <v/>
      </c>
      <c r="H2484" s="8">
        <f>IF($B2484="","",VLOOKUP($B2484,Jogos!$A$2:$K$105,11,FALSE))</f>
        <v/>
      </c>
      <c r="I2484" s="5">
        <f>IF(OR($A2484="", $B2484="", $E2484="", $F2484="", $G2484="", $H2484=""), "",IF(AND($E2484=$G2484, $F2484=$H2484), 3, IF(SIGN($E2484-$F2484)=SIGN($G2484-$H2484), 1, 0))))</f>
        <v/>
      </c>
    </row>
    <row r="2485">
      <c r="A2485" s="5" t="inlineStr"/>
      <c r="B2485" s="5" t="inlineStr"/>
      <c r="C2485" s="5">
        <f>IF($B2485="","",VLOOKUP($B2485,Jogos!$A$2:$K$105,8,FALSE))</f>
        <v/>
      </c>
      <c r="D2485" s="5">
        <f>IF($B2485="","",VLOOKUP($B2485,Jogos!$A$2:$K$105,10,FALSE))</f>
        <v/>
      </c>
      <c r="E2485" s="5" t="inlineStr"/>
      <c r="F2485" s="5" t="inlineStr"/>
      <c r="G2485" s="8">
        <f>IF($B2485="","",VLOOKUP($B2485,Jogos!$A$2:$K$105,9,FALSE))</f>
        <v/>
      </c>
      <c r="H2485" s="8">
        <f>IF($B2485="","",VLOOKUP($B2485,Jogos!$A$2:$K$105,11,FALSE))</f>
        <v/>
      </c>
      <c r="I2485" s="5">
        <f>IF(OR($A2485="", $B2485="", $E2485="", $F2485="", $G2485="", $H2485=""), "",IF(AND($E2485=$G2485, $F2485=$H2485), 3, IF(SIGN($E2485-$F2485)=SIGN($G2485-$H2485), 1, 0))))</f>
        <v/>
      </c>
    </row>
    <row r="2486">
      <c r="A2486" s="5" t="inlineStr"/>
      <c r="B2486" s="5" t="inlineStr"/>
      <c r="C2486" s="5">
        <f>IF($B2486="","",VLOOKUP($B2486,Jogos!$A$2:$K$105,8,FALSE))</f>
        <v/>
      </c>
      <c r="D2486" s="5">
        <f>IF($B2486="","",VLOOKUP($B2486,Jogos!$A$2:$K$105,10,FALSE))</f>
        <v/>
      </c>
      <c r="E2486" s="5" t="inlineStr"/>
      <c r="F2486" s="5" t="inlineStr"/>
      <c r="G2486" s="8">
        <f>IF($B2486="","",VLOOKUP($B2486,Jogos!$A$2:$K$105,9,FALSE))</f>
        <v/>
      </c>
      <c r="H2486" s="8">
        <f>IF($B2486="","",VLOOKUP($B2486,Jogos!$A$2:$K$105,11,FALSE))</f>
        <v/>
      </c>
      <c r="I2486" s="5">
        <f>IF(OR($A2486="", $B2486="", $E2486="", $F2486="", $G2486="", $H2486=""), "",IF(AND($E2486=$G2486, $F2486=$H2486), 3, IF(SIGN($E2486-$F2486)=SIGN($G2486-$H2486), 1, 0))))</f>
        <v/>
      </c>
    </row>
    <row r="2487">
      <c r="A2487" s="5" t="inlineStr"/>
      <c r="B2487" s="5" t="inlineStr"/>
      <c r="C2487" s="5">
        <f>IF($B2487="","",VLOOKUP($B2487,Jogos!$A$2:$K$105,8,FALSE))</f>
        <v/>
      </c>
      <c r="D2487" s="5">
        <f>IF($B2487="","",VLOOKUP($B2487,Jogos!$A$2:$K$105,10,FALSE))</f>
        <v/>
      </c>
      <c r="E2487" s="5" t="inlineStr"/>
      <c r="F2487" s="5" t="inlineStr"/>
      <c r="G2487" s="8">
        <f>IF($B2487="","",VLOOKUP($B2487,Jogos!$A$2:$K$105,9,FALSE))</f>
        <v/>
      </c>
      <c r="H2487" s="8">
        <f>IF($B2487="","",VLOOKUP($B2487,Jogos!$A$2:$K$105,11,FALSE))</f>
        <v/>
      </c>
      <c r="I2487" s="5">
        <f>IF(OR($A2487="", $B2487="", $E2487="", $F2487="", $G2487="", $H2487=""), "",IF(AND($E2487=$G2487, $F2487=$H2487), 3, IF(SIGN($E2487-$F2487)=SIGN($G2487-$H2487), 1, 0))))</f>
        <v/>
      </c>
    </row>
    <row r="2488">
      <c r="A2488" s="5" t="inlineStr"/>
      <c r="B2488" s="5" t="inlineStr"/>
      <c r="C2488" s="5">
        <f>IF($B2488="","",VLOOKUP($B2488,Jogos!$A$2:$K$105,8,FALSE))</f>
        <v/>
      </c>
      <c r="D2488" s="5">
        <f>IF($B2488="","",VLOOKUP($B2488,Jogos!$A$2:$K$105,10,FALSE))</f>
        <v/>
      </c>
      <c r="E2488" s="5" t="inlineStr"/>
      <c r="F2488" s="5" t="inlineStr"/>
      <c r="G2488" s="8">
        <f>IF($B2488="","",VLOOKUP($B2488,Jogos!$A$2:$K$105,9,FALSE))</f>
        <v/>
      </c>
      <c r="H2488" s="8">
        <f>IF($B2488="","",VLOOKUP($B2488,Jogos!$A$2:$K$105,11,FALSE))</f>
        <v/>
      </c>
      <c r="I2488" s="5">
        <f>IF(OR($A2488="", $B2488="", $E2488="", $F2488="", $G2488="", $H2488=""), "",IF(AND($E2488=$G2488, $F2488=$H2488), 3, IF(SIGN($E2488-$F2488)=SIGN($G2488-$H2488), 1, 0))))</f>
        <v/>
      </c>
    </row>
    <row r="2489">
      <c r="A2489" s="5" t="inlineStr"/>
      <c r="B2489" s="5" t="inlineStr"/>
      <c r="C2489" s="5">
        <f>IF($B2489="","",VLOOKUP($B2489,Jogos!$A$2:$K$105,8,FALSE))</f>
        <v/>
      </c>
      <c r="D2489" s="5">
        <f>IF($B2489="","",VLOOKUP($B2489,Jogos!$A$2:$K$105,10,FALSE))</f>
        <v/>
      </c>
      <c r="E2489" s="5" t="inlineStr"/>
      <c r="F2489" s="5" t="inlineStr"/>
      <c r="G2489" s="8">
        <f>IF($B2489="","",VLOOKUP($B2489,Jogos!$A$2:$K$105,9,FALSE))</f>
        <v/>
      </c>
      <c r="H2489" s="8">
        <f>IF($B2489="","",VLOOKUP($B2489,Jogos!$A$2:$K$105,11,FALSE))</f>
        <v/>
      </c>
      <c r="I2489" s="5">
        <f>IF(OR($A2489="", $B2489="", $E2489="", $F2489="", $G2489="", $H2489=""), "",IF(AND($E2489=$G2489, $F2489=$H2489), 3, IF(SIGN($E2489-$F2489)=SIGN($G2489-$H2489), 1, 0))))</f>
        <v/>
      </c>
    </row>
    <row r="2490">
      <c r="A2490" s="5" t="inlineStr"/>
      <c r="B2490" s="5" t="inlineStr"/>
      <c r="C2490" s="5">
        <f>IF($B2490="","",VLOOKUP($B2490,Jogos!$A$2:$K$105,8,FALSE))</f>
        <v/>
      </c>
      <c r="D2490" s="5">
        <f>IF($B2490="","",VLOOKUP($B2490,Jogos!$A$2:$K$105,10,FALSE))</f>
        <v/>
      </c>
      <c r="E2490" s="5" t="inlineStr"/>
      <c r="F2490" s="5" t="inlineStr"/>
      <c r="G2490" s="8">
        <f>IF($B2490="","",VLOOKUP($B2490,Jogos!$A$2:$K$105,9,FALSE))</f>
        <v/>
      </c>
      <c r="H2490" s="8">
        <f>IF($B2490="","",VLOOKUP($B2490,Jogos!$A$2:$K$105,11,FALSE))</f>
        <v/>
      </c>
      <c r="I2490" s="5">
        <f>IF(OR($A2490="", $B2490="", $E2490="", $F2490="", $G2490="", $H2490=""), "",IF(AND($E2490=$G2490, $F2490=$H2490), 3, IF(SIGN($E2490-$F2490)=SIGN($G2490-$H2490), 1, 0))))</f>
        <v/>
      </c>
    </row>
    <row r="2491">
      <c r="A2491" s="5" t="inlineStr"/>
      <c r="B2491" s="5" t="inlineStr"/>
      <c r="C2491" s="5">
        <f>IF($B2491="","",VLOOKUP($B2491,Jogos!$A$2:$K$105,8,FALSE))</f>
        <v/>
      </c>
      <c r="D2491" s="5">
        <f>IF($B2491="","",VLOOKUP($B2491,Jogos!$A$2:$K$105,10,FALSE))</f>
        <v/>
      </c>
      <c r="E2491" s="5" t="inlineStr"/>
      <c r="F2491" s="5" t="inlineStr"/>
      <c r="G2491" s="8">
        <f>IF($B2491="","",VLOOKUP($B2491,Jogos!$A$2:$K$105,9,FALSE))</f>
        <v/>
      </c>
      <c r="H2491" s="8">
        <f>IF($B2491="","",VLOOKUP($B2491,Jogos!$A$2:$K$105,11,FALSE))</f>
        <v/>
      </c>
      <c r="I2491" s="5">
        <f>IF(OR($A2491="", $B2491="", $E2491="", $F2491="", $G2491="", $H2491=""), "",IF(AND($E2491=$G2491, $F2491=$H2491), 3, IF(SIGN($E2491-$F2491)=SIGN($G2491-$H2491), 1, 0))))</f>
        <v/>
      </c>
    </row>
    <row r="2492">
      <c r="A2492" s="5" t="inlineStr"/>
      <c r="B2492" s="5" t="inlineStr"/>
      <c r="C2492" s="5">
        <f>IF($B2492="","",VLOOKUP($B2492,Jogos!$A$2:$K$105,8,FALSE))</f>
        <v/>
      </c>
      <c r="D2492" s="5">
        <f>IF($B2492="","",VLOOKUP($B2492,Jogos!$A$2:$K$105,10,FALSE))</f>
        <v/>
      </c>
      <c r="E2492" s="5" t="inlineStr"/>
      <c r="F2492" s="5" t="inlineStr"/>
      <c r="G2492" s="8">
        <f>IF($B2492="","",VLOOKUP($B2492,Jogos!$A$2:$K$105,9,FALSE))</f>
        <v/>
      </c>
      <c r="H2492" s="8">
        <f>IF($B2492="","",VLOOKUP($B2492,Jogos!$A$2:$K$105,11,FALSE))</f>
        <v/>
      </c>
      <c r="I2492" s="5">
        <f>IF(OR($A2492="", $B2492="", $E2492="", $F2492="", $G2492="", $H2492=""), "",IF(AND($E2492=$G2492, $F2492=$H2492), 3, IF(SIGN($E2492-$F2492)=SIGN($G2492-$H2492), 1, 0))))</f>
        <v/>
      </c>
    </row>
    <row r="2493">
      <c r="A2493" s="5" t="inlineStr"/>
      <c r="B2493" s="5" t="inlineStr"/>
      <c r="C2493" s="5">
        <f>IF($B2493="","",VLOOKUP($B2493,Jogos!$A$2:$K$105,8,FALSE))</f>
        <v/>
      </c>
      <c r="D2493" s="5">
        <f>IF($B2493="","",VLOOKUP($B2493,Jogos!$A$2:$K$105,10,FALSE))</f>
        <v/>
      </c>
      <c r="E2493" s="5" t="inlineStr"/>
      <c r="F2493" s="5" t="inlineStr"/>
      <c r="G2493" s="8">
        <f>IF($B2493="","",VLOOKUP($B2493,Jogos!$A$2:$K$105,9,FALSE))</f>
        <v/>
      </c>
      <c r="H2493" s="8">
        <f>IF($B2493="","",VLOOKUP($B2493,Jogos!$A$2:$K$105,11,FALSE))</f>
        <v/>
      </c>
      <c r="I2493" s="5">
        <f>IF(OR($A2493="", $B2493="", $E2493="", $F2493="", $G2493="", $H2493=""), "",IF(AND($E2493=$G2493, $F2493=$H2493), 3, IF(SIGN($E2493-$F2493)=SIGN($G2493-$H2493), 1, 0))))</f>
        <v/>
      </c>
    </row>
    <row r="2494">
      <c r="A2494" s="5" t="inlineStr"/>
      <c r="B2494" s="5" t="inlineStr"/>
      <c r="C2494" s="5">
        <f>IF($B2494="","",VLOOKUP($B2494,Jogos!$A$2:$K$105,8,FALSE))</f>
        <v/>
      </c>
      <c r="D2494" s="5">
        <f>IF($B2494="","",VLOOKUP($B2494,Jogos!$A$2:$K$105,10,FALSE))</f>
        <v/>
      </c>
      <c r="E2494" s="5" t="inlineStr"/>
      <c r="F2494" s="5" t="inlineStr"/>
      <c r="G2494" s="8">
        <f>IF($B2494="","",VLOOKUP($B2494,Jogos!$A$2:$K$105,9,FALSE))</f>
        <v/>
      </c>
      <c r="H2494" s="8">
        <f>IF($B2494="","",VLOOKUP($B2494,Jogos!$A$2:$K$105,11,FALSE))</f>
        <v/>
      </c>
      <c r="I2494" s="5">
        <f>IF(OR($A2494="", $B2494="", $E2494="", $F2494="", $G2494="", $H2494=""), "",IF(AND($E2494=$G2494, $F2494=$H2494), 3, IF(SIGN($E2494-$F2494)=SIGN($G2494-$H2494), 1, 0))))</f>
        <v/>
      </c>
    </row>
    <row r="2495">
      <c r="A2495" s="5" t="inlineStr"/>
      <c r="B2495" s="5" t="inlineStr"/>
      <c r="C2495" s="5">
        <f>IF($B2495="","",VLOOKUP($B2495,Jogos!$A$2:$K$105,8,FALSE))</f>
        <v/>
      </c>
      <c r="D2495" s="5">
        <f>IF($B2495="","",VLOOKUP($B2495,Jogos!$A$2:$K$105,10,FALSE))</f>
        <v/>
      </c>
      <c r="E2495" s="5" t="inlineStr"/>
      <c r="F2495" s="5" t="inlineStr"/>
      <c r="G2495" s="8">
        <f>IF($B2495="","",VLOOKUP($B2495,Jogos!$A$2:$K$105,9,FALSE))</f>
        <v/>
      </c>
      <c r="H2495" s="8">
        <f>IF($B2495="","",VLOOKUP($B2495,Jogos!$A$2:$K$105,11,FALSE))</f>
        <v/>
      </c>
      <c r="I2495" s="5">
        <f>IF(OR($A2495="", $B2495="", $E2495="", $F2495="", $G2495="", $H2495=""), "",IF(AND($E2495=$G2495, $F2495=$H2495), 3, IF(SIGN($E2495-$F2495)=SIGN($G2495-$H2495), 1, 0))))</f>
        <v/>
      </c>
    </row>
    <row r="2496">
      <c r="A2496" s="5" t="inlineStr"/>
      <c r="B2496" s="5" t="inlineStr"/>
      <c r="C2496" s="5">
        <f>IF($B2496="","",VLOOKUP($B2496,Jogos!$A$2:$K$105,8,FALSE))</f>
        <v/>
      </c>
      <c r="D2496" s="5">
        <f>IF($B2496="","",VLOOKUP($B2496,Jogos!$A$2:$K$105,10,FALSE))</f>
        <v/>
      </c>
      <c r="E2496" s="5" t="inlineStr"/>
      <c r="F2496" s="5" t="inlineStr"/>
      <c r="G2496" s="8">
        <f>IF($B2496="","",VLOOKUP($B2496,Jogos!$A$2:$K$105,9,FALSE))</f>
        <v/>
      </c>
      <c r="H2496" s="8">
        <f>IF($B2496="","",VLOOKUP($B2496,Jogos!$A$2:$K$105,11,FALSE))</f>
        <v/>
      </c>
      <c r="I2496" s="5">
        <f>IF(OR($A2496="", $B2496="", $E2496="", $F2496="", $G2496="", $H2496=""), "",IF(AND($E2496=$G2496, $F2496=$H2496), 3, IF(SIGN($E2496-$F2496)=SIGN($G2496-$H2496), 1, 0))))</f>
        <v/>
      </c>
    </row>
    <row r="2497">
      <c r="A2497" s="5" t="inlineStr"/>
      <c r="B2497" s="5" t="inlineStr"/>
      <c r="C2497" s="5">
        <f>IF($B2497="","",VLOOKUP($B2497,Jogos!$A$2:$K$105,8,FALSE))</f>
        <v/>
      </c>
      <c r="D2497" s="5">
        <f>IF($B2497="","",VLOOKUP($B2497,Jogos!$A$2:$K$105,10,FALSE))</f>
        <v/>
      </c>
      <c r="E2497" s="5" t="inlineStr"/>
      <c r="F2497" s="5" t="inlineStr"/>
      <c r="G2497" s="8">
        <f>IF($B2497="","",VLOOKUP($B2497,Jogos!$A$2:$K$105,9,FALSE))</f>
        <v/>
      </c>
      <c r="H2497" s="8">
        <f>IF($B2497="","",VLOOKUP($B2497,Jogos!$A$2:$K$105,11,FALSE))</f>
        <v/>
      </c>
      <c r="I2497" s="5">
        <f>IF(OR($A2497="", $B2497="", $E2497="", $F2497="", $G2497="", $H2497=""), "",IF(AND($E2497=$G2497, $F2497=$H2497), 3, IF(SIGN($E2497-$F2497)=SIGN($G2497-$H2497), 1, 0))))</f>
        <v/>
      </c>
    </row>
    <row r="2498">
      <c r="A2498" s="5" t="inlineStr"/>
      <c r="B2498" s="5" t="inlineStr"/>
      <c r="C2498" s="5">
        <f>IF($B2498="","",VLOOKUP($B2498,Jogos!$A$2:$K$105,8,FALSE))</f>
        <v/>
      </c>
      <c r="D2498" s="5">
        <f>IF($B2498="","",VLOOKUP($B2498,Jogos!$A$2:$K$105,10,FALSE))</f>
        <v/>
      </c>
      <c r="E2498" s="5" t="inlineStr"/>
      <c r="F2498" s="5" t="inlineStr"/>
      <c r="G2498" s="8">
        <f>IF($B2498="","",VLOOKUP($B2498,Jogos!$A$2:$K$105,9,FALSE))</f>
        <v/>
      </c>
      <c r="H2498" s="8">
        <f>IF($B2498="","",VLOOKUP($B2498,Jogos!$A$2:$K$105,11,FALSE))</f>
        <v/>
      </c>
      <c r="I2498" s="5">
        <f>IF(OR($A2498="", $B2498="", $E2498="", $F2498="", $G2498="", $H2498=""), "",IF(AND($E2498=$G2498, $F2498=$H2498), 3, IF(SIGN($E2498-$F2498)=SIGN($G2498-$H2498), 1, 0))))</f>
        <v/>
      </c>
    </row>
    <row r="2499">
      <c r="A2499" s="5" t="inlineStr"/>
      <c r="B2499" s="5" t="inlineStr"/>
      <c r="C2499" s="5">
        <f>IF($B2499="","",VLOOKUP($B2499,Jogos!$A$2:$K$105,8,FALSE))</f>
        <v/>
      </c>
      <c r="D2499" s="5">
        <f>IF($B2499="","",VLOOKUP($B2499,Jogos!$A$2:$K$105,10,FALSE))</f>
        <v/>
      </c>
      <c r="E2499" s="5" t="inlineStr"/>
      <c r="F2499" s="5" t="inlineStr"/>
      <c r="G2499" s="8">
        <f>IF($B2499="","",VLOOKUP($B2499,Jogos!$A$2:$K$105,9,FALSE))</f>
        <v/>
      </c>
      <c r="H2499" s="8">
        <f>IF($B2499="","",VLOOKUP($B2499,Jogos!$A$2:$K$105,11,FALSE))</f>
        <v/>
      </c>
      <c r="I2499" s="5">
        <f>IF(OR($A2499="", $B2499="", $E2499="", $F2499="", $G2499="", $H2499=""), "",IF(AND($E2499=$G2499, $F2499=$H2499), 3, IF(SIGN($E2499-$F2499)=SIGN($G2499-$H2499), 1, 0))))</f>
        <v/>
      </c>
    </row>
    <row r="2500">
      <c r="A2500" s="5" t="inlineStr"/>
      <c r="B2500" s="5" t="inlineStr"/>
      <c r="C2500" s="5">
        <f>IF($B2500="","",VLOOKUP($B2500,Jogos!$A$2:$K$105,8,FALSE))</f>
        <v/>
      </c>
      <c r="D2500" s="5">
        <f>IF($B2500="","",VLOOKUP($B2500,Jogos!$A$2:$K$105,10,FALSE))</f>
        <v/>
      </c>
      <c r="E2500" s="5" t="inlineStr"/>
      <c r="F2500" s="5" t="inlineStr"/>
      <c r="G2500" s="8">
        <f>IF($B2500="","",VLOOKUP($B2500,Jogos!$A$2:$K$105,9,FALSE))</f>
        <v/>
      </c>
      <c r="H2500" s="8">
        <f>IF($B2500="","",VLOOKUP($B2500,Jogos!$A$2:$K$105,11,FALSE))</f>
        <v/>
      </c>
      <c r="I2500" s="5">
        <f>IF(OR($A2500="", $B2500="", $E2500="", $F2500="", $G2500="", $H2500=""), "",IF(AND($E2500=$G2500, $F2500=$H2500), 3, IF(SIGN($E2500-$F2500)=SIGN($G2500-$H2500), 1, 0))))</f>
        <v/>
      </c>
    </row>
    <row r="2501">
      <c r="A2501" s="5" t="inlineStr"/>
      <c r="B2501" s="5" t="inlineStr"/>
      <c r="C2501" s="5">
        <f>IF($B2501="","",VLOOKUP($B2501,Jogos!$A$2:$K$105,8,FALSE))</f>
        <v/>
      </c>
      <c r="D2501" s="5">
        <f>IF($B2501="","",VLOOKUP($B2501,Jogos!$A$2:$K$105,10,FALSE))</f>
        <v/>
      </c>
      <c r="E2501" s="5" t="inlineStr"/>
      <c r="F2501" s="5" t="inlineStr"/>
      <c r="G2501" s="8">
        <f>IF($B2501="","",VLOOKUP($B2501,Jogos!$A$2:$K$105,9,FALSE))</f>
        <v/>
      </c>
      <c r="H2501" s="8">
        <f>IF($B2501="","",VLOOKUP($B2501,Jogos!$A$2:$K$105,11,FALSE))</f>
        <v/>
      </c>
      <c r="I2501" s="5">
        <f>IF(OR($A2501="", $B2501="", $E2501="", $F2501="", $G2501="", $H2501=""), "",IF(AND($E2501=$G2501, $F2501=$H2501), 3, IF(SIGN($E2501-$F2501)=SIGN($G2501-$H2501), 1, 0))))</f>
        <v/>
      </c>
    </row>
  </sheetData>
  <autoFilter ref="A1:I2501"/>
  <conditionalFormatting sqref="I2:I2501">
    <cfRule type="cellIs" priority="1" operator="equal" dxfId="0">
      <formula>3</formula>
    </cfRule>
    <cfRule type="cellIs" priority="2" operator="equal" dxfId="1">
      <formula>1</formula>
    </cfRule>
    <cfRule type="cellIs" priority="3" operator="equal" dxfId="2">
      <formula>0</formula>
    </cfRule>
  </conditionalFormatting>
  <dataValidations count="3">
    <dataValidation sqref="A2:A2501" showDropDown="0" showInputMessage="0" showErrorMessage="0" allowBlank="1" type="list">
      <formula1>Participantes!$B$2:$B$101</formula1>
    </dataValidation>
    <dataValidation sqref="B2:B2501" showDropDown="0" showInputMessage="0" showErrorMessage="0" allowBlank="1" type="list">
      <formula1>Jogos!$A$2:$A$105</formula1>
    </dataValidation>
    <dataValidation sqref="E2:E2501 F2:F2501 I2:I105 K2:K105" showDropDown="0" showInputMessage="0" showErrorMessage="0" allowBlank="1" type="whole" operator="between">
      <formula1>0</formula1>
      <formula2>20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22" customWidth="1" min="4" max="4"/>
    <col width="14" customWidth="1" min="5" max="5"/>
    <col width="12" customWidth="1" min="6" max="6"/>
    <col width="65" customWidth="1" min="8" max="8"/>
  </cols>
  <sheetData>
    <row r="1">
      <c r="A1" s="4" t="inlineStr">
        <is>
          <t>Participante</t>
        </is>
      </c>
      <c r="B1" s="4" t="inlineStr">
        <is>
          <t>Pontos Totais</t>
        </is>
      </c>
      <c r="C1" s="4" t="inlineStr">
        <is>
          <t>Acertos Exatos (3)</t>
        </is>
      </c>
      <c r="D1" s="4" t="inlineStr">
        <is>
          <t>Resultados Corretos (&gt;=1)</t>
        </is>
      </c>
      <c r="E1" s="4" t="inlineStr">
        <is>
          <t>Palpites Feitos</t>
        </is>
      </c>
      <c r="F1" s="4" t="inlineStr">
        <is>
          <t>Média</t>
        </is>
      </c>
      <c r="G1" s="9" t="n"/>
      <c r="H1" s="9" t="n"/>
    </row>
    <row r="2">
      <c r="A2" s="5">
        <f>IF(Participantes!B2="","",Participantes!B2)</f>
        <v/>
      </c>
      <c r="B2" s="5">
        <f>IF($A2="","",SUMIF(Palpites!$A:$A,$A2,Palpites!$I:$I))</f>
        <v/>
      </c>
      <c r="C2" s="5">
        <f>IF($A2="","",COUNTIFS(Palpites!$A:$A,$A2,Palpites!$I:$I,3))</f>
        <v/>
      </c>
      <c r="D2" s="5">
        <f>IF($A2="","",COUNTIFS(Palpites!$A:$A,$A2,Palpites!$I:$I,"&gt;=1"))</f>
        <v/>
      </c>
      <c r="E2" s="5">
        <f>IF($A2="","",COUNTIF(Palpites!$A:$A,$A2))</f>
        <v/>
      </c>
      <c r="F2" s="5">
        <f>IF(OR($A2="", $E2=0), "", $B2/$E2)</f>
        <v/>
      </c>
      <c r="G2" s="8" t="n"/>
      <c r="H2" s="10" t="inlineStr">
        <is>
          <t>Dica: ordene por Pontos Totais (desc) para ver o ranking.</t>
        </is>
      </c>
    </row>
    <row r="3">
      <c r="A3" s="5">
        <f>IF(Participantes!B3="","",Participantes!B3)</f>
        <v/>
      </c>
      <c r="B3" s="5">
        <f>IF($A3="","",SUMIF(Palpites!$A:$A,$A3,Palpites!$I:$I))</f>
        <v/>
      </c>
      <c r="C3" s="5">
        <f>IF($A3="","",COUNTIFS(Palpites!$A:$A,$A3,Palpites!$I:$I,3))</f>
        <v/>
      </c>
      <c r="D3" s="5">
        <f>IF($A3="","",COUNTIFS(Palpites!$A:$A,$A3,Palpites!$I:$I,"&gt;=1"))</f>
        <v/>
      </c>
      <c r="E3" s="5">
        <f>IF($A3="","",COUNTIF(Palpites!$A:$A,$A3))</f>
        <v/>
      </c>
      <c r="F3" s="5">
        <f>IF(OR($A3="", $E3=0), "", $B3/$E3)</f>
        <v/>
      </c>
      <c r="G3" s="8" t="n"/>
      <c r="H3" s="8" t="n"/>
    </row>
    <row r="4">
      <c r="A4" s="5">
        <f>IF(Participantes!B4="","",Participantes!B4)</f>
        <v/>
      </c>
      <c r="B4" s="5">
        <f>IF($A4="","",SUMIF(Palpites!$A:$A,$A4,Palpites!$I:$I))</f>
        <v/>
      </c>
      <c r="C4" s="5">
        <f>IF($A4="","",COUNTIFS(Palpites!$A:$A,$A4,Palpites!$I:$I,3))</f>
        <v/>
      </c>
      <c r="D4" s="5">
        <f>IF($A4="","",COUNTIFS(Palpites!$A:$A,$A4,Palpites!$I:$I,"&gt;=1"))</f>
        <v/>
      </c>
      <c r="E4" s="5">
        <f>IF($A4="","",COUNTIF(Palpites!$A:$A,$A4))</f>
        <v/>
      </c>
      <c r="F4" s="5">
        <f>IF(OR($A4="", $E4=0), "", $B4/$E4)</f>
        <v/>
      </c>
      <c r="G4" s="8" t="n"/>
      <c r="H4" s="8" t="n"/>
    </row>
    <row r="5">
      <c r="A5" s="5">
        <f>IF(Participantes!B5="","",Participantes!B5)</f>
        <v/>
      </c>
      <c r="B5" s="5">
        <f>IF($A5="","",SUMIF(Palpites!$A:$A,$A5,Palpites!$I:$I))</f>
        <v/>
      </c>
      <c r="C5" s="5">
        <f>IF($A5="","",COUNTIFS(Palpites!$A:$A,$A5,Palpites!$I:$I,3))</f>
        <v/>
      </c>
      <c r="D5" s="5">
        <f>IF($A5="","",COUNTIFS(Palpites!$A:$A,$A5,Palpites!$I:$I,"&gt;=1"))</f>
        <v/>
      </c>
      <c r="E5" s="5">
        <f>IF($A5="","",COUNTIF(Palpites!$A:$A,$A5))</f>
        <v/>
      </c>
      <c r="F5" s="5">
        <f>IF(OR($A5="", $E5=0), "", $B5/$E5)</f>
        <v/>
      </c>
      <c r="G5" s="8" t="n"/>
      <c r="H5" s="8" t="n"/>
    </row>
    <row r="6">
      <c r="A6" s="5">
        <f>IF(Participantes!B6="","",Participantes!B6)</f>
        <v/>
      </c>
      <c r="B6" s="5">
        <f>IF($A6="","",SUMIF(Palpites!$A:$A,$A6,Palpites!$I:$I))</f>
        <v/>
      </c>
      <c r="C6" s="5">
        <f>IF($A6="","",COUNTIFS(Palpites!$A:$A,$A6,Palpites!$I:$I,3))</f>
        <v/>
      </c>
      <c r="D6" s="5">
        <f>IF($A6="","",COUNTIFS(Palpites!$A:$A,$A6,Palpites!$I:$I,"&gt;=1"))</f>
        <v/>
      </c>
      <c r="E6" s="5">
        <f>IF($A6="","",COUNTIF(Palpites!$A:$A,$A6))</f>
        <v/>
      </c>
      <c r="F6" s="5">
        <f>IF(OR($A6="", $E6=0), "", $B6/$E6)</f>
        <v/>
      </c>
      <c r="G6" s="8" t="n"/>
      <c r="H6" s="8" t="n"/>
    </row>
    <row r="7">
      <c r="A7" s="5">
        <f>IF(Participantes!B7="","",Participantes!B7)</f>
        <v/>
      </c>
      <c r="B7" s="5">
        <f>IF($A7="","",SUMIF(Palpites!$A:$A,$A7,Palpites!$I:$I))</f>
        <v/>
      </c>
      <c r="C7" s="5">
        <f>IF($A7="","",COUNTIFS(Palpites!$A:$A,$A7,Palpites!$I:$I,3))</f>
        <v/>
      </c>
      <c r="D7" s="5">
        <f>IF($A7="","",COUNTIFS(Palpites!$A:$A,$A7,Palpites!$I:$I,"&gt;=1"))</f>
        <v/>
      </c>
      <c r="E7" s="5">
        <f>IF($A7="","",COUNTIF(Palpites!$A:$A,$A7))</f>
        <v/>
      </c>
      <c r="F7" s="5">
        <f>IF(OR($A7="", $E7=0), "", $B7/$E7)</f>
        <v/>
      </c>
      <c r="G7" s="8" t="n"/>
      <c r="H7" s="8" t="n"/>
    </row>
    <row r="8">
      <c r="A8" s="5">
        <f>IF(Participantes!B8="","",Participantes!B8)</f>
        <v/>
      </c>
      <c r="B8" s="5">
        <f>IF($A8="","",SUMIF(Palpites!$A:$A,$A8,Palpites!$I:$I))</f>
        <v/>
      </c>
      <c r="C8" s="5">
        <f>IF($A8="","",COUNTIFS(Palpites!$A:$A,$A8,Palpites!$I:$I,3))</f>
        <v/>
      </c>
      <c r="D8" s="5">
        <f>IF($A8="","",COUNTIFS(Palpites!$A:$A,$A8,Palpites!$I:$I,"&gt;=1"))</f>
        <v/>
      </c>
      <c r="E8" s="5">
        <f>IF($A8="","",COUNTIF(Palpites!$A:$A,$A8))</f>
        <v/>
      </c>
      <c r="F8" s="5">
        <f>IF(OR($A8="", $E8=0), "", $B8/$E8)</f>
        <v/>
      </c>
      <c r="G8" s="8" t="n"/>
      <c r="H8" s="8" t="n"/>
    </row>
    <row r="9">
      <c r="A9" s="5">
        <f>IF(Participantes!B9="","",Participantes!B9)</f>
        <v/>
      </c>
      <c r="B9" s="5">
        <f>IF($A9="","",SUMIF(Palpites!$A:$A,$A9,Palpites!$I:$I))</f>
        <v/>
      </c>
      <c r="C9" s="5">
        <f>IF($A9="","",COUNTIFS(Palpites!$A:$A,$A9,Palpites!$I:$I,3))</f>
        <v/>
      </c>
      <c r="D9" s="5">
        <f>IF($A9="","",COUNTIFS(Palpites!$A:$A,$A9,Palpites!$I:$I,"&gt;=1"))</f>
        <v/>
      </c>
      <c r="E9" s="5">
        <f>IF($A9="","",COUNTIF(Palpites!$A:$A,$A9))</f>
        <v/>
      </c>
      <c r="F9" s="5">
        <f>IF(OR($A9="", $E9=0), "", $B9/$E9)</f>
        <v/>
      </c>
      <c r="G9" s="8" t="n"/>
      <c r="H9" s="8" t="n"/>
    </row>
    <row r="10">
      <c r="A10" s="5">
        <f>IF(Participantes!B10="","",Participantes!B10)</f>
        <v/>
      </c>
      <c r="B10" s="5">
        <f>IF($A10="","",SUMIF(Palpites!$A:$A,$A10,Palpites!$I:$I))</f>
        <v/>
      </c>
      <c r="C10" s="5">
        <f>IF($A10="","",COUNTIFS(Palpites!$A:$A,$A10,Palpites!$I:$I,3))</f>
        <v/>
      </c>
      <c r="D10" s="5">
        <f>IF($A10="","",COUNTIFS(Palpites!$A:$A,$A10,Palpites!$I:$I,"&gt;=1"))</f>
        <v/>
      </c>
      <c r="E10" s="5">
        <f>IF($A10="","",COUNTIF(Palpites!$A:$A,$A10))</f>
        <v/>
      </c>
      <c r="F10" s="5">
        <f>IF(OR($A10="", $E10=0), "", $B10/$E10)</f>
        <v/>
      </c>
      <c r="G10" s="8" t="n"/>
      <c r="H10" s="8" t="n"/>
    </row>
    <row r="11">
      <c r="A11" s="5">
        <f>IF(Participantes!B11="","",Participantes!B11)</f>
        <v/>
      </c>
      <c r="B11" s="5">
        <f>IF($A11="","",SUMIF(Palpites!$A:$A,$A11,Palpites!$I:$I))</f>
        <v/>
      </c>
      <c r="C11" s="5">
        <f>IF($A11="","",COUNTIFS(Palpites!$A:$A,$A11,Palpites!$I:$I,3))</f>
        <v/>
      </c>
      <c r="D11" s="5">
        <f>IF($A11="","",COUNTIFS(Palpites!$A:$A,$A11,Palpites!$I:$I,"&gt;=1"))</f>
        <v/>
      </c>
      <c r="E11" s="5">
        <f>IF($A11="","",COUNTIF(Palpites!$A:$A,$A11))</f>
        <v/>
      </c>
      <c r="F11" s="5">
        <f>IF(OR($A11="", $E11=0), "", $B11/$E11)</f>
        <v/>
      </c>
      <c r="G11" s="8" t="n"/>
      <c r="H11" s="8" t="n"/>
    </row>
    <row r="12">
      <c r="A12" s="5">
        <f>IF(Participantes!B12="","",Participantes!B12)</f>
        <v/>
      </c>
      <c r="B12" s="5">
        <f>IF($A12="","",SUMIF(Palpites!$A:$A,$A12,Palpites!$I:$I))</f>
        <v/>
      </c>
      <c r="C12" s="5">
        <f>IF($A12="","",COUNTIFS(Palpites!$A:$A,$A12,Palpites!$I:$I,3))</f>
        <v/>
      </c>
      <c r="D12" s="5">
        <f>IF($A12="","",COUNTIFS(Palpites!$A:$A,$A12,Palpites!$I:$I,"&gt;=1"))</f>
        <v/>
      </c>
      <c r="E12" s="5">
        <f>IF($A12="","",COUNTIF(Palpites!$A:$A,$A12))</f>
        <v/>
      </c>
      <c r="F12" s="5">
        <f>IF(OR($A12="", $E12=0), "", $B12/$E12)</f>
        <v/>
      </c>
      <c r="G12" s="8" t="n"/>
      <c r="H12" s="8" t="n"/>
    </row>
    <row r="13">
      <c r="A13" s="5">
        <f>IF(Participantes!B13="","",Participantes!B13)</f>
        <v/>
      </c>
      <c r="B13" s="5">
        <f>IF($A13="","",SUMIF(Palpites!$A:$A,$A13,Palpites!$I:$I))</f>
        <v/>
      </c>
      <c r="C13" s="5">
        <f>IF($A13="","",COUNTIFS(Palpites!$A:$A,$A13,Palpites!$I:$I,3))</f>
        <v/>
      </c>
      <c r="D13" s="5">
        <f>IF($A13="","",COUNTIFS(Palpites!$A:$A,$A13,Palpites!$I:$I,"&gt;=1"))</f>
        <v/>
      </c>
      <c r="E13" s="5">
        <f>IF($A13="","",COUNTIF(Palpites!$A:$A,$A13))</f>
        <v/>
      </c>
      <c r="F13" s="5">
        <f>IF(OR($A13="", $E13=0), "", $B13/$E13)</f>
        <v/>
      </c>
      <c r="G13" s="8" t="n"/>
      <c r="H13" s="8" t="n"/>
    </row>
    <row r="14">
      <c r="A14" s="5">
        <f>IF(Participantes!B14="","",Participantes!B14)</f>
        <v/>
      </c>
      <c r="B14" s="5">
        <f>IF($A14="","",SUMIF(Palpites!$A:$A,$A14,Palpites!$I:$I))</f>
        <v/>
      </c>
      <c r="C14" s="5">
        <f>IF($A14="","",COUNTIFS(Palpites!$A:$A,$A14,Palpites!$I:$I,3))</f>
        <v/>
      </c>
      <c r="D14" s="5">
        <f>IF($A14="","",COUNTIFS(Palpites!$A:$A,$A14,Palpites!$I:$I,"&gt;=1"))</f>
        <v/>
      </c>
      <c r="E14" s="5">
        <f>IF($A14="","",COUNTIF(Palpites!$A:$A,$A14))</f>
        <v/>
      </c>
      <c r="F14" s="5">
        <f>IF(OR($A14="", $E14=0), "", $B14/$E14)</f>
        <v/>
      </c>
      <c r="G14" s="8" t="n"/>
      <c r="H14" s="8" t="n"/>
    </row>
    <row r="15">
      <c r="A15" s="5">
        <f>IF(Participantes!B15="","",Participantes!B15)</f>
        <v/>
      </c>
      <c r="B15" s="5">
        <f>IF($A15="","",SUMIF(Palpites!$A:$A,$A15,Palpites!$I:$I))</f>
        <v/>
      </c>
      <c r="C15" s="5">
        <f>IF($A15="","",COUNTIFS(Palpites!$A:$A,$A15,Palpites!$I:$I,3))</f>
        <v/>
      </c>
      <c r="D15" s="5">
        <f>IF($A15="","",COUNTIFS(Palpites!$A:$A,$A15,Palpites!$I:$I,"&gt;=1"))</f>
        <v/>
      </c>
      <c r="E15" s="5">
        <f>IF($A15="","",COUNTIF(Palpites!$A:$A,$A15))</f>
        <v/>
      </c>
      <c r="F15" s="5">
        <f>IF(OR($A15="", $E15=0), "", $B15/$E15)</f>
        <v/>
      </c>
      <c r="G15" s="8" t="n"/>
      <c r="H15" s="8" t="n"/>
    </row>
    <row r="16">
      <c r="A16" s="5">
        <f>IF(Participantes!B16="","",Participantes!B16)</f>
        <v/>
      </c>
      <c r="B16" s="5">
        <f>IF($A16="","",SUMIF(Palpites!$A:$A,$A16,Palpites!$I:$I))</f>
        <v/>
      </c>
      <c r="C16" s="5">
        <f>IF($A16="","",COUNTIFS(Palpites!$A:$A,$A16,Palpites!$I:$I,3))</f>
        <v/>
      </c>
      <c r="D16" s="5">
        <f>IF($A16="","",COUNTIFS(Palpites!$A:$A,$A16,Palpites!$I:$I,"&gt;=1"))</f>
        <v/>
      </c>
      <c r="E16" s="5">
        <f>IF($A16="","",COUNTIF(Palpites!$A:$A,$A16))</f>
        <v/>
      </c>
      <c r="F16" s="5">
        <f>IF(OR($A16="", $E16=0), "", $B16/$E16)</f>
        <v/>
      </c>
      <c r="G16" s="8" t="n"/>
      <c r="H16" s="8" t="n"/>
    </row>
    <row r="17">
      <c r="A17" s="5">
        <f>IF(Participantes!B17="","",Participantes!B17)</f>
        <v/>
      </c>
      <c r="B17" s="5">
        <f>IF($A17="","",SUMIF(Palpites!$A:$A,$A17,Palpites!$I:$I))</f>
        <v/>
      </c>
      <c r="C17" s="5">
        <f>IF($A17="","",COUNTIFS(Palpites!$A:$A,$A17,Palpites!$I:$I,3))</f>
        <v/>
      </c>
      <c r="D17" s="5">
        <f>IF($A17="","",COUNTIFS(Palpites!$A:$A,$A17,Palpites!$I:$I,"&gt;=1"))</f>
        <v/>
      </c>
      <c r="E17" s="5">
        <f>IF($A17="","",COUNTIF(Palpites!$A:$A,$A17))</f>
        <v/>
      </c>
      <c r="F17" s="5">
        <f>IF(OR($A17="", $E17=0), "", $B17/$E17)</f>
        <v/>
      </c>
      <c r="G17" s="8" t="n"/>
      <c r="H17" s="8" t="n"/>
    </row>
    <row r="18">
      <c r="A18" s="5">
        <f>IF(Participantes!B18="","",Participantes!B18)</f>
        <v/>
      </c>
      <c r="B18" s="5">
        <f>IF($A18="","",SUMIF(Palpites!$A:$A,$A18,Palpites!$I:$I))</f>
        <v/>
      </c>
      <c r="C18" s="5">
        <f>IF($A18="","",COUNTIFS(Palpites!$A:$A,$A18,Palpites!$I:$I,3))</f>
        <v/>
      </c>
      <c r="D18" s="5">
        <f>IF($A18="","",COUNTIFS(Palpites!$A:$A,$A18,Palpites!$I:$I,"&gt;=1"))</f>
        <v/>
      </c>
      <c r="E18" s="5">
        <f>IF($A18="","",COUNTIF(Palpites!$A:$A,$A18))</f>
        <v/>
      </c>
      <c r="F18" s="5">
        <f>IF(OR($A18="", $E18=0), "", $B18/$E18)</f>
        <v/>
      </c>
      <c r="G18" s="8" t="n"/>
      <c r="H18" s="8" t="n"/>
    </row>
    <row r="19">
      <c r="A19" s="5">
        <f>IF(Participantes!B19="","",Participantes!B19)</f>
        <v/>
      </c>
      <c r="B19" s="5">
        <f>IF($A19="","",SUMIF(Palpites!$A:$A,$A19,Palpites!$I:$I))</f>
        <v/>
      </c>
      <c r="C19" s="5">
        <f>IF($A19="","",COUNTIFS(Palpites!$A:$A,$A19,Palpites!$I:$I,3))</f>
        <v/>
      </c>
      <c r="D19" s="5">
        <f>IF($A19="","",COUNTIFS(Palpites!$A:$A,$A19,Palpites!$I:$I,"&gt;=1"))</f>
        <v/>
      </c>
      <c r="E19" s="5">
        <f>IF($A19="","",COUNTIF(Palpites!$A:$A,$A19))</f>
        <v/>
      </c>
      <c r="F19" s="5">
        <f>IF(OR($A19="", $E19=0), "", $B19/$E19)</f>
        <v/>
      </c>
      <c r="G19" s="8" t="n"/>
      <c r="H19" s="8" t="n"/>
    </row>
    <row r="20">
      <c r="A20" s="5">
        <f>IF(Participantes!B20="","",Participantes!B20)</f>
        <v/>
      </c>
      <c r="B20" s="5">
        <f>IF($A20="","",SUMIF(Palpites!$A:$A,$A20,Palpites!$I:$I))</f>
        <v/>
      </c>
      <c r="C20" s="5">
        <f>IF($A20="","",COUNTIFS(Palpites!$A:$A,$A20,Palpites!$I:$I,3))</f>
        <v/>
      </c>
      <c r="D20" s="5">
        <f>IF($A20="","",COUNTIFS(Palpites!$A:$A,$A20,Palpites!$I:$I,"&gt;=1"))</f>
        <v/>
      </c>
      <c r="E20" s="5">
        <f>IF($A20="","",COUNTIF(Palpites!$A:$A,$A20))</f>
        <v/>
      </c>
      <c r="F20" s="5">
        <f>IF(OR($A20="", $E20=0), "", $B20/$E20)</f>
        <v/>
      </c>
      <c r="G20" s="8" t="n"/>
      <c r="H20" s="8" t="n"/>
    </row>
    <row r="21">
      <c r="A21" s="5">
        <f>IF(Participantes!B21="","",Participantes!B21)</f>
        <v/>
      </c>
      <c r="B21" s="5">
        <f>IF($A21="","",SUMIF(Palpites!$A:$A,$A21,Palpites!$I:$I))</f>
        <v/>
      </c>
      <c r="C21" s="5">
        <f>IF($A21="","",COUNTIFS(Palpites!$A:$A,$A21,Palpites!$I:$I,3))</f>
        <v/>
      </c>
      <c r="D21" s="5">
        <f>IF($A21="","",COUNTIFS(Palpites!$A:$A,$A21,Palpites!$I:$I,"&gt;=1"))</f>
        <v/>
      </c>
      <c r="E21" s="5">
        <f>IF($A21="","",COUNTIF(Palpites!$A:$A,$A21))</f>
        <v/>
      </c>
      <c r="F21" s="5">
        <f>IF(OR($A21="", $E21=0), "", $B21/$E21)</f>
        <v/>
      </c>
      <c r="G21" s="8" t="n"/>
      <c r="H21" s="8" t="n"/>
    </row>
    <row r="22">
      <c r="A22" s="5">
        <f>IF(Participantes!B22="","",Participantes!B22)</f>
        <v/>
      </c>
      <c r="B22" s="5">
        <f>IF($A22="","",SUMIF(Palpites!$A:$A,$A22,Palpites!$I:$I))</f>
        <v/>
      </c>
      <c r="C22" s="5">
        <f>IF($A22="","",COUNTIFS(Palpites!$A:$A,$A22,Palpites!$I:$I,3))</f>
        <v/>
      </c>
      <c r="D22" s="5">
        <f>IF($A22="","",COUNTIFS(Palpites!$A:$A,$A22,Palpites!$I:$I,"&gt;=1"))</f>
        <v/>
      </c>
      <c r="E22" s="5">
        <f>IF($A22="","",COUNTIF(Palpites!$A:$A,$A22))</f>
        <v/>
      </c>
      <c r="F22" s="5">
        <f>IF(OR($A22="", $E22=0), "", $B22/$E22)</f>
        <v/>
      </c>
      <c r="G22" s="8" t="n"/>
      <c r="H22" s="8" t="n"/>
    </row>
    <row r="23">
      <c r="A23" s="5">
        <f>IF(Participantes!B23="","",Participantes!B23)</f>
        <v/>
      </c>
      <c r="B23" s="5">
        <f>IF($A23="","",SUMIF(Palpites!$A:$A,$A23,Palpites!$I:$I))</f>
        <v/>
      </c>
      <c r="C23" s="5">
        <f>IF($A23="","",COUNTIFS(Palpites!$A:$A,$A23,Palpites!$I:$I,3))</f>
        <v/>
      </c>
      <c r="D23" s="5">
        <f>IF($A23="","",COUNTIFS(Palpites!$A:$A,$A23,Palpites!$I:$I,"&gt;=1"))</f>
        <v/>
      </c>
      <c r="E23" s="5">
        <f>IF($A23="","",COUNTIF(Palpites!$A:$A,$A23))</f>
        <v/>
      </c>
      <c r="F23" s="5">
        <f>IF(OR($A23="", $E23=0), "", $B23/$E23)</f>
        <v/>
      </c>
      <c r="G23" s="8" t="n"/>
      <c r="H23" s="8" t="n"/>
    </row>
    <row r="24">
      <c r="A24" s="5">
        <f>IF(Participantes!B24="","",Participantes!B24)</f>
        <v/>
      </c>
      <c r="B24" s="5">
        <f>IF($A24="","",SUMIF(Palpites!$A:$A,$A24,Palpites!$I:$I))</f>
        <v/>
      </c>
      <c r="C24" s="5">
        <f>IF($A24="","",COUNTIFS(Palpites!$A:$A,$A24,Palpites!$I:$I,3))</f>
        <v/>
      </c>
      <c r="D24" s="5">
        <f>IF($A24="","",COUNTIFS(Palpites!$A:$A,$A24,Palpites!$I:$I,"&gt;=1"))</f>
        <v/>
      </c>
      <c r="E24" s="5">
        <f>IF($A24="","",COUNTIF(Palpites!$A:$A,$A24))</f>
        <v/>
      </c>
      <c r="F24" s="5">
        <f>IF(OR($A24="", $E24=0), "", $B24/$E24)</f>
        <v/>
      </c>
      <c r="G24" s="8" t="n"/>
      <c r="H24" s="8" t="n"/>
    </row>
    <row r="25">
      <c r="A25" s="5">
        <f>IF(Participantes!B25="","",Participantes!B25)</f>
        <v/>
      </c>
      <c r="B25" s="5">
        <f>IF($A25="","",SUMIF(Palpites!$A:$A,$A25,Palpites!$I:$I))</f>
        <v/>
      </c>
      <c r="C25" s="5">
        <f>IF($A25="","",COUNTIFS(Palpites!$A:$A,$A25,Palpites!$I:$I,3))</f>
        <v/>
      </c>
      <c r="D25" s="5">
        <f>IF($A25="","",COUNTIFS(Palpites!$A:$A,$A25,Palpites!$I:$I,"&gt;=1"))</f>
        <v/>
      </c>
      <c r="E25" s="5">
        <f>IF($A25="","",COUNTIF(Palpites!$A:$A,$A25))</f>
        <v/>
      </c>
      <c r="F25" s="5">
        <f>IF(OR($A25="", $E25=0), "", $B25/$E25)</f>
        <v/>
      </c>
      <c r="G25" s="8" t="n"/>
      <c r="H25" s="8" t="n"/>
    </row>
    <row r="26">
      <c r="A26" s="5">
        <f>IF(Participantes!B26="","",Participantes!B26)</f>
        <v/>
      </c>
      <c r="B26" s="5">
        <f>IF($A26="","",SUMIF(Palpites!$A:$A,$A26,Palpites!$I:$I))</f>
        <v/>
      </c>
      <c r="C26" s="5">
        <f>IF($A26="","",COUNTIFS(Palpites!$A:$A,$A26,Palpites!$I:$I,3))</f>
        <v/>
      </c>
      <c r="D26" s="5">
        <f>IF($A26="","",COUNTIFS(Palpites!$A:$A,$A26,Palpites!$I:$I,"&gt;=1"))</f>
        <v/>
      </c>
      <c r="E26" s="5">
        <f>IF($A26="","",COUNTIF(Palpites!$A:$A,$A26))</f>
        <v/>
      </c>
      <c r="F26" s="5">
        <f>IF(OR($A26="", $E26=0), "", $B26/$E26)</f>
        <v/>
      </c>
      <c r="G26" s="8" t="n"/>
      <c r="H26" s="8" t="n"/>
    </row>
    <row r="27">
      <c r="A27" s="5">
        <f>IF(Participantes!B27="","",Participantes!B27)</f>
        <v/>
      </c>
      <c r="B27" s="5">
        <f>IF($A27="","",SUMIF(Palpites!$A:$A,$A27,Palpites!$I:$I))</f>
        <v/>
      </c>
      <c r="C27" s="5">
        <f>IF($A27="","",COUNTIFS(Palpites!$A:$A,$A27,Palpites!$I:$I,3))</f>
        <v/>
      </c>
      <c r="D27" s="5">
        <f>IF($A27="","",COUNTIFS(Palpites!$A:$A,$A27,Palpites!$I:$I,"&gt;=1"))</f>
        <v/>
      </c>
      <c r="E27" s="5">
        <f>IF($A27="","",COUNTIF(Palpites!$A:$A,$A27))</f>
        <v/>
      </c>
      <c r="F27" s="5">
        <f>IF(OR($A27="", $E27=0), "", $B27/$E27)</f>
        <v/>
      </c>
      <c r="G27" s="8" t="n"/>
      <c r="H27" s="8" t="n"/>
    </row>
    <row r="28">
      <c r="A28" s="5">
        <f>IF(Participantes!B28="","",Participantes!B28)</f>
        <v/>
      </c>
      <c r="B28" s="5">
        <f>IF($A28="","",SUMIF(Palpites!$A:$A,$A28,Palpites!$I:$I))</f>
        <v/>
      </c>
      <c r="C28" s="5">
        <f>IF($A28="","",COUNTIFS(Palpites!$A:$A,$A28,Palpites!$I:$I,3))</f>
        <v/>
      </c>
      <c r="D28" s="5">
        <f>IF($A28="","",COUNTIFS(Palpites!$A:$A,$A28,Palpites!$I:$I,"&gt;=1"))</f>
        <v/>
      </c>
      <c r="E28" s="5">
        <f>IF($A28="","",COUNTIF(Palpites!$A:$A,$A28))</f>
        <v/>
      </c>
      <c r="F28" s="5">
        <f>IF(OR($A28="", $E28=0), "", $B28/$E28)</f>
        <v/>
      </c>
      <c r="G28" s="8" t="n"/>
      <c r="H28" s="8" t="n"/>
    </row>
    <row r="29">
      <c r="A29" s="5">
        <f>IF(Participantes!B29="","",Participantes!B29)</f>
        <v/>
      </c>
      <c r="B29" s="5">
        <f>IF($A29="","",SUMIF(Palpites!$A:$A,$A29,Palpites!$I:$I))</f>
        <v/>
      </c>
      <c r="C29" s="5">
        <f>IF($A29="","",COUNTIFS(Palpites!$A:$A,$A29,Palpites!$I:$I,3))</f>
        <v/>
      </c>
      <c r="D29" s="5">
        <f>IF($A29="","",COUNTIFS(Palpites!$A:$A,$A29,Palpites!$I:$I,"&gt;=1"))</f>
        <v/>
      </c>
      <c r="E29" s="5">
        <f>IF($A29="","",COUNTIF(Palpites!$A:$A,$A29))</f>
        <v/>
      </c>
      <c r="F29" s="5">
        <f>IF(OR($A29="", $E29=0), "", $B29/$E29)</f>
        <v/>
      </c>
      <c r="G29" s="8" t="n"/>
      <c r="H29" s="8" t="n"/>
    </row>
    <row r="30">
      <c r="A30" s="5">
        <f>IF(Participantes!B30="","",Participantes!B30)</f>
        <v/>
      </c>
      <c r="B30" s="5">
        <f>IF($A30="","",SUMIF(Palpites!$A:$A,$A30,Palpites!$I:$I))</f>
        <v/>
      </c>
      <c r="C30" s="5">
        <f>IF($A30="","",COUNTIFS(Palpites!$A:$A,$A30,Palpites!$I:$I,3))</f>
        <v/>
      </c>
      <c r="D30" s="5">
        <f>IF($A30="","",COUNTIFS(Palpites!$A:$A,$A30,Palpites!$I:$I,"&gt;=1"))</f>
        <v/>
      </c>
      <c r="E30" s="5">
        <f>IF($A30="","",COUNTIF(Palpites!$A:$A,$A30))</f>
        <v/>
      </c>
      <c r="F30" s="5">
        <f>IF(OR($A30="", $E30=0), "", $B30/$E30)</f>
        <v/>
      </c>
      <c r="G30" s="8" t="n"/>
      <c r="H30" s="8" t="n"/>
    </row>
    <row r="31">
      <c r="A31" s="5">
        <f>IF(Participantes!B31="","",Participantes!B31)</f>
        <v/>
      </c>
      <c r="B31" s="5">
        <f>IF($A31="","",SUMIF(Palpites!$A:$A,$A31,Palpites!$I:$I))</f>
        <v/>
      </c>
      <c r="C31" s="5">
        <f>IF($A31="","",COUNTIFS(Palpites!$A:$A,$A31,Palpites!$I:$I,3))</f>
        <v/>
      </c>
      <c r="D31" s="5">
        <f>IF($A31="","",COUNTIFS(Palpites!$A:$A,$A31,Palpites!$I:$I,"&gt;=1"))</f>
        <v/>
      </c>
      <c r="E31" s="5">
        <f>IF($A31="","",COUNTIF(Palpites!$A:$A,$A31))</f>
        <v/>
      </c>
      <c r="F31" s="5">
        <f>IF(OR($A31="", $E31=0), "", $B31/$E31)</f>
        <v/>
      </c>
      <c r="G31" s="8" t="n"/>
      <c r="H31" s="8" t="n"/>
    </row>
    <row r="32">
      <c r="A32" s="5">
        <f>IF(Participantes!B32="","",Participantes!B32)</f>
        <v/>
      </c>
      <c r="B32" s="5">
        <f>IF($A32="","",SUMIF(Palpites!$A:$A,$A32,Palpites!$I:$I))</f>
        <v/>
      </c>
      <c r="C32" s="5">
        <f>IF($A32="","",COUNTIFS(Palpites!$A:$A,$A32,Palpites!$I:$I,3))</f>
        <v/>
      </c>
      <c r="D32" s="5">
        <f>IF($A32="","",COUNTIFS(Palpites!$A:$A,$A32,Palpites!$I:$I,"&gt;=1"))</f>
        <v/>
      </c>
      <c r="E32" s="5">
        <f>IF($A32="","",COUNTIF(Palpites!$A:$A,$A32))</f>
        <v/>
      </c>
      <c r="F32" s="5">
        <f>IF(OR($A32="", $E32=0), "", $B32/$E32)</f>
        <v/>
      </c>
      <c r="G32" s="8" t="n"/>
      <c r="H32" s="8" t="n"/>
    </row>
    <row r="33">
      <c r="A33" s="5">
        <f>IF(Participantes!B33="","",Participantes!B33)</f>
        <v/>
      </c>
      <c r="B33" s="5">
        <f>IF($A33="","",SUMIF(Palpites!$A:$A,$A33,Palpites!$I:$I))</f>
        <v/>
      </c>
      <c r="C33" s="5">
        <f>IF($A33="","",COUNTIFS(Palpites!$A:$A,$A33,Palpites!$I:$I,3))</f>
        <v/>
      </c>
      <c r="D33" s="5">
        <f>IF($A33="","",COUNTIFS(Palpites!$A:$A,$A33,Palpites!$I:$I,"&gt;=1"))</f>
        <v/>
      </c>
      <c r="E33" s="5">
        <f>IF($A33="","",COUNTIF(Palpites!$A:$A,$A33))</f>
        <v/>
      </c>
      <c r="F33" s="5">
        <f>IF(OR($A33="", $E33=0), "", $B33/$E33)</f>
        <v/>
      </c>
      <c r="G33" s="8" t="n"/>
      <c r="H33" s="8" t="n"/>
    </row>
    <row r="34">
      <c r="A34" s="5">
        <f>IF(Participantes!B34="","",Participantes!B34)</f>
        <v/>
      </c>
      <c r="B34" s="5">
        <f>IF($A34="","",SUMIF(Palpites!$A:$A,$A34,Palpites!$I:$I))</f>
        <v/>
      </c>
      <c r="C34" s="5">
        <f>IF($A34="","",COUNTIFS(Palpites!$A:$A,$A34,Palpites!$I:$I,3))</f>
        <v/>
      </c>
      <c r="D34" s="5">
        <f>IF($A34="","",COUNTIFS(Palpites!$A:$A,$A34,Palpites!$I:$I,"&gt;=1"))</f>
        <v/>
      </c>
      <c r="E34" s="5">
        <f>IF($A34="","",COUNTIF(Palpites!$A:$A,$A34))</f>
        <v/>
      </c>
      <c r="F34" s="5">
        <f>IF(OR($A34="", $E34=0), "", $B34/$E34)</f>
        <v/>
      </c>
      <c r="G34" s="8" t="n"/>
      <c r="H34" s="8" t="n"/>
    </row>
    <row r="35">
      <c r="A35" s="5">
        <f>IF(Participantes!B35="","",Participantes!B35)</f>
        <v/>
      </c>
      <c r="B35" s="5">
        <f>IF($A35="","",SUMIF(Palpites!$A:$A,$A35,Palpites!$I:$I))</f>
        <v/>
      </c>
      <c r="C35" s="5">
        <f>IF($A35="","",COUNTIFS(Palpites!$A:$A,$A35,Palpites!$I:$I,3))</f>
        <v/>
      </c>
      <c r="D35" s="5">
        <f>IF($A35="","",COUNTIFS(Palpites!$A:$A,$A35,Palpites!$I:$I,"&gt;=1"))</f>
        <v/>
      </c>
      <c r="E35" s="5">
        <f>IF($A35="","",COUNTIF(Palpites!$A:$A,$A35))</f>
        <v/>
      </c>
      <c r="F35" s="5">
        <f>IF(OR($A35="", $E35=0), "", $B35/$E35)</f>
        <v/>
      </c>
      <c r="G35" s="8" t="n"/>
      <c r="H35" s="8" t="n"/>
    </row>
    <row r="36">
      <c r="A36" s="5">
        <f>IF(Participantes!B36="","",Participantes!B36)</f>
        <v/>
      </c>
      <c r="B36" s="5">
        <f>IF($A36="","",SUMIF(Palpites!$A:$A,$A36,Palpites!$I:$I))</f>
        <v/>
      </c>
      <c r="C36" s="5">
        <f>IF($A36="","",COUNTIFS(Palpites!$A:$A,$A36,Palpites!$I:$I,3))</f>
        <v/>
      </c>
      <c r="D36" s="5">
        <f>IF($A36="","",COUNTIFS(Palpites!$A:$A,$A36,Palpites!$I:$I,"&gt;=1"))</f>
        <v/>
      </c>
      <c r="E36" s="5">
        <f>IF($A36="","",COUNTIF(Palpites!$A:$A,$A36))</f>
        <v/>
      </c>
      <c r="F36" s="5">
        <f>IF(OR($A36="", $E36=0), "", $B36/$E36)</f>
        <v/>
      </c>
      <c r="G36" s="8" t="n"/>
      <c r="H36" s="8" t="n"/>
    </row>
    <row r="37">
      <c r="A37" s="5">
        <f>IF(Participantes!B37="","",Participantes!B37)</f>
        <v/>
      </c>
      <c r="B37" s="5">
        <f>IF($A37="","",SUMIF(Palpites!$A:$A,$A37,Palpites!$I:$I))</f>
        <v/>
      </c>
      <c r="C37" s="5">
        <f>IF($A37="","",COUNTIFS(Palpites!$A:$A,$A37,Palpites!$I:$I,3))</f>
        <v/>
      </c>
      <c r="D37" s="5">
        <f>IF($A37="","",COUNTIFS(Palpites!$A:$A,$A37,Palpites!$I:$I,"&gt;=1"))</f>
        <v/>
      </c>
      <c r="E37" s="5">
        <f>IF($A37="","",COUNTIF(Palpites!$A:$A,$A37))</f>
        <v/>
      </c>
      <c r="F37" s="5">
        <f>IF(OR($A37="", $E37=0), "", $B37/$E37)</f>
        <v/>
      </c>
      <c r="G37" s="8" t="n"/>
      <c r="H37" s="8" t="n"/>
    </row>
    <row r="38">
      <c r="A38" s="5">
        <f>IF(Participantes!B38="","",Participantes!B38)</f>
        <v/>
      </c>
      <c r="B38" s="5">
        <f>IF($A38="","",SUMIF(Palpites!$A:$A,$A38,Palpites!$I:$I))</f>
        <v/>
      </c>
      <c r="C38" s="5">
        <f>IF($A38="","",COUNTIFS(Palpites!$A:$A,$A38,Palpites!$I:$I,3))</f>
        <v/>
      </c>
      <c r="D38" s="5">
        <f>IF($A38="","",COUNTIFS(Palpites!$A:$A,$A38,Palpites!$I:$I,"&gt;=1"))</f>
        <v/>
      </c>
      <c r="E38" s="5">
        <f>IF($A38="","",COUNTIF(Palpites!$A:$A,$A38))</f>
        <v/>
      </c>
      <c r="F38" s="5">
        <f>IF(OR($A38="", $E38=0), "", $B38/$E38)</f>
        <v/>
      </c>
      <c r="G38" s="8" t="n"/>
      <c r="H38" s="8" t="n"/>
    </row>
    <row r="39">
      <c r="A39" s="5">
        <f>IF(Participantes!B39="","",Participantes!B39)</f>
        <v/>
      </c>
      <c r="B39" s="5">
        <f>IF($A39="","",SUMIF(Palpites!$A:$A,$A39,Palpites!$I:$I))</f>
        <v/>
      </c>
      <c r="C39" s="5">
        <f>IF($A39="","",COUNTIFS(Palpites!$A:$A,$A39,Palpites!$I:$I,3))</f>
        <v/>
      </c>
      <c r="D39" s="5">
        <f>IF($A39="","",COUNTIFS(Palpites!$A:$A,$A39,Palpites!$I:$I,"&gt;=1"))</f>
        <v/>
      </c>
      <c r="E39" s="5">
        <f>IF($A39="","",COUNTIF(Palpites!$A:$A,$A39))</f>
        <v/>
      </c>
      <c r="F39" s="5">
        <f>IF(OR($A39="", $E39=0), "", $B39/$E39)</f>
        <v/>
      </c>
      <c r="G39" s="8" t="n"/>
      <c r="H39" s="8" t="n"/>
    </row>
    <row r="40">
      <c r="A40" s="5">
        <f>IF(Participantes!B40="","",Participantes!B40)</f>
        <v/>
      </c>
      <c r="B40" s="5">
        <f>IF($A40="","",SUMIF(Palpites!$A:$A,$A40,Palpites!$I:$I))</f>
        <v/>
      </c>
      <c r="C40" s="5">
        <f>IF($A40="","",COUNTIFS(Palpites!$A:$A,$A40,Palpites!$I:$I,3))</f>
        <v/>
      </c>
      <c r="D40" s="5">
        <f>IF($A40="","",COUNTIFS(Palpites!$A:$A,$A40,Palpites!$I:$I,"&gt;=1"))</f>
        <v/>
      </c>
      <c r="E40" s="5">
        <f>IF($A40="","",COUNTIF(Palpites!$A:$A,$A40))</f>
        <v/>
      </c>
      <c r="F40" s="5">
        <f>IF(OR($A40="", $E40=0), "", $B40/$E40)</f>
        <v/>
      </c>
      <c r="G40" s="8" t="n"/>
      <c r="H40" s="8" t="n"/>
    </row>
    <row r="41">
      <c r="A41" s="5">
        <f>IF(Participantes!B41="","",Participantes!B41)</f>
        <v/>
      </c>
      <c r="B41" s="5">
        <f>IF($A41="","",SUMIF(Palpites!$A:$A,$A41,Palpites!$I:$I))</f>
        <v/>
      </c>
      <c r="C41" s="5">
        <f>IF($A41="","",COUNTIFS(Palpites!$A:$A,$A41,Palpites!$I:$I,3))</f>
        <v/>
      </c>
      <c r="D41" s="5">
        <f>IF($A41="","",COUNTIFS(Palpites!$A:$A,$A41,Palpites!$I:$I,"&gt;=1"))</f>
        <v/>
      </c>
      <c r="E41" s="5">
        <f>IF($A41="","",COUNTIF(Palpites!$A:$A,$A41))</f>
        <v/>
      </c>
      <c r="F41" s="5">
        <f>IF(OR($A41="", $E41=0), "", $B41/$E41)</f>
        <v/>
      </c>
      <c r="G41" s="8" t="n"/>
      <c r="H41" s="8" t="n"/>
    </row>
    <row r="42">
      <c r="A42" s="5">
        <f>IF(Participantes!B42="","",Participantes!B42)</f>
        <v/>
      </c>
      <c r="B42" s="5">
        <f>IF($A42="","",SUMIF(Palpites!$A:$A,$A42,Palpites!$I:$I))</f>
        <v/>
      </c>
      <c r="C42" s="5">
        <f>IF($A42="","",COUNTIFS(Palpites!$A:$A,$A42,Palpites!$I:$I,3))</f>
        <v/>
      </c>
      <c r="D42" s="5">
        <f>IF($A42="","",COUNTIFS(Palpites!$A:$A,$A42,Palpites!$I:$I,"&gt;=1"))</f>
        <v/>
      </c>
      <c r="E42" s="5">
        <f>IF($A42="","",COUNTIF(Palpites!$A:$A,$A42))</f>
        <v/>
      </c>
      <c r="F42" s="5">
        <f>IF(OR($A42="", $E42=0), "", $B42/$E42)</f>
        <v/>
      </c>
      <c r="G42" s="8" t="n"/>
      <c r="H42" s="8" t="n"/>
    </row>
    <row r="43">
      <c r="A43" s="5">
        <f>IF(Participantes!B43="","",Participantes!B43)</f>
        <v/>
      </c>
      <c r="B43" s="5">
        <f>IF($A43="","",SUMIF(Palpites!$A:$A,$A43,Palpites!$I:$I))</f>
        <v/>
      </c>
      <c r="C43" s="5">
        <f>IF($A43="","",COUNTIFS(Palpites!$A:$A,$A43,Palpites!$I:$I,3))</f>
        <v/>
      </c>
      <c r="D43" s="5">
        <f>IF($A43="","",COUNTIFS(Palpites!$A:$A,$A43,Palpites!$I:$I,"&gt;=1"))</f>
        <v/>
      </c>
      <c r="E43" s="5">
        <f>IF($A43="","",COUNTIF(Palpites!$A:$A,$A43))</f>
        <v/>
      </c>
      <c r="F43" s="5">
        <f>IF(OR($A43="", $E43=0), "", $B43/$E43)</f>
        <v/>
      </c>
      <c r="G43" s="8" t="n"/>
      <c r="H43" s="8" t="n"/>
    </row>
    <row r="44">
      <c r="A44" s="5">
        <f>IF(Participantes!B44="","",Participantes!B44)</f>
        <v/>
      </c>
      <c r="B44" s="5">
        <f>IF($A44="","",SUMIF(Palpites!$A:$A,$A44,Palpites!$I:$I))</f>
        <v/>
      </c>
      <c r="C44" s="5">
        <f>IF($A44="","",COUNTIFS(Palpites!$A:$A,$A44,Palpites!$I:$I,3))</f>
        <v/>
      </c>
      <c r="D44" s="5">
        <f>IF($A44="","",COUNTIFS(Palpites!$A:$A,$A44,Palpites!$I:$I,"&gt;=1"))</f>
        <v/>
      </c>
      <c r="E44" s="5">
        <f>IF($A44="","",COUNTIF(Palpites!$A:$A,$A44))</f>
        <v/>
      </c>
      <c r="F44" s="5">
        <f>IF(OR($A44="", $E44=0), "", $B44/$E44)</f>
        <v/>
      </c>
      <c r="G44" s="8" t="n"/>
      <c r="H44" s="8" t="n"/>
    </row>
    <row r="45">
      <c r="A45" s="5">
        <f>IF(Participantes!B45="","",Participantes!B45)</f>
        <v/>
      </c>
      <c r="B45" s="5">
        <f>IF($A45="","",SUMIF(Palpites!$A:$A,$A45,Palpites!$I:$I))</f>
        <v/>
      </c>
      <c r="C45" s="5">
        <f>IF($A45="","",COUNTIFS(Palpites!$A:$A,$A45,Palpites!$I:$I,3))</f>
        <v/>
      </c>
      <c r="D45" s="5">
        <f>IF($A45="","",COUNTIFS(Palpites!$A:$A,$A45,Palpites!$I:$I,"&gt;=1"))</f>
        <v/>
      </c>
      <c r="E45" s="5">
        <f>IF($A45="","",COUNTIF(Palpites!$A:$A,$A45))</f>
        <v/>
      </c>
      <c r="F45" s="5">
        <f>IF(OR($A45="", $E45=0), "", $B45/$E45)</f>
        <v/>
      </c>
      <c r="G45" s="8" t="n"/>
      <c r="H45" s="8" t="n"/>
    </row>
    <row r="46">
      <c r="A46" s="5">
        <f>IF(Participantes!B46="","",Participantes!B46)</f>
        <v/>
      </c>
      <c r="B46" s="5">
        <f>IF($A46="","",SUMIF(Palpites!$A:$A,$A46,Palpites!$I:$I))</f>
        <v/>
      </c>
      <c r="C46" s="5">
        <f>IF($A46="","",COUNTIFS(Palpites!$A:$A,$A46,Palpites!$I:$I,3))</f>
        <v/>
      </c>
      <c r="D46" s="5">
        <f>IF($A46="","",COUNTIFS(Palpites!$A:$A,$A46,Palpites!$I:$I,"&gt;=1"))</f>
        <v/>
      </c>
      <c r="E46" s="5">
        <f>IF($A46="","",COUNTIF(Palpites!$A:$A,$A46))</f>
        <v/>
      </c>
      <c r="F46" s="5">
        <f>IF(OR($A46="", $E46=0), "", $B46/$E46)</f>
        <v/>
      </c>
      <c r="G46" s="8" t="n"/>
      <c r="H46" s="8" t="n"/>
    </row>
    <row r="47">
      <c r="A47" s="5">
        <f>IF(Participantes!B47="","",Participantes!B47)</f>
        <v/>
      </c>
      <c r="B47" s="5">
        <f>IF($A47="","",SUMIF(Palpites!$A:$A,$A47,Palpites!$I:$I))</f>
        <v/>
      </c>
      <c r="C47" s="5">
        <f>IF($A47="","",COUNTIFS(Palpites!$A:$A,$A47,Palpites!$I:$I,3))</f>
        <v/>
      </c>
      <c r="D47" s="5">
        <f>IF($A47="","",COUNTIFS(Palpites!$A:$A,$A47,Palpites!$I:$I,"&gt;=1"))</f>
        <v/>
      </c>
      <c r="E47" s="5">
        <f>IF($A47="","",COUNTIF(Palpites!$A:$A,$A47))</f>
        <v/>
      </c>
      <c r="F47" s="5">
        <f>IF(OR($A47="", $E47=0), "", $B47/$E47)</f>
        <v/>
      </c>
      <c r="G47" s="8" t="n"/>
      <c r="H47" s="8" t="n"/>
    </row>
    <row r="48">
      <c r="A48" s="5">
        <f>IF(Participantes!B48="","",Participantes!B48)</f>
        <v/>
      </c>
      <c r="B48" s="5">
        <f>IF($A48="","",SUMIF(Palpites!$A:$A,$A48,Palpites!$I:$I))</f>
        <v/>
      </c>
      <c r="C48" s="5">
        <f>IF($A48="","",COUNTIFS(Palpites!$A:$A,$A48,Palpites!$I:$I,3))</f>
        <v/>
      </c>
      <c r="D48" s="5">
        <f>IF($A48="","",COUNTIFS(Palpites!$A:$A,$A48,Palpites!$I:$I,"&gt;=1"))</f>
        <v/>
      </c>
      <c r="E48" s="5">
        <f>IF($A48="","",COUNTIF(Palpites!$A:$A,$A48))</f>
        <v/>
      </c>
      <c r="F48" s="5">
        <f>IF(OR($A48="", $E48=0), "", $B48/$E48)</f>
        <v/>
      </c>
      <c r="G48" s="8" t="n"/>
      <c r="H48" s="8" t="n"/>
    </row>
    <row r="49">
      <c r="A49" s="5">
        <f>IF(Participantes!B49="","",Participantes!B49)</f>
        <v/>
      </c>
      <c r="B49" s="5">
        <f>IF($A49="","",SUMIF(Palpites!$A:$A,$A49,Palpites!$I:$I))</f>
        <v/>
      </c>
      <c r="C49" s="5">
        <f>IF($A49="","",COUNTIFS(Palpites!$A:$A,$A49,Palpites!$I:$I,3))</f>
        <v/>
      </c>
      <c r="D49" s="5">
        <f>IF($A49="","",COUNTIFS(Palpites!$A:$A,$A49,Palpites!$I:$I,"&gt;=1"))</f>
        <v/>
      </c>
      <c r="E49" s="5">
        <f>IF($A49="","",COUNTIF(Palpites!$A:$A,$A49))</f>
        <v/>
      </c>
      <c r="F49" s="5">
        <f>IF(OR($A49="", $E49=0), "", $B49/$E49)</f>
        <v/>
      </c>
      <c r="G49" s="8" t="n"/>
      <c r="H49" s="8" t="n"/>
    </row>
    <row r="50">
      <c r="A50" s="5">
        <f>IF(Participantes!B50="","",Participantes!B50)</f>
        <v/>
      </c>
      <c r="B50" s="5">
        <f>IF($A50="","",SUMIF(Palpites!$A:$A,$A50,Palpites!$I:$I))</f>
        <v/>
      </c>
      <c r="C50" s="5">
        <f>IF($A50="","",COUNTIFS(Palpites!$A:$A,$A50,Palpites!$I:$I,3))</f>
        <v/>
      </c>
      <c r="D50" s="5">
        <f>IF($A50="","",COUNTIFS(Palpites!$A:$A,$A50,Palpites!$I:$I,"&gt;=1"))</f>
        <v/>
      </c>
      <c r="E50" s="5">
        <f>IF($A50="","",COUNTIF(Palpites!$A:$A,$A50))</f>
        <v/>
      </c>
      <c r="F50" s="5">
        <f>IF(OR($A50="", $E50=0), "", $B50/$E50)</f>
        <v/>
      </c>
      <c r="G50" s="8" t="n"/>
      <c r="H50" s="8" t="n"/>
    </row>
    <row r="51">
      <c r="A51" s="5">
        <f>IF(Participantes!B51="","",Participantes!B51)</f>
        <v/>
      </c>
      <c r="B51" s="5">
        <f>IF($A51="","",SUMIF(Palpites!$A:$A,$A51,Palpites!$I:$I))</f>
        <v/>
      </c>
      <c r="C51" s="5">
        <f>IF($A51="","",COUNTIFS(Palpites!$A:$A,$A51,Palpites!$I:$I,3))</f>
        <v/>
      </c>
      <c r="D51" s="5">
        <f>IF($A51="","",COUNTIFS(Palpites!$A:$A,$A51,Palpites!$I:$I,"&gt;=1"))</f>
        <v/>
      </c>
      <c r="E51" s="5">
        <f>IF($A51="","",COUNTIF(Palpites!$A:$A,$A51))</f>
        <v/>
      </c>
      <c r="F51" s="5">
        <f>IF(OR($A51="", $E51=0), "", $B51/$E51)</f>
        <v/>
      </c>
      <c r="G51" s="8" t="n"/>
      <c r="H51" s="8" t="n"/>
    </row>
    <row r="52">
      <c r="A52" s="5">
        <f>IF(Participantes!B52="","",Participantes!B52)</f>
        <v/>
      </c>
      <c r="B52" s="5">
        <f>IF($A52="","",SUMIF(Palpites!$A:$A,$A52,Palpites!$I:$I))</f>
        <v/>
      </c>
      <c r="C52" s="5">
        <f>IF($A52="","",COUNTIFS(Palpites!$A:$A,$A52,Palpites!$I:$I,3))</f>
        <v/>
      </c>
      <c r="D52" s="5">
        <f>IF($A52="","",COUNTIFS(Palpites!$A:$A,$A52,Palpites!$I:$I,"&gt;=1"))</f>
        <v/>
      </c>
      <c r="E52" s="5">
        <f>IF($A52="","",COUNTIF(Palpites!$A:$A,$A52))</f>
        <v/>
      </c>
      <c r="F52" s="5">
        <f>IF(OR($A52="", $E52=0), "", $B52/$E52)</f>
        <v/>
      </c>
      <c r="G52" s="8" t="n"/>
      <c r="H52" s="8" t="n"/>
    </row>
    <row r="53">
      <c r="A53" s="5">
        <f>IF(Participantes!B53="","",Participantes!B53)</f>
        <v/>
      </c>
      <c r="B53" s="5">
        <f>IF($A53="","",SUMIF(Palpites!$A:$A,$A53,Palpites!$I:$I))</f>
        <v/>
      </c>
      <c r="C53" s="5">
        <f>IF($A53="","",COUNTIFS(Palpites!$A:$A,$A53,Palpites!$I:$I,3))</f>
        <v/>
      </c>
      <c r="D53" s="5">
        <f>IF($A53="","",COUNTIFS(Palpites!$A:$A,$A53,Palpites!$I:$I,"&gt;=1"))</f>
        <v/>
      </c>
      <c r="E53" s="5">
        <f>IF($A53="","",COUNTIF(Palpites!$A:$A,$A53))</f>
        <v/>
      </c>
      <c r="F53" s="5">
        <f>IF(OR($A53="", $E53=0), "", $B53/$E53)</f>
        <v/>
      </c>
      <c r="G53" s="8" t="n"/>
      <c r="H53" s="8" t="n"/>
    </row>
    <row r="54">
      <c r="A54" s="5">
        <f>IF(Participantes!B54="","",Participantes!B54)</f>
        <v/>
      </c>
      <c r="B54" s="5">
        <f>IF($A54="","",SUMIF(Palpites!$A:$A,$A54,Palpites!$I:$I))</f>
        <v/>
      </c>
      <c r="C54" s="5">
        <f>IF($A54="","",COUNTIFS(Palpites!$A:$A,$A54,Palpites!$I:$I,3))</f>
        <v/>
      </c>
      <c r="D54" s="5">
        <f>IF($A54="","",COUNTIFS(Palpites!$A:$A,$A54,Palpites!$I:$I,"&gt;=1"))</f>
        <v/>
      </c>
      <c r="E54" s="5">
        <f>IF($A54="","",COUNTIF(Palpites!$A:$A,$A54))</f>
        <v/>
      </c>
      <c r="F54" s="5">
        <f>IF(OR($A54="", $E54=0), "", $B54/$E54)</f>
        <v/>
      </c>
      <c r="G54" s="8" t="n"/>
      <c r="H54" s="8" t="n"/>
    </row>
    <row r="55">
      <c r="A55" s="5">
        <f>IF(Participantes!B55="","",Participantes!B55)</f>
        <v/>
      </c>
      <c r="B55" s="5">
        <f>IF($A55="","",SUMIF(Palpites!$A:$A,$A55,Palpites!$I:$I))</f>
        <v/>
      </c>
      <c r="C55" s="5">
        <f>IF($A55="","",COUNTIFS(Palpites!$A:$A,$A55,Palpites!$I:$I,3))</f>
        <v/>
      </c>
      <c r="D55" s="5">
        <f>IF($A55="","",COUNTIFS(Palpites!$A:$A,$A55,Palpites!$I:$I,"&gt;=1"))</f>
        <v/>
      </c>
      <c r="E55" s="5">
        <f>IF($A55="","",COUNTIF(Palpites!$A:$A,$A55))</f>
        <v/>
      </c>
      <c r="F55" s="5">
        <f>IF(OR($A55="", $E55=0), "", $B55/$E55)</f>
        <v/>
      </c>
      <c r="G55" s="8" t="n"/>
      <c r="H55" s="8" t="n"/>
    </row>
    <row r="56">
      <c r="A56" s="5">
        <f>IF(Participantes!B56="","",Participantes!B56)</f>
        <v/>
      </c>
      <c r="B56" s="5">
        <f>IF($A56="","",SUMIF(Palpites!$A:$A,$A56,Palpites!$I:$I))</f>
        <v/>
      </c>
      <c r="C56" s="5">
        <f>IF($A56="","",COUNTIFS(Palpites!$A:$A,$A56,Palpites!$I:$I,3))</f>
        <v/>
      </c>
      <c r="D56" s="5">
        <f>IF($A56="","",COUNTIFS(Palpites!$A:$A,$A56,Palpites!$I:$I,"&gt;=1"))</f>
        <v/>
      </c>
      <c r="E56" s="5">
        <f>IF($A56="","",COUNTIF(Palpites!$A:$A,$A56))</f>
        <v/>
      </c>
      <c r="F56" s="5">
        <f>IF(OR($A56="", $E56=0), "", $B56/$E56)</f>
        <v/>
      </c>
      <c r="G56" s="8" t="n"/>
      <c r="H56" s="8" t="n"/>
    </row>
    <row r="57">
      <c r="A57" s="5">
        <f>IF(Participantes!B57="","",Participantes!B57)</f>
        <v/>
      </c>
      <c r="B57" s="5">
        <f>IF($A57="","",SUMIF(Palpites!$A:$A,$A57,Palpites!$I:$I))</f>
        <v/>
      </c>
      <c r="C57" s="5">
        <f>IF($A57="","",COUNTIFS(Palpites!$A:$A,$A57,Palpites!$I:$I,3))</f>
        <v/>
      </c>
      <c r="D57" s="5">
        <f>IF($A57="","",COUNTIFS(Palpites!$A:$A,$A57,Palpites!$I:$I,"&gt;=1"))</f>
        <v/>
      </c>
      <c r="E57" s="5">
        <f>IF($A57="","",COUNTIF(Palpites!$A:$A,$A57))</f>
        <v/>
      </c>
      <c r="F57" s="5">
        <f>IF(OR($A57="", $E57=0), "", $B57/$E57)</f>
        <v/>
      </c>
      <c r="G57" s="8" t="n"/>
      <c r="H57" s="8" t="n"/>
    </row>
    <row r="58">
      <c r="A58" s="5">
        <f>IF(Participantes!B58="","",Participantes!B58)</f>
        <v/>
      </c>
      <c r="B58" s="5">
        <f>IF($A58="","",SUMIF(Palpites!$A:$A,$A58,Palpites!$I:$I))</f>
        <v/>
      </c>
      <c r="C58" s="5">
        <f>IF($A58="","",COUNTIFS(Palpites!$A:$A,$A58,Palpites!$I:$I,3))</f>
        <v/>
      </c>
      <c r="D58" s="5">
        <f>IF($A58="","",COUNTIFS(Palpites!$A:$A,$A58,Palpites!$I:$I,"&gt;=1"))</f>
        <v/>
      </c>
      <c r="E58" s="5">
        <f>IF($A58="","",COUNTIF(Palpites!$A:$A,$A58))</f>
        <v/>
      </c>
      <c r="F58" s="5">
        <f>IF(OR($A58="", $E58=0), "", $B58/$E58)</f>
        <v/>
      </c>
      <c r="G58" s="8" t="n"/>
      <c r="H58" s="8" t="n"/>
    </row>
    <row r="59">
      <c r="A59" s="5">
        <f>IF(Participantes!B59="","",Participantes!B59)</f>
        <v/>
      </c>
      <c r="B59" s="5">
        <f>IF($A59="","",SUMIF(Palpites!$A:$A,$A59,Palpites!$I:$I))</f>
        <v/>
      </c>
      <c r="C59" s="5">
        <f>IF($A59="","",COUNTIFS(Palpites!$A:$A,$A59,Palpites!$I:$I,3))</f>
        <v/>
      </c>
      <c r="D59" s="5">
        <f>IF($A59="","",COUNTIFS(Palpites!$A:$A,$A59,Palpites!$I:$I,"&gt;=1"))</f>
        <v/>
      </c>
      <c r="E59" s="5">
        <f>IF($A59="","",COUNTIF(Palpites!$A:$A,$A59))</f>
        <v/>
      </c>
      <c r="F59" s="5">
        <f>IF(OR($A59="", $E59=0), "", $B59/$E59)</f>
        <v/>
      </c>
      <c r="G59" s="8" t="n"/>
      <c r="H59" s="8" t="n"/>
    </row>
    <row r="60">
      <c r="A60" s="5">
        <f>IF(Participantes!B60="","",Participantes!B60)</f>
        <v/>
      </c>
      <c r="B60" s="5">
        <f>IF($A60="","",SUMIF(Palpites!$A:$A,$A60,Palpites!$I:$I))</f>
        <v/>
      </c>
      <c r="C60" s="5">
        <f>IF($A60="","",COUNTIFS(Palpites!$A:$A,$A60,Palpites!$I:$I,3))</f>
        <v/>
      </c>
      <c r="D60" s="5">
        <f>IF($A60="","",COUNTIFS(Palpites!$A:$A,$A60,Palpites!$I:$I,"&gt;=1"))</f>
        <v/>
      </c>
      <c r="E60" s="5">
        <f>IF($A60="","",COUNTIF(Palpites!$A:$A,$A60))</f>
        <v/>
      </c>
      <c r="F60" s="5">
        <f>IF(OR($A60="", $E60=0), "", $B60/$E60)</f>
        <v/>
      </c>
      <c r="G60" s="8" t="n"/>
      <c r="H60" s="8" t="n"/>
    </row>
    <row r="61">
      <c r="A61" s="5">
        <f>IF(Participantes!B61="","",Participantes!B61)</f>
        <v/>
      </c>
      <c r="B61" s="5">
        <f>IF($A61="","",SUMIF(Palpites!$A:$A,$A61,Palpites!$I:$I))</f>
        <v/>
      </c>
      <c r="C61" s="5">
        <f>IF($A61="","",COUNTIFS(Palpites!$A:$A,$A61,Palpites!$I:$I,3))</f>
        <v/>
      </c>
      <c r="D61" s="5">
        <f>IF($A61="","",COUNTIFS(Palpites!$A:$A,$A61,Palpites!$I:$I,"&gt;=1"))</f>
        <v/>
      </c>
      <c r="E61" s="5">
        <f>IF($A61="","",COUNTIF(Palpites!$A:$A,$A61))</f>
        <v/>
      </c>
      <c r="F61" s="5">
        <f>IF(OR($A61="", $E61=0), "", $B61/$E61)</f>
        <v/>
      </c>
      <c r="G61" s="8" t="n"/>
      <c r="H61" s="8" t="n"/>
    </row>
    <row r="62">
      <c r="A62" s="5">
        <f>IF(Participantes!B62="","",Participantes!B62)</f>
        <v/>
      </c>
      <c r="B62" s="5">
        <f>IF($A62="","",SUMIF(Palpites!$A:$A,$A62,Palpites!$I:$I))</f>
        <v/>
      </c>
      <c r="C62" s="5">
        <f>IF($A62="","",COUNTIFS(Palpites!$A:$A,$A62,Palpites!$I:$I,3))</f>
        <v/>
      </c>
      <c r="D62" s="5">
        <f>IF($A62="","",COUNTIFS(Palpites!$A:$A,$A62,Palpites!$I:$I,"&gt;=1"))</f>
        <v/>
      </c>
      <c r="E62" s="5">
        <f>IF($A62="","",COUNTIF(Palpites!$A:$A,$A62))</f>
        <v/>
      </c>
      <c r="F62" s="5">
        <f>IF(OR($A62="", $E62=0), "", $B62/$E62)</f>
        <v/>
      </c>
      <c r="G62" s="8" t="n"/>
      <c r="H62" s="8" t="n"/>
    </row>
    <row r="63">
      <c r="A63" s="5">
        <f>IF(Participantes!B63="","",Participantes!B63)</f>
        <v/>
      </c>
      <c r="B63" s="5">
        <f>IF($A63="","",SUMIF(Palpites!$A:$A,$A63,Palpites!$I:$I))</f>
        <v/>
      </c>
      <c r="C63" s="5">
        <f>IF($A63="","",COUNTIFS(Palpites!$A:$A,$A63,Palpites!$I:$I,3))</f>
        <v/>
      </c>
      <c r="D63" s="5">
        <f>IF($A63="","",COUNTIFS(Palpites!$A:$A,$A63,Palpites!$I:$I,"&gt;=1"))</f>
        <v/>
      </c>
      <c r="E63" s="5">
        <f>IF($A63="","",COUNTIF(Palpites!$A:$A,$A63))</f>
        <v/>
      </c>
      <c r="F63" s="5">
        <f>IF(OR($A63="", $E63=0), "", $B63/$E63)</f>
        <v/>
      </c>
      <c r="G63" s="8" t="n"/>
      <c r="H63" s="8" t="n"/>
    </row>
    <row r="64">
      <c r="A64" s="5">
        <f>IF(Participantes!B64="","",Participantes!B64)</f>
        <v/>
      </c>
      <c r="B64" s="5">
        <f>IF($A64="","",SUMIF(Palpites!$A:$A,$A64,Palpites!$I:$I))</f>
        <v/>
      </c>
      <c r="C64" s="5">
        <f>IF($A64="","",COUNTIFS(Palpites!$A:$A,$A64,Palpites!$I:$I,3))</f>
        <v/>
      </c>
      <c r="D64" s="5">
        <f>IF($A64="","",COUNTIFS(Palpites!$A:$A,$A64,Palpites!$I:$I,"&gt;=1"))</f>
        <v/>
      </c>
      <c r="E64" s="5">
        <f>IF($A64="","",COUNTIF(Palpites!$A:$A,$A64))</f>
        <v/>
      </c>
      <c r="F64" s="5">
        <f>IF(OR($A64="", $E64=0), "", $B64/$E64)</f>
        <v/>
      </c>
      <c r="G64" s="8" t="n"/>
      <c r="H64" s="8" t="n"/>
    </row>
    <row r="65">
      <c r="A65" s="5">
        <f>IF(Participantes!B65="","",Participantes!B65)</f>
        <v/>
      </c>
      <c r="B65" s="5">
        <f>IF($A65="","",SUMIF(Palpites!$A:$A,$A65,Palpites!$I:$I))</f>
        <v/>
      </c>
      <c r="C65" s="5">
        <f>IF($A65="","",COUNTIFS(Palpites!$A:$A,$A65,Palpites!$I:$I,3))</f>
        <v/>
      </c>
      <c r="D65" s="5">
        <f>IF($A65="","",COUNTIFS(Palpites!$A:$A,$A65,Palpites!$I:$I,"&gt;=1"))</f>
        <v/>
      </c>
      <c r="E65" s="5">
        <f>IF($A65="","",COUNTIF(Palpites!$A:$A,$A65))</f>
        <v/>
      </c>
      <c r="F65" s="5">
        <f>IF(OR($A65="", $E65=0), "", $B65/$E65)</f>
        <v/>
      </c>
      <c r="G65" s="8" t="n"/>
      <c r="H65" s="8" t="n"/>
    </row>
    <row r="66">
      <c r="A66" s="5">
        <f>IF(Participantes!B66="","",Participantes!B66)</f>
        <v/>
      </c>
      <c r="B66" s="5">
        <f>IF($A66="","",SUMIF(Palpites!$A:$A,$A66,Palpites!$I:$I))</f>
        <v/>
      </c>
      <c r="C66" s="5">
        <f>IF($A66="","",COUNTIFS(Palpites!$A:$A,$A66,Palpites!$I:$I,3))</f>
        <v/>
      </c>
      <c r="D66" s="5">
        <f>IF($A66="","",COUNTIFS(Palpites!$A:$A,$A66,Palpites!$I:$I,"&gt;=1"))</f>
        <v/>
      </c>
      <c r="E66" s="5">
        <f>IF($A66="","",COUNTIF(Palpites!$A:$A,$A66))</f>
        <v/>
      </c>
      <c r="F66" s="5">
        <f>IF(OR($A66="", $E66=0), "", $B66/$E66)</f>
        <v/>
      </c>
      <c r="G66" s="8" t="n"/>
      <c r="H66" s="8" t="n"/>
    </row>
    <row r="67">
      <c r="A67" s="5">
        <f>IF(Participantes!B67="","",Participantes!B67)</f>
        <v/>
      </c>
      <c r="B67" s="5">
        <f>IF($A67="","",SUMIF(Palpites!$A:$A,$A67,Palpites!$I:$I))</f>
        <v/>
      </c>
      <c r="C67" s="5">
        <f>IF($A67="","",COUNTIFS(Palpites!$A:$A,$A67,Palpites!$I:$I,3))</f>
        <v/>
      </c>
      <c r="D67" s="5">
        <f>IF($A67="","",COUNTIFS(Palpites!$A:$A,$A67,Palpites!$I:$I,"&gt;=1"))</f>
        <v/>
      </c>
      <c r="E67" s="5">
        <f>IF($A67="","",COUNTIF(Palpites!$A:$A,$A67))</f>
        <v/>
      </c>
      <c r="F67" s="5">
        <f>IF(OR($A67="", $E67=0), "", $B67/$E67)</f>
        <v/>
      </c>
      <c r="G67" s="8" t="n"/>
      <c r="H67" s="8" t="n"/>
    </row>
    <row r="68">
      <c r="A68" s="5">
        <f>IF(Participantes!B68="","",Participantes!B68)</f>
        <v/>
      </c>
      <c r="B68" s="5">
        <f>IF($A68="","",SUMIF(Palpites!$A:$A,$A68,Palpites!$I:$I))</f>
        <v/>
      </c>
      <c r="C68" s="5">
        <f>IF($A68="","",COUNTIFS(Palpites!$A:$A,$A68,Palpites!$I:$I,3))</f>
        <v/>
      </c>
      <c r="D68" s="5">
        <f>IF($A68="","",COUNTIFS(Palpites!$A:$A,$A68,Palpites!$I:$I,"&gt;=1"))</f>
        <v/>
      </c>
      <c r="E68" s="5">
        <f>IF($A68="","",COUNTIF(Palpites!$A:$A,$A68))</f>
        <v/>
      </c>
      <c r="F68" s="5">
        <f>IF(OR($A68="", $E68=0), "", $B68/$E68)</f>
        <v/>
      </c>
      <c r="G68" s="8" t="n"/>
      <c r="H68" s="8" t="n"/>
    </row>
    <row r="69">
      <c r="A69" s="5">
        <f>IF(Participantes!B69="","",Participantes!B69)</f>
        <v/>
      </c>
      <c r="B69" s="5">
        <f>IF($A69="","",SUMIF(Palpites!$A:$A,$A69,Palpites!$I:$I))</f>
        <v/>
      </c>
      <c r="C69" s="5">
        <f>IF($A69="","",COUNTIFS(Palpites!$A:$A,$A69,Palpites!$I:$I,3))</f>
        <v/>
      </c>
      <c r="D69" s="5">
        <f>IF($A69="","",COUNTIFS(Palpites!$A:$A,$A69,Palpites!$I:$I,"&gt;=1"))</f>
        <v/>
      </c>
      <c r="E69" s="5">
        <f>IF($A69="","",COUNTIF(Palpites!$A:$A,$A69))</f>
        <v/>
      </c>
      <c r="F69" s="5">
        <f>IF(OR($A69="", $E69=0), "", $B69/$E69)</f>
        <v/>
      </c>
      <c r="G69" s="8" t="n"/>
      <c r="H69" s="8" t="n"/>
    </row>
    <row r="70">
      <c r="A70" s="5">
        <f>IF(Participantes!B70="","",Participantes!B70)</f>
        <v/>
      </c>
      <c r="B70" s="5">
        <f>IF($A70="","",SUMIF(Palpites!$A:$A,$A70,Palpites!$I:$I))</f>
        <v/>
      </c>
      <c r="C70" s="5">
        <f>IF($A70="","",COUNTIFS(Palpites!$A:$A,$A70,Palpites!$I:$I,3))</f>
        <v/>
      </c>
      <c r="D70" s="5">
        <f>IF($A70="","",COUNTIFS(Palpites!$A:$A,$A70,Palpites!$I:$I,"&gt;=1"))</f>
        <v/>
      </c>
      <c r="E70" s="5">
        <f>IF($A70="","",COUNTIF(Palpites!$A:$A,$A70))</f>
        <v/>
      </c>
      <c r="F70" s="5">
        <f>IF(OR($A70="", $E70=0), "", $B70/$E70)</f>
        <v/>
      </c>
      <c r="G70" s="8" t="n"/>
      <c r="H70" s="8" t="n"/>
    </row>
    <row r="71">
      <c r="A71" s="5">
        <f>IF(Participantes!B71="","",Participantes!B71)</f>
        <v/>
      </c>
      <c r="B71" s="5">
        <f>IF($A71="","",SUMIF(Palpites!$A:$A,$A71,Palpites!$I:$I))</f>
        <v/>
      </c>
      <c r="C71" s="5">
        <f>IF($A71="","",COUNTIFS(Palpites!$A:$A,$A71,Palpites!$I:$I,3))</f>
        <v/>
      </c>
      <c r="D71" s="5">
        <f>IF($A71="","",COUNTIFS(Palpites!$A:$A,$A71,Palpites!$I:$I,"&gt;=1"))</f>
        <v/>
      </c>
      <c r="E71" s="5">
        <f>IF($A71="","",COUNTIF(Palpites!$A:$A,$A71))</f>
        <v/>
      </c>
      <c r="F71" s="5">
        <f>IF(OR($A71="", $E71=0), "", $B71/$E71)</f>
        <v/>
      </c>
      <c r="G71" s="8" t="n"/>
      <c r="H71" s="8" t="n"/>
    </row>
    <row r="72">
      <c r="A72" s="5">
        <f>IF(Participantes!B72="","",Participantes!B72)</f>
        <v/>
      </c>
      <c r="B72" s="5">
        <f>IF($A72="","",SUMIF(Palpites!$A:$A,$A72,Palpites!$I:$I))</f>
        <v/>
      </c>
      <c r="C72" s="5">
        <f>IF($A72="","",COUNTIFS(Palpites!$A:$A,$A72,Palpites!$I:$I,3))</f>
        <v/>
      </c>
      <c r="D72" s="5">
        <f>IF($A72="","",COUNTIFS(Palpites!$A:$A,$A72,Palpites!$I:$I,"&gt;=1"))</f>
        <v/>
      </c>
      <c r="E72" s="5">
        <f>IF($A72="","",COUNTIF(Palpites!$A:$A,$A72))</f>
        <v/>
      </c>
      <c r="F72" s="5">
        <f>IF(OR($A72="", $E72=0), "", $B72/$E72)</f>
        <v/>
      </c>
      <c r="G72" s="8" t="n"/>
      <c r="H72" s="8" t="n"/>
    </row>
    <row r="73">
      <c r="A73" s="5">
        <f>IF(Participantes!B73="","",Participantes!B73)</f>
        <v/>
      </c>
      <c r="B73" s="5">
        <f>IF($A73="","",SUMIF(Palpites!$A:$A,$A73,Palpites!$I:$I))</f>
        <v/>
      </c>
      <c r="C73" s="5">
        <f>IF($A73="","",COUNTIFS(Palpites!$A:$A,$A73,Palpites!$I:$I,3))</f>
        <v/>
      </c>
      <c r="D73" s="5">
        <f>IF($A73="","",COUNTIFS(Palpites!$A:$A,$A73,Palpites!$I:$I,"&gt;=1"))</f>
        <v/>
      </c>
      <c r="E73" s="5">
        <f>IF($A73="","",COUNTIF(Palpites!$A:$A,$A73))</f>
        <v/>
      </c>
      <c r="F73" s="5">
        <f>IF(OR($A73="", $E73=0), "", $B73/$E73)</f>
        <v/>
      </c>
      <c r="G73" s="8" t="n"/>
      <c r="H73" s="8" t="n"/>
    </row>
    <row r="74">
      <c r="A74" s="5">
        <f>IF(Participantes!B74="","",Participantes!B74)</f>
        <v/>
      </c>
      <c r="B74" s="5">
        <f>IF($A74="","",SUMIF(Palpites!$A:$A,$A74,Palpites!$I:$I))</f>
        <v/>
      </c>
      <c r="C74" s="5">
        <f>IF($A74="","",COUNTIFS(Palpites!$A:$A,$A74,Palpites!$I:$I,3))</f>
        <v/>
      </c>
      <c r="D74" s="5">
        <f>IF($A74="","",COUNTIFS(Palpites!$A:$A,$A74,Palpites!$I:$I,"&gt;=1"))</f>
        <v/>
      </c>
      <c r="E74" s="5">
        <f>IF($A74="","",COUNTIF(Palpites!$A:$A,$A74))</f>
        <v/>
      </c>
      <c r="F74" s="5">
        <f>IF(OR($A74="", $E74=0), "", $B74/$E74)</f>
        <v/>
      </c>
      <c r="G74" s="8" t="n"/>
      <c r="H74" s="8" t="n"/>
    </row>
    <row r="75">
      <c r="A75" s="5">
        <f>IF(Participantes!B75="","",Participantes!B75)</f>
        <v/>
      </c>
      <c r="B75" s="5">
        <f>IF($A75="","",SUMIF(Palpites!$A:$A,$A75,Palpites!$I:$I))</f>
        <v/>
      </c>
      <c r="C75" s="5">
        <f>IF($A75="","",COUNTIFS(Palpites!$A:$A,$A75,Palpites!$I:$I,3))</f>
        <v/>
      </c>
      <c r="D75" s="5">
        <f>IF($A75="","",COUNTIFS(Palpites!$A:$A,$A75,Palpites!$I:$I,"&gt;=1"))</f>
        <v/>
      </c>
      <c r="E75" s="5">
        <f>IF($A75="","",COUNTIF(Palpites!$A:$A,$A75))</f>
        <v/>
      </c>
      <c r="F75" s="5">
        <f>IF(OR($A75="", $E75=0), "", $B75/$E75)</f>
        <v/>
      </c>
      <c r="G75" s="8" t="n"/>
      <c r="H75" s="8" t="n"/>
    </row>
    <row r="76">
      <c r="A76" s="5">
        <f>IF(Participantes!B76="","",Participantes!B76)</f>
        <v/>
      </c>
      <c r="B76" s="5">
        <f>IF($A76="","",SUMIF(Palpites!$A:$A,$A76,Palpites!$I:$I))</f>
        <v/>
      </c>
      <c r="C76" s="5">
        <f>IF($A76="","",COUNTIFS(Palpites!$A:$A,$A76,Palpites!$I:$I,3))</f>
        <v/>
      </c>
      <c r="D76" s="5">
        <f>IF($A76="","",COUNTIFS(Palpites!$A:$A,$A76,Palpites!$I:$I,"&gt;=1"))</f>
        <v/>
      </c>
      <c r="E76" s="5">
        <f>IF($A76="","",COUNTIF(Palpites!$A:$A,$A76))</f>
        <v/>
      </c>
      <c r="F76" s="5">
        <f>IF(OR($A76="", $E76=0), "", $B76/$E76)</f>
        <v/>
      </c>
      <c r="G76" s="8" t="n"/>
      <c r="H76" s="8" t="n"/>
    </row>
    <row r="77">
      <c r="A77" s="5">
        <f>IF(Participantes!B77="","",Participantes!B77)</f>
        <v/>
      </c>
      <c r="B77" s="5">
        <f>IF($A77="","",SUMIF(Palpites!$A:$A,$A77,Palpites!$I:$I))</f>
        <v/>
      </c>
      <c r="C77" s="5">
        <f>IF($A77="","",COUNTIFS(Palpites!$A:$A,$A77,Palpites!$I:$I,3))</f>
        <v/>
      </c>
      <c r="D77" s="5">
        <f>IF($A77="","",COUNTIFS(Palpites!$A:$A,$A77,Palpites!$I:$I,"&gt;=1"))</f>
        <v/>
      </c>
      <c r="E77" s="5">
        <f>IF($A77="","",COUNTIF(Palpites!$A:$A,$A77))</f>
        <v/>
      </c>
      <c r="F77" s="5">
        <f>IF(OR($A77="", $E77=0), "", $B77/$E77)</f>
        <v/>
      </c>
      <c r="G77" s="8" t="n"/>
      <c r="H77" s="8" t="n"/>
    </row>
    <row r="78">
      <c r="A78" s="5">
        <f>IF(Participantes!B78="","",Participantes!B78)</f>
        <v/>
      </c>
      <c r="B78" s="5">
        <f>IF($A78="","",SUMIF(Palpites!$A:$A,$A78,Palpites!$I:$I))</f>
        <v/>
      </c>
      <c r="C78" s="5">
        <f>IF($A78="","",COUNTIFS(Palpites!$A:$A,$A78,Palpites!$I:$I,3))</f>
        <v/>
      </c>
      <c r="D78" s="5">
        <f>IF($A78="","",COUNTIFS(Palpites!$A:$A,$A78,Palpites!$I:$I,"&gt;=1"))</f>
        <v/>
      </c>
      <c r="E78" s="5">
        <f>IF($A78="","",COUNTIF(Palpites!$A:$A,$A78))</f>
        <v/>
      </c>
      <c r="F78" s="5">
        <f>IF(OR($A78="", $E78=0), "", $B78/$E78)</f>
        <v/>
      </c>
      <c r="G78" s="8" t="n"/>
      <c r="H78" s="8" t="n"/>
    </row>
    <row r="79">
      <c r="A79" s="5">
        <f>IF(Participantes!B79="","",Participantes!B79)</f>
        <v/>
      </c>
      <c r="B79" s="5">
        <f>IF($A79="","",SUMIF(Palpites!$A:$A,$A79,Palpites!$I:$I))</f>
        <v/>
      </c>
      <c r="C79" s="5">
        <f>IF($A79="","",COUNTIFS(Palpites!$A:$A,$A79,Palpites!$I:$I,3))</f>
        <v/>
      </c>
      <c r="D79" s="5">
        <f>IF($A79="","",COUNTIFS(Palpites!$A:$A,$A79,Palpites!$I:$I,"&gt;=1"))</f>
        <v/>
      </c>
      <c r="E79" s="5">
        <f>IF($A79="","",COUNTIF(Palpites!$A:$A,$A79))</f>
        <v/>
      </c>
      <c r="F79" s="5">
        <f>IF(OR($A79="", $E79=0), "", $B79/$E79)</f>
        <v/>
      </c>
      <c r="G79" s="8" t="n"/>
      <c r="H79" s="8" t="n"/>
    </row>
    <row r="80">
      <c r="A80" s="5">
        <f>IF(Participantes!B80="","",Participantes!B80)</f>
        <v/>
      </c>
      <c r="B80" s="5">
        <f>IF($A80="","",SUMIF(Palpites!$A:$A,$A80,Palpites!$I:$I))</f>
        <v/>
      </c>
      <c r="C80" s="5">
        <f>IF($A80="","",COUNTIFS(Palpites!$A:$A,$A80,Palpites!$I:$I,3))</f>
        <v/>
      </c>
      <c r="D80" s="5">
        <f>IF($A80="","",COUNTIFS(Palpites!$A:$A,$A80,Palpites!$I:$I,"&gt;=1"))</f>
        <v/>
      </c>
      <c r="E80" s="5">
        <f>IF($A80="","",COUNTIF(Palpites!$A:$A,$A80))</f>
        <v/>
      </c>
      <c r="F80" s="5">
        <f>IF(OR($A80="", $E80=0), "", $B80/$E80)</f>
        <v/>
      </c>
      <c r="G80" s="8" t="n"/>
      <c r="H80" s="8" t="n"/>
    </row>
    <row r="81">
      <c r="A81" s="5">
        <f>IF(Participantes!B81="","",Participantes!B81)</f>
        <v/>
      </c>
      <c r="B81" s="5">
        <f>IF($A81="","",SUMIF(Palpites!$A:$A,$A81,Palpites!$I:$I))</f>
        <v/>
      </c>
      <c r="C81" s="5">
        <f>IF($A81="","",COUNTIFS(Palpites!$A:$A,$A81,Palpites!$I:$I,3))</f>
        <v/>
      </c>
      <c r="D81" s="5">
        <f>IF($A81="","",COUNTIFS(Palpites!$A:$A,$A81,Palpites!$I:$I,"&gt;=1"))</f>
        <v/>
      </c>
      <c r="E81" s="5">
        <f>IF($A81="","",COUNTIF(Palpites!$A:$A,$A81))</f>
        <v/>
      </c>
      <c r="F81" s="5">
        <f>IF(OR($A81="", $E81=0), "", $B81/$E81)</f>
        <v/>
      </c>
      <c r="G81" s="8" t="n"/>
      <c r="H81" s="8" t="n"/>
    </row>
    <row r="82">
      <c r="A82" s="5">
        <f>IF(Participantes!B82="","",Participantes!B82)</f>
        <v/>
      </c>
      <c r="B82" s="5">
        <f>IF($A82="","",SUMIF(Palpites!$A:$A,$A82,Palpites!$I:$I))</f>
        <v/>
      </c>
      <c r="C82" s="5">
        <f>IF($A82="","",COUNTIFS(Palpites!$A:$A,$A82,Palpites!$I:$I,3))</f>
        <v/>
      </c>
      <c r="D82" s="5">
        <f>IF($A82="","",COUNTIFS(Palpites!$A:$A,$A82,Palpites!$I:$I,"&gt;=1"))</f>
        <v/>
      </c>
      <c r="E82" s="5">
        <f>IF($A82="","",COUNTIF(Palpites!$A:$A,$A82))</f>
        <v/>
      </c>
      <c r="F82" s="5">
        <f>IF(OR($A82="", $E82=0), "", $B82/$E82)</f>
        <v/>
      </c>
      <c r="G82" s="8" t="n"/>
      <c r="H82" s="8" t="n"/>
    </row>
    <row r="83">
      <c r="A83" s="5">
        <f>IF(Participantes!B83="","",Participantes!B83)</f>
        <v/>
      </c>
      <c r="B83" s="5">
        <f>IF($A83="","",SUMIF(Palpites!$A:$A,$A83,Palpites!$I:$I))</f>
        <v/>
      </c>
      <c r="C83" s="5">
        <f>IF($A83="","",COUNTIFS(Palpites!$A:$A,$A83,Palpites!$I:$I,3))</f>
        <v/>
      </c>
      <c r="D83" s="5">
        <f>IF($A83="","",COUNTIFS(Palpites!$A:$A,$A83,Palpites!$I:$I,"&gt;=1"))</f>
        <v/>
      </c>
      <c r="E83" s="5">
        <f>IF($A83="","",COUNTIF(Palpites!$A:$A,$A83))</f>
        <v/>
      </c>
      <c r="F83" s="5">
        <f>IF(OR($A83="", $E83=0), "", $B83/$E83)</f>
        <v/>
      </c>
      <c r="G83" s="8" t="n"/>
      <c r="H83" s="8" t="n"/>
    </row>
    <row r="84">
      <c r="A84" s="5">
        <f>IF(Participantes!B84="","",Participantes!B84)</f>
        <v/>
      </c>
      <c r="B84" s="5">
        <f>IF($A84="","",SUMIF(Palpites!$A:$A,$A84,Palpites!$I:$I))</f>
        <v/>
      </c>
      <c r="C84" s="5">
        <f>IF($A84="","",COUNTIFS(Palpites!$A:$A,$A84,Palpites!$I:$I,3))</f>
        <v/>
      </c>
      <c r="D84" s="5">
        <f>IF($A84="","",COUNTIFS(Palpites!$A:$A,$A84,Palpites!$I:$I,"&gt;=1"))</f>
        <v/>
      </c>
      <c r="E84" s="5">
        <f>IF($A84="","",COUNTIF(Palpites!$A:$A,$A84))</f>
        <v/>
      </c>
      <c r="F84" s="5">
        <f>IF(OR($A84="", $E84=0), "", $B84/$E84)</f>
        <v/>
      </c>
      <c r="G84" s="8" t="n"/>
      <c r="H84" s="8" t="n"/>
    </row>
    <row r="85">
      <c r="A85" s="5">
        <f>IF(Participantes!B85="","",Participantes!B85)</f>
        <v/>
      </c>
      <c r="B85" s="5">
        <f>IF($A85="","",SUMIF(Palpites!$A:$A,$A85,Palpites!$I:$I))</f>
        <v/>
      </c>
      <c r="C85" s="5">
        <f>IF($A85="","",COUNTIFS(Palpites!$A:$A,$A85,Palpites!$I:$I,3))</f>
        <v/>
      </c>
      <c r="D85" s="5">
        <f>IF($A85="","",COUNTIFS(Palpites!$A:$A,$A85,Palpites!$I:$I,"&gt;=1"))</f>
        <v/>
      </c>
      <c r="E85" s="5">
        <f>IF($A85="","",COUNTIF(Palpites!$A:$A,$A85))</f>
        <v/>
      </c>
      <c r="F85" s="5">
        <f>IF(OR($A85="", $E85=0), "", $B85/$E85)</f>
        <v/>
      </c>
      <c r="G85" s="8" t="n"/>
      <c r="H85" s="8" t="n"/>
    </row>
    <row r="86">
      <c r="A86" s="5">
        <f>IF(Participantes!B86="","",Participantes!B86)</f>
        <v/>
      </c>
      <c r="B86" s="5">
        <f>IF($A86="","",SUMIF(Palpites!$A:$A,$A86,Palpites!$I:$I))</f>
        <v/>
      </c>
      <c r="C86" s="5">
        <f>IF($A86="","",COUNTIFS(Palpites!$A:$A,$A86,Palpites!$I:$I,3))</f>
        <v/>
      </c>
      <c r="D86" s="5">
        <f>IF($A86="","",COUNTIFS(Palpites!$A:$A,$A86,Palpites!$I:$I,"&gt;=1"))</f>
        <v/>
      </c>
      <c r="E86" s="5">
        <f>IF($A86="","",COUNTIF(Palpites!$A:$A,$A86))</f>
        <v/>
      </c>
      <c r="F86" s="5">
        <f>IF(OR($A86="", $E86=0), "", $B86/$E86)</f>
        <v/>
      </c>
      <c r="G86" s="8" t="n"/>
      <c r="H86" s="8" t="n"/>
    </row>
    <row r="87">
      <c r="A87" s="5">
        <f>IF(Participantes!B87="","",Participantes!B87)</f>
        <v/>
      </c>
      <c r="B87" s="5">
        <f>IF($A87="","",SUMIF(Palpites!$A:$A,$A87,Palpites!$I:$I))</f>
        <v/>
      </c>
      <c r="C87" s="5">
        <f>IF($A87="","",COUNTIFS(Palpites!$A:$A,$A87,Palpites!$I:$I,3))</f>
        <v/>
      </c>
      <c r="D87" s="5">
        <f>IF($A87="","",COUNTIFS(Palpites!$A:$A,$A87,Palpites!$I:$I,"&gt;=1"))</f>
        <v/>
      </c>
      <c r="E87" s="5">
        <f>IF($A87="","",COUNTIF(Palpites!$A:$A,$A87))</f>
        <v/>
      </c>
      <c r="F87" s="5">
        <f>IF(OR($A87="", $E87=0), "", $B87/$E87)</f>
        <v/>
      </c>
      <c r="G87" s="8" t="n"/>
      <c r="H87" s="8" t="n"/>
    </row>
    <row r="88">
      <c r="A88" s="5">
        <f>IF(Participantes!B88="","",Participantes!B88)</f>
        <v/>
      </c>
      <c r="B88" s="5">
        <f>IF($A88="","",SUMIF(Palpites!$A:$A,$A88,Palpites!$I:$I))</f>
        <v/>
      </c>
      <c r="C88" s="5">
        <f>IF($A88="","",COUNTIFS(Palpites!$A:$A,$A88,Palpites!$I:$I,3))</f>
        <v/>
      </c>
      <c r="D88" s="5">
        <f>IF($A88="","",COUNTIFS(Palpites!$A:$A,$A88,Palpites!$I:$I,"&gt;=1"))</f>
        <v/>
      </c>
      <c r="E88" s="5">
        <f>IF($A88="","",COUNTIF(Palpites!$A:$A,$A88))</f>
        <v/>
      </c>
      <c r="F88" s="5">
        <f>IF(OR($A88="", $E88=0), "", $B88/$E88)</f>
        <v/>
      </c>
      <c r="G88" s="8" t="n"/>
      <c r="H88" s="8" t="n"/>
    </row>
    <row r="89">
      <c r="A89" s="5">
        <f>IF(Participantes!B89="","",Participantes!B89)</f>
        <v/>
      </c>
      <c r="B89" s="5">
        <f>IF($A89="","",SUMIF(Palpites!$A:$A,$A89,Palpites!$I:$I))</f>
        <v/>
      </c>
      <c r="C89" s="5">
        <f>IF($A89="","",COUNTIFS(Palpites!$A:$A,$A89,Palpites!$I:$I,3))</f>
        <v/>
      </c>
      <c r="D89" s="5">
        <f>IF($A89="","",COUNTIFS(Palpites!$A:$A,$A89,Palpites!$I:$I,"&gt;=1"))</f>
        <v/>
      </c>
      <c r="E89" s="5">
        <f>IF($A89="","",COUNTIF(Palpites!$A:$A,$A89))</f>
        <v/>
      </c>
      <c r="F89" s="5">
        <f>IF(OR($A89="", $E89=0), "", $B89/$E89)</f>
        <v/>
      </c>
      <c r="G89" s="8" t="n"/>
      <c r="H89" s="8" t="n"/>
    </row>
    <row r="90">
      <c r="A90" s="5">
        <f>IF(Participantes!B90="","",Participantes!B90)</f>
        <v/>
      </c>
      <c r="B90" s="5">
        <f>IF($A90="","",SUMIF(Palpites!$A:$A,$A90,Palpites!$I:$I))</f>
        <v/>
      </c>
      <c r="C90" s="5">
        <f>IF($A90="","",COUNTIFS(Palpites!$A:$A,$A90,Palpites!$I:$I,3))</f>
        <v/>
      </c>
      <c r="D90" s="5">
        <f>IF($A90="","",COUNTIFS(Palpites!$A:$A,$A90,Palpites!$I:$I,"&gt;=1"))</f>
        <v/>
      </c>
      <c r="E90" s="5">
        <f>IF($A90="","",COUNTIF(Palpites!$A:$A,$A90))</f>
        <v/>
      </c>
      <c r="F90" s="5">
        <f>IF(OR($A90="", $E90=0), "", $B90/$E90)</f>
        <v/>
      </c>
      <c r="G90" s="8" t="n"/>
      <c r="H90" s="8" t="n"/>
    </row>
    <row r="91">
      <c r="A91" s="5">
        <f>IF(Participantes!B91="","",Participantes!B91)</f>
        <v/>
      </c>
      <c r="B91" s="5">
        <f>IF($A91="","",SUMIF(Palpites!$A:$A,$A91,Palpites!$I:$I))</f>
        <v/>
      </c>
      <c r="C91" s="5">
        <f>IF($A91="","",COUNTIFS(Palpites!$A:$A,$A91,Palpites!$I:$I,3))</f>
        <v/>
      </c>
      <c r="D91" s="5">
        <f>IF($A91="","",COUNTIFS(Palpites!$A:$A,$A91,Palpites!$I:$I,"&gt;=1"))</f>
        <v/>
      </c>
      <c r="E91" s="5">
        <f>IF($A91="","",COUNTIF(Palpites!$A:$A,$A91))</f>
        <v/>
      </c>
      <c r="F91" s="5">
        <f>IF(OR($A91="", $E91=0), "", $B91/$E91)</f>
        <v/>
      </c>
      <c r="G91" s="8" t="n"/>
      <c r="H91" s="8" t="n"/>
    </row>
    <row r="92">
      <c r="A92" s="5">
        <f>IF(Participantes!B92="","",Participantes!B92)</f>
        <v/>
      </c>
      <c r="B92" s="5">
        <f>IF($A92="","",SUMIF(Palpites!$A:$A,$A92,Palpites!$I:$I))</f>
        <v/>
      </c>
      <c r="C92" s="5">
        <f>IF($A92="","",COUNTIFS(Palpites!$A:$A,$A92,Palpites!$I:$I,3))</f>
        <v/>
      </c>
      <c r="D92" s="5">
        <f>IF($A92="","",COUNTIFS(Palpites!$A:$A,$A92,Palpites!$I:$I,"&gt;=1"))</f>
        <v/>
      </c>
      <c r="E92" s="5">
        <f>IF($A92="","",COUNTIF(Palpites!$A:$A,$A92))</f>
        <v/>
      </c>
      <c r="F92" s="5">
        <f>IF(OR($A92="", $E92=0), "", $B92/$E92)</f>
        <v/>
      </c>
      <c r="G92" s="8" t="n"/>
      <c r="H92" s="8" t="n"/>
    </row>
    <row r="93">
      <c r="A93" s="5">
        <f>IF(Participantes!B93="","",Participantes!B93)</f>
        <v/>
      </c>
      <c r="B93" s="5">
        <f>IF($A93="","",SUMIF(Palpites!$A:$A,$A93,Palpites!$I:$I))</f>
        <v/>
      </c>
      <c r="C93" s="5">
        <f>IF($A93="","",COUNTIFS(Palpites!$A:$A,$A93,Palpites!$I:$I,3))</f>
        <v/>
      </c>
      <c r="D93" s="5">
        <f>IF($A93="","",COUNTIFS(Palpites!$A:$A,$A93,Palpites!$I:$I,"&gt;=1"))</f>
        <v/>
      </c>
      <c r="E93" s="5">
        <f>IF($A93="","",COUNTIF(Palpites!$A:$A,$A93))</f>
        <v/>
      </c>
      <c r="F93" s="5">
        <f>IF(OR($A93="", $E93=0), "", $B93/$E93)</f>
        <v/>
      </c>
      <c r="G93" s="8" t="n"/>
      <c r="H93" s="8" t="n"/>
    </row>
    <row r="94">
      <c r="A94" s="5">
        <f>IF(Participantes!B94="","",Participantes!B94)</f>
        <v/>
      </c>
      <c r="B94" s="5">
        <f>IF($A94="","",SUMIF(Palpites!$A:$A,$A94,Palpites!$I:$I))</f>
        <v/>
      </c>
      <c r="C94" s="5">
        <f>IF($A94="","",COUNTIFS(Palpites!$A:$A,$A94,Palpites!$I:$I,3))</f>
        <v/>
      </c>
      <c r="D94" s="5">
        <f>IF($A94="","",COUNTIFS(Palpites!$A:$A,$A94,Palpites!$I:$I,"&gt;=1"))</f>
        <v/>
      </c>
      <c r="E94" s="5">
        <f>IF($A94="","",COUNTIF(Palpites!$A:$A,$A94))</f>
        <v/>
      </c>
      <c r="F94" s="5">
        <f>IF(OR($A94="", $E94=0), "", $B94/$E94)</f>
        <v/>
      </c>
      <c r="G94" s="8" t="n"/>
      <c r="H94" s="8" t="n"/>
    </row>
    <row r="95">
      <c r="A95" s="5">
        <f>IF(Participantes!B95="","",Participantes!B95)</f>
        <v/>
      </c>
      <c r="B95" s="5">
        <f>IF($A95="","",SUMIF(Palpites!$A:$A,$A95,Palpites!$I:$I))</f>
        <v/>
      </c>
      <c r="C95" s="5">
        <f>IF($A95="","",COUNTIFS(Palpites!$A:$A,$A95,Palpites!$I:$I,3))</f>
        <v/>
      </c>
      <c r="D95" s="5">
        <f>IF($A95="","",COUNTIFS(Palpites!$A:$A,$A95,Palpites!$I:$I,"&gt;=1"))</f>
        <v/>
      </c>
      <c r="E95" s="5">
        <f>IF($A95="","",COUNTIF(Palpites!$A:$A,$A95))</f>
        <v/>
      </c>
      <c r="F95" s="5">
        <f>IF(OR($A95="", $E95=0), "", $B95/$E95)</f>
        <v/>
      </c>
      <c r="G95" s="8" t="n"/>
      <c r="H95" s="8" t="n"/>
    </row>
    <row r="96">
      <c r="A96" s="5">
        <f>IF(Participantes!B96="","",Participantes!B96)</f>
        <v/>
      </c>
      <c r="B96" s="5">
        <f>IF($A96="","",SUMIF(Palpites!$A:$A,$A96,Palpites!$I:$I))</f>
        <v/>
      </c>
      <c r="C96" s="5">
        <f>IF($A96="","",COUNTIFS(Palpites!$A:$A,$A96,Palpites!$I:$I,3))</f>
        <v/>
      </c>
      <c r="D96" s="5">
        <f>IF($A96="","",COUNTIFS(Palpites!$A:$A,$A96,Palpites!$I:$I,"&gt;=1"))</f>
        <v/>
      </c>
      <c r="E96" s="5">
        <f>IF($A96="","",COUNTIF(Palpites!$A:$A,$A96))</f>
        <v/>
      </c>
      <c r="F96" s="5">
        <f>IF(OR($A96="", $E96=0), "", $B96/$E96)</f>
        <v/>
      </c>
      <c r="G96" s="8" t="n"/>
      <c r="H96" s="8" t="n"/>
    </row>
    <row r="97">
      <c r="A97" s="5">
        <f>IF(Participantes!B97="","",Participantes!B97)</f>
        <v/>
      </c>
      <c r="B97" s="5">
        <f>IF($A97="","",SUMIF(Palpites!$A:$A,$A97,Palpites!$I:$I))</f>
        <v/>
      </c>
      <c r="C97" s="5">
        <f>IF($A97="","",COUNTIFS(Palpites!$A:$A,$A97,Palpites!$I:$I,3))</f>
        <v/>
      </c>
      <c r="D97" s="5">
        <f>IF($A97="","",COUNTIFS(Palpites!$A:$A,$A97,Palpites!$I:$I,"&gt;=1"))</f>
        <v/>
      </c>
      <c r="E97" s="5">
        <f>IF($A97="","",COUNTIF(Palpites!$A:$A,$A97))</f>
        <v/>
      </c>
      <c r="F97" s="5">
        <f>IF(OR($A97="", $E97=0), "", $B97/$E97)</f>
        <v/>
      </c>
      <c r="G97" s="8" t="n"/>
      <c r="H97" s="8" t="n"/>
    </row>
    <row r="98">
      <c r="A98" s="5">
        <f>IF(Participantes!B98="","",Participantes!B98)</f>
        <v/>
      </c>
      <c r="B98" s="5">
        <f>IF($A98="","",SUMIF(Palpites!$A:$A,$A98,Palpites!$I:$I))</f>
        <v/>
      </c>
      <c r="C98" s="5">
        <f>IF($A98="","",COUNTIFS(Palpites!$A:$A,$A98,Palpites!$I:$I,3))</f>
        <v/>
      </c>
      <c r="D98" s="5">
        <f>IF($A98="","",COUNTIFS(Palpites!$A:$A,$A98,Palpites!$I:$I,"&gt;=1"))</f>
        <v/>
      </c>
      <c r="E98" s="5">
        <f>IF($A98="","",COUNTIF(Palpites!$A:$A,$A98))</f>
        <v/>
      </c>
      <c r="F98" s="5">
        <f>IF(OR($A98="", $E98=0), "", $B98/$E98)</f>
        <v/>
      </c>
      <c r="G98" s="8" t="n"/>
      <c r="H98" s="8" t="n"/>
    </row>
    <row r="99">
      <c r="A99" s="5">
        <f>IF(Participantes!B99="","",Participantes!B99)</f>
        <v/>
      </c>
      <c r="B99" s="5">
        <f>IF($A99="","",SUMIF(Palpites!$A:$A,$A99,Palpites!$I:$I))</f>
        <v/>
      </c>
      <c r="C99" s="5">
        <f>IF($A99="","",COUNTIFS(Palpites!$A:$A,$A99,Palpites!$I:$I,3))</f>
        <v/>
      </c>
      <c r="D99" s="5">
        <f>IF($A99="","",COUNTIFS(Palpites!$A:$A,$A99,Palpites!$I:$I,"&gt;=1"))</f>
        <v/>
      </c>
      <c r="E99" s="5">
        <f>IF($A99="","",COUNTIF(Palpites!$A:$A,$A99))</f>
        <v/>
      </c>
      <c r="F99" s="5">
        <f>IF(OR($A99="", $E99=0), "", $B99/$E99)</f>
        <v/>
      </c>
      <c r="G99" s="8" t="n"/>
      <c r="H99" s="8" t="n"/>
    </row>
    <row r="100">
      <c r="A100" s="5">
        <f>IF(Participantes!B100="","",Participantes!B100)</f>
        <v/>
      </c>
      <c r="B100" s="5">
        <f>IF($A100="","",SUMIF(Palpites!$A:$A,$A100,Palpites!$I:$I))</f>
        <v/>
      </c>
      <c r="C100" s="5">
        <f>IF($A100="","",COUNTIFS(Palpites!$A:$A,$A100,Palpites!$I:$I,3))</f>
        <v/>
      </c>
      <c r="D100" s="5">
        <f>IF($A100="","",COUNTIFS(Palpites!$A:$A,$A100,Palpites!$I:$I,"&gt;=1"))</f>
        <v/>
      </c>
      <c r="E100" s="5">
        <f>IF($A100="","",COUNTIF(Palpites!$A:$A,$A100))</f>
        <v/>
      </c>
      <c r="F100" s="5">
        <f>IF(OR($A100="", $E100=0), "", $B100/$E100)</f>
        <v/>
      </c>
      <c r="G100" s="8" t="n"/>
      <c r="H100" s="8" t="n"/>
    </row>
    <row r="101">
      <c r="A101" s="5">
        <f>IF(Participantes!B101="","",Participantes!B101)</f>
        <v/>
      </c>
      <c r="B101" s="5">
        <f>IF($A101="","",SUMIF(Palpites!$A:$A,$A101,Palpites!$I:$I))</f>
        <v/>
      </c>
      <c r="C101" s="5">
        <f>IF($A101="","",COUNTIFS(Palpites!$A:$A,$A101,Palpites!$I:$I,3))</f>
        <v/>
      </c>
      <c r="D101" s="5">
        <f>IF($A101="","",COUNTIFS(Palpites!$A:$A,$A101,Palpites!$I:$I,"&gt;=1"))</f>
        <v/>
      </c>
      <c r="E101" s="5">
        <f>IF($A101="","",COUNTIF(Palpites!$A:$A,$A101))</f>
        <v/>
      </c>
      <c r="F101" s="5">
        <f>IF(OR($A101="", $E101=0), "", $B101/$E101)</f>
        <v/>
      </c>
      <c r="G101" s="8" t="n"/>
      <c r="H101" s="8" t="n"/>
    </row>
  </sheetData>
  <autoFilter ref="A1:F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2026-05-25T14:57:21Z</dcterms:created>
  <dcterms:modified xsi:type="dcterms:W3CDTF">2026-05-25T14:57:22Z</dcterms:modified>
</cp:coreProperties>
</file>