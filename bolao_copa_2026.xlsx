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de Jogos" sheetId="1" state="visible" r:id="rId1"/>
    <sheet name="Lists" sheetId="2" state="hidden" r:id="rId2"/>
    <sheet name="Cadastro de Participantes" sheetId="3" state="visible" r:id="rId3"/>
    <sheet name="Controle de Palpites" sheetId="4" state="visible" r:id="rId4"/>
    <sheet name="Classificação e Ranking Geral" sheetId="5" state="visible" r:id="rId5"/>
    <sheet name="Painel G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22" customWidth="1" min="5" max="5"/>
    <col width="28" customWidth="1" min="6" max="6"/>
    <col width="10" customWidth="1" min="7" max="7"/>
    <col width="12" customWidth="1" min="8" max="8"/>
    <col width="12" customWidth="1" min="9" max="9"/>
    <col width="30" customWidth="1" min="10" max="10"/>
  </cols>
  <sheetData>
    <row r="1">
      <c r="A1" s="1" t="inlineStr">
        <is>
          <t>Match #</t>
        </is>
      </c>
      <c r="B1" s="1" t="inlineStr">
        <is>
          <t>Date</t>
        </is>
      </c>
      <c r="C1" s="1" t="inlineStr">
        <is>
          <t>Stage</t>
        </is>
      </c>
      <c r="D1" s="1" t="inlineStr">
        <is>
          <t>Home Team</t>
        </is>
      </c>
      <c r="E1" s="1" t="inlineStr">
        <is>
          <t>Away Team</t>
        </is>
      </c>
      <c r="F1" s="1" t="inlineStr">
        <is>
          <t>Venue</t>
        </is>
      </c>
      <c r="G1" s="1" t="inlineStr">
        <is>
          <t>Time Zone</t>
        </is>
      </c>
      <c r="H1" s="1" t="inlineStr">
        <is>
          <t>Actual Home</t>
        </is>
      </c>
      <c r="I1" s="1" t="inlineStr">
        <is>
          <t>Actual Away</t>
        </is>
      </c>
      <c r="J1" s="1" t="inlineStr">
        <is>
          <t>Result Notes</t>
        </is>
      </c>
    </row>
    <row r="2">
      <c r="A2" s="2" t="n">
        <v>1</v>
      </c>
      <c r="B2" s="2" t="inlineStr">
        <is>
          <t>2026-06-11</t>
        </is>
      </c>
      <c r="C2" s="2" t="inlineStr">
        <is>
          <t>Group A</t>
        </is>
      </c>
      <c r="D2" s="2" t="inlineStr">
        <is>
          <t>Mexico</t>
        </is>
      </c>
      <c r="E2" s="2" t="inlineStr">
        <is>
          <t>South Africa</t>
        </is>
      </c>
      <c r="F2" s="2" t="inlineStr">
        <is>
          <t>Estadio Azteca</t>
        </is>
      </c>
      <c r="G2" s="2" t="inlineStr">
        <is>
          <t>UTC-6</t>
        </is>
      </c>
      <c r="H2" s="2" t="inlineStr"/>
      <c r="I2" s="2" t="inlineStr"/>
      <c r="J2" s="2" t="inlineStr"/>
    </row>
    <row r="3">
      <c r="A3" s="2" t="n">
        <v>2</v>
      </c>
      <c r="B3" s="2" t="inlineStr">
        <is>
          <t>2026-06-11</t>
        </is>
      </c>
      <c r="C3" s="2" t="inlineStr">
        <is>
          <t>Group A</t>
        </is>
      </c>
      <c r="D3" s="2" t="inlineStr">
        <is>
          <t>South Korea</t>
        </is>
      </c>
      <c r="E3" s="2" t="inlineStr">
        <is>
          <t>Czech Republic</t>
        </is>
      </c>
      <c r="F3" s="2" t="inlineStr">
        <is>
          <t>Estadio Azteca</t>
        </is>
      </c>
      <c r="G3" s="2" t="inlineStr">
        <is>
          <t>UTC-6</t>
        </is>
      </c>
      <c r="H3" s="2" t="inlineStr"/>
      <c r="I3" s="2" t="inlineStr"/>
      <c r="J3" s="2" t="inlineStr"/>
    </row>
    <row r="4">
      <c r="A4" s="2" t="n">
        <v>3</v>
      </c>
      <c r="B4" s="2" t="inlineStr">
        <is>
          <t>2026-06-12</t>
        </is>
      </c>
      <c r="C4" s="2" t="inlineStr">
        <is>
          <t>Group B</t>
        </is>
      </c>
      <c r="D4" s="2" t="inlineStr">
        <is>
          <t>Canada</t>
        </is>
      </c>
      <c r="E4" s="2" t="inlineStr">
        <is>
          <t>Bosnia and Herzegovina</t>
        </is>
      </c>
      <c r="F4" s="2" t="inlineStr">
        <is>
          <t>BMO Field</t>
        </is>
      </c>
      <c r="G4" s="2" t="inlineStr">
        <is>
          <t>UTC-4</t>
        </is>
      </c>
      <c r="H4" s="2" t="inlineStr"/>
      <c r="I4" s="2" t="inlineStr"/>
      <c r="J4" s="2" t="inlineStr"/>
    </row>
    <row r="5">
      <c r="A5" s="2" t="n">
        <v>4</v>
      </c>
      <c r="B5" s="2" t="inlineStr">
        <is>
          <t>2026-06-12</t>
        </is>
      </c>
      <c r="C5" s="2" t="inlineStr">
        <is>
          <t>Group D</t>
        </is>
      </c>
      <c r="D5" s="2" t="inlineStr">
        <is>
          <t>United States</t>
        </is>
      </c>
      <c r="E5" s="2" t="inlineStr">
        <is>
          <t>Paraguay</t>
        </is>
      </c>
      <c r="F5" s="2" t="inlineStr">
        <is>
          <t>SoFi Stadium</t>
        </is>
      </c>
      <c r="G5" s="2" t="inlineStr">
        <is>
          <t>UTC-7</t>
        </is>
      </c>
      <c r="H5" s="2" t="inlineStr"/>
      <c r="I5" s="2" t="inlineStr"/>
      <c r="J5" s="2" t="inlineStr"/>
    </row>
    <row r="6">
      <c r="A6" s="2" t="n">
        <v>5</v>
      </c>
      <c r="B6" s="2" t="inlineStr">
        <is>
          <t>2026-06-13</t>
        </is>
      </c>
      <c r="C6" s="2" t="inlineStr">
        <is>
          <t>Group C</t>
        </is>
      </c>
      <c r="D6" s="2" t="inlineStr">
        <is>
          <t>Haiti</t>
        </is>
      </c>
      <c r="E6" s="2" t="inlineStr">
        <is>
          <t>Scotland</t>
        </is>
      </c>
      <c r="F6" s="2" t="inlineStr">
        <is>
          <t>MetLife Stadium</t>
        </is>
      </c>
      <c r="G6" s="2" t="inlineStr">
        <is>
          <t>UTC-4</t>
        </is>
      </c>
      <c r="H6" s="2" t="inlineStr"/>
      <c r="I6" s="2" t="inlineStr"/>
      <c r="J6" s="2" t="inlineStr"/>
    </row>
    <row r="7">
      <c r="A7" s="2" t="n">
        <v>6</v>
      </c>
      <c r="B7" s="2" t="inlineStr">
        <is>
          <t>2026-06-13</t>
        </is>
      </c>
      <c r="C7" s="2" t="inlineStr">
        <is>
          <t>Group D</t>
        </is>
      </c>
      <c r="D7" s="2" t="inlineStr">
        <is>
          <t>Australia</t>
        </is>
      </c>
      <c r="E7" s="2" t="inlineStr">
        <is>
          <t>Turkey</t>
        </is>
      </c>
      <c r="F7" s="2" t="inlineStr">
        <is>
          <t>SoFi Stadium</t>
        </is>
      </c>
      <c r="G7" s="2" t="inlineStr">
        <is>
          <t>UTC-7</t>
        </is>
      </c>
      <c r="H7" s="2" t="inlineStr"/>
      <c r="I7" s="2" t="inlineStr"/>
      <c r="J7" s="2" t="inlineStr"/>
    </row>
    <row r="8">
      <c r="A8" s="2" t="n">
        <v>7</v>
      </c>
      <c r="B8" s="2" t="inlineStr">
        <is>
          <t>2026-06-13</t>
        </is>
      </c>
      <c r="C8" s="2" t="inlineStr">
        <is>
          <t>Group C</t>
        </is>
      </c>
      <c r="D8" s="2" t="inlineStr">
        <is>
          <t>Brazil</t>
        </is>
      </c>
      <c r="E8" s="2" t="inlineStr">
        <is>
          <t>Morocco</t>
        </is>
      </c>
      <c r="F8" s="2" t="inlineStr">
        <is>
          <t>MetLife Stadium</t>
        </is>
      </c>
      <c r="G8" s="2" t="inlineStr">
        <is>
          <t>UTC-4</t>
        </is>
      </c>
      <c r="H8" s="2" t="inlineStr"/>
      <c r="I8" s="2" t="inlineStr"/>
      <c r="J8" s="2" t="inlineStr"/>
    </row>
    <row r="9">
      <c r="A9" s="2" t="n">
        <v>8</v>
      </c>
      <c r="B9" s="2" t="inlineStr">
        <is>
          <t>2026-06-13</t>
        </is>
      </c>
      <c r="C9" s="2" t="inlineStr">
        <is>
          <t>Group B</t>
        </is>
      </c>
      <c r="D9" s="2" t="inlineStr">
        <is>
          <t>Qatar</t>
        </is>
      </c>
      <c r="E9" s="2" t="inlineStr">
        <is>
          <t>Switzerland</t>
        </is>
      </c>
      <c r="F9" s="2" t="inlineStr">
        <is>
          <t>BMO Field</t>
        </is>
      </c>
      <c r="G9" s="2" t="inlineStr">
        <is>
          <t>UTC-7</t>
        </is>
      </c>
      <c r="H9" s="2" t="inlineStr"/>
      <c r="I9" s="2" t="inlineStr"/>
      <c r="J9" s="2" t="inlineStr"/>
    </row>
    <row r="10">
      <c r="A10" s="2" t="n">
        <v>9</v>
      </c>
      <c r="B10" s="2" t="inlineStr">
        <is>
          <t>2026-06-14</t>
        </is>
      </c>
      <c r="C10" s="2" t="inlineStr">
        <is>
          <t>Group E</t>
        </is>
      </c>
      <c r="D10" s="2" t="inlineStr">
        <is>
          <t>Ivory Coast</t>
        </is>
      </c>
      <c r="E10" s="2" t="inlineStr">
        <is>
          <t>Ecuador</t>
        </is>
      </c>
      <c r="F10" s="2" t="inlineStr">
        <is>
          <t>NRG Stadium</t>
        </is>
      </c>
      <c r="G10" s="2" t="inlineStr">
        <is>
          <t>UTC-4</t>
        </is>
      </c>
      <c r="H10" s="2" t="inlineStr"/>
      <c r="I10" s="2" t="inlineStr"/>
      <c r="J10" s="2" t="inlineStr"/>
    </row>
    <row r="11">
      <c r="A11" s="2" t="n">
        <v>10</v>
      </c>
      <c r="B11" s="2" t="inlineStr">
        <is>
          <t>2026-06-14</t>
        </is>
      </c>
      <c r="C11" s="2" t="inlineStr">
        <is>
          <t>Group E</t>
        </is>
      </c>
      <c r="D11" s="2" t="inlineStr">
        <is>
          <t>Germany</t>
        </is>
      </c>
      <c r="E11" s="2" t="inlineStr">
        <is>
          <t>Curaçao</t>
        </is>
      </c>
      <c r="F11" s="2" t="inlineStr">
        <is>
          <t>NRG Stadium</t>
        </is>
      </c>
      <c r="G11" s="2" t="inlineStr">
        <is>
          <t>UTC-4</t>
        </is>
      </c>
      <c r="H11" s="2" t="inlineStr"/>
      <c r="I11" s="2" t="inlineStr"/>
      <c r="J11" s="2" t="inlineStr"/>
    </row>
    <row r="12">
      <c r="A12" s="2" t="n">
        <v>11</v>
      </c>
      <c r="B12" s="2" t="inlineStr">
        <is>
          <t>2026-06-14</t>
        </is>
      </c>
      <c r="C12" s="2" t="inlineStr">
        <is>
          <t>Group F</t>
        </is>
      </c>
      <c r="D12" s="2" t="inlineStr">
        <is>
          <t>Netherlands</t>
        </is>
      </c>
      <c r="E12" s="2" t="inlineStr">
        <is>
          <t>Japan</t>
        </is>
      </c>
      <c r="F12" s="2" t="inlineStr">
        <is>
          <t>AT&amp;T Stadium</t>
        </is>
      </c>
      <c r="G12" s="2" t="inlineStr">
        <is>
          <t>UTC-6</t>
        </is>
      </c>
      <c r="H12" s="2" t="inlineStr"/>
      <c r="I12" s="2" t="inlineStr"/>
      <c r="J12" s="2" t="inlineStr"/>
    </row>
    <row r="13">
      <c r="A13" s="2" t="n">
        <v>12</v>
      </c>
      <c r="B13" s="2" t="inlineStr">
        <is>
          <t>2026-06-14</t>
        </is>
      </c>
      <c r="C13" s="2" t="inlineStr">
        <is>
          <t>Group F</t>
        </is>
      </c>
      <c r="D13" s="2" t="inlineStr">
        <is>
          <t>Sweden</t>
        </is>
      </c>
      <c r="E13" s="2" t="inlineStr">
        <is>
          <t>Tunisia</t>
        </is>
      </c>
      <c r="F13" s="2" t="inlineStr">
        <is>
          <t>AT&amp;T Stadium</t>
        </is>
      </c>
      <c r="G13" s="2" t="inlineStr">
        <is>
          <t>UTC-6</t>
        </is>
      </c>
      <c r="H13" s="2" t="inlineStr"/>
      <c r="I13" s="2" t="inlineStr"/>
      <c r="J13" s="2" t="inlineStr"/>
    </row>
    <row r="14">
      <c r="A14" s="2" t="n">
        <v>13</v>
      </c>
      <c r="B14" s="2" t="inlineStr">
        <is>
          <t>2026-06-15</t>
        </is>
      </c>
      <c r="C14" s="2" t="inlineStr">
        <is>
          <t>Group H</t>
        </is>
      </c>
      <c r="D14" s="2" t="inlineStr">
        <is>
          <t>Saudi Arabia</t>
        </is>
      </c>
      <c r="E14" s="2" t="inlineStr">
        <is>
          <t>Uruguay</t>
        </is>
      </c>
      <c r="F14" s="2" t="inlineStr">
        <is>
          <t>Mercedes-Benz Stadium</t>
        </is>
      </c>
      <c r="G14" s="2" t="inlineStr">
        <is>
          <t>UTC-4</t>
        </is>
      </c>
      <c r="H14" s="2" t="inlineStr"/>
      <c r="I14" s="2" t="inlineStr"/>
      <c r="J14" s="2" t="inlineStr"/>
    </row>
    <row r="15">
      <c r="A15" s="2" t="n">
        <v>14</v>
      </c>
      <c r="B15" s="2" t="inlineStr">
        <is>
          <t>2026-06-15</t>
        </is>
      </c>
      <c r="C15" s="2" t="inlineStr">
        <is>
          <t>Group H</t>
        </is>
      </c>
      <c r="D15" s="2" t="inlineStr">
        <is>
          <t>Spain</t>
        </is>
      </c>
      <c r="E15" s="2" t="inlineStr">
        <is>
          <t>Cape Verde</t>
        </is>
      </c>
      <c r="F15" s="2" t="inlineStr">
        <is>
          <t>Mercedes-Benz Stadium</t>
        </is>
      </c>
      <c r="G15" s="2" t="inlineStr">
        <is>
          <t>UTC-4</t>
        </is>
      </c>
      <c r="H15" s="2" t="inlineStr"/>
      <c r="I15" s="2" t="inlineStr"/>
      <c r="J15" s="2" t="inlineStr"/>
    </row>
    <row r="16">
      <c r="A16" s="2" t="n">
        <v>15</v>
      </c>
      <c r="B16" s="2" t="inlineStr">
        <is>
          <t>2026-06-15</t>
        </is>
      </c>
      <c r="C16" s="2" t="inlineStr">
        <is>
          <t>Group G</t>
        </is>
      </c>
      <c r="D16" s="2" t="inlineStr">
        <is>
          <t>Iran</t>
        </is>
      </c>
      <c r="E16" s="2" t="inlineStr">
        <is>
          <t>New Zealand</t>
        </is>
      </c>
      <c r="F16" s="2" t="inlineStr">
        <is>
          <t>Lumen Field</t>
        </is>
      </c>
      <c r="G16" s="2" t="inlineStr">
        <is>
          <t>UTC-7</t>
        </is>
      </c>
      <c r="H16" s="2" t="inlineStr"/>
      <c r="I16" s="2" t="inlineStr"/>
      <c r="J16" s="2" t="inlineStr"/>
    </row>
    <row r="17">
      <c r="A17" s="2" t="n">
        <v>16</v>
      </c>
      <c r="B17" s="2" t="inlineStr">
        <is>
          <t>2026-06-15</t>
        </is>
      </c>
      <c r="C17" s="2" t="inlineStr">
        <is>
          <t>Group G</t>
        </is>
      </c>
      <c r="D17" s="2" t="inlineStr">
        <is>
          <t>Belgium</t>
        </is>
      </c>
      <c r="E17" s="2" t="inlineStr">
        <is>
          <t>Egypt</t>
        </is>
      </c>
      <c r="F17" s="2" t="inlineStr">
        <is>
          <t>Lumen Field</t>
        </is>
      </c>
      <c r="G17" s="2" t="inlineStr">
        <is>
          <t>UTC-7</t>
        </is>
      </c>
      <c r="H17" s="2" t="inlineStr"/>
      <c r="I17" s="2" t="inlineStr"/>
      <c r="J17" s="2" t="inlineStr"/>
    </row>
    <row r="18">
      <c r="A18" s="2" t="n">
        <v>17</v>
      </c>
      <c r="B18" s="2" t="inlineStr">
        <is>
          <t>2026-06-16</t>
        </is>
      </c>
      <c r="C18" s="2" t="inlineStr">
        <is>
          <t>Group I</t>
        </is>
      </c>
      <c r="D18" s="2" t="inlineStr">
        <is>
          <t>France</t>
        </is>
      </c>
      <c r="E18" s="2" t="inlineStr">
        <is>
          <t>Senegal</t>
        </is>
      </c>
      <c r="F18" s="2" t="inlineStr">
        <is>
          <t>MetLife Stadium</t>
        </is>
      </c>
      <c r="G18" s="2" t="inlineStr">
        <is>
          <t>UTC-4</t>
        </is>
      </c>
      <c r="H18" s="2" t="inlineStr"/>
      <c r="I18" s="2" t="inlineStr"/>
      <c r="J18" s="2" t="inlineStr"/>
    </row>
    <row r="19">
      <c r="A19" s="2" t="n">
        <v>18</v>
      </c>
      <c r="B19" s="2" t="inlineStr">
        <is>
          <t>2026-06-16</t>
        </is>
      </c>
      <c r="C19" s="2" t="inlineStr">
        <is>
          <t>Group I</t>
        </is>
      </c>
      <c r="D19" s="2" t="inlineStr">
        <is>
          <t>Iraq</t>
        </is>
      </c>
      <c r="E19" s="2" t="inlineStr">
        <is>
          <t>Norway</t>
        </is>
      </c>
      <c r="F19" s="2" t="inlineStr">
        <is>
          <t>MetLife Stadium</t>
        </is>
      </c>
      <c r="G19" s="2" t="inlineStr">
        <is>
          <t>UTC-4</t>
        </is>
      </c>
      <c r="H19" s="2" t="inlineStr"/>
      <c r="I19" s="2" t="inlineStr"/>
      <c r="J19" s="2" t="inlineStr"/>
    </row>
    <row r="20">
      <c r="A20" s="2" t="n">
        <v>19</v>
      </c>
      <c r="B20" s="2" t="inlineStr">
        <is>
          <t>2026-06-16</t>
        </is>
      </c>
      <c r="C20" s="2" t="inlineStr">
        <is>
          <t>Group J</t>
        </is>
      </c>
      <c r="D20" s="2" t="inlineStr">
        <is>
          <t>Argentina</t>
        </is>
      </c>
      <c r="E20" s="2" t="inlineStr">
        <is>
          <t>Algeria</t>
        </is>
      </c>
      <c r="F20" s="2" t="inlineStr">
        <is>
          <t>AT&amp;T Stadium</t>
        </is>
      </c>
      <c r="G20" s="2" t="inlineStr">
        <is>
          <t>UTC-6</t>
        </is>
      </c>
      <c r="H20" s="2" t="inlineStr"/>
      <c r="I20" s="2" t="inlineStr"/>
      <c r="J20" s="2" t="inlineStr"/>
    </row>
    <row r="21">
      <c r="A21" s="2" t="n">
        <v>20</v>
      </c>
      <c r="B21" s="2" t="inlineStr">
        <is>
          <t>2026-06-16</t>
        </is>
      </c>
      <c r="C21" s="2" t="inlineStr">
        <is>
          <t>Group J</t>
        </is>
      </c>
      <c r="D21" s="2" t="inlineStr">
        <is>
          <t>Austria</t>
        </is>
      </c>
      <c r="E21" s="2" t="inlineStr">
        <is>
          <t>Jordan</t>
        </is>
      </c>
      <c r="F21" s="2" t="inlineStr">
        <is>
          <t>AT&amp;T Stadium</t>
        </is>
      </c>
      <c r="G21" s="2" t="inlineStr">
        <is>
          <t>UTC-6</t>
        </is>
      </c>
      <c r="H21" s="2" t="inlineStr"/>
      <c r="I21" s="2" t="inlineStr"/>
      <c r="J21" s="2" t="inlineStr"/>
    </row>
    <row r="22">
      <c r="A22" s="2" t="n">
        <v>21</v>
      </c>
      <c r="B22" s="2" t="inlineStr">
        <is>
          <t>2026-06-17</t>
        </is>
      </c>
      <c r="C22" s="2" t="inlineStr">
        <is>
          <t>Group L</t>
        </is>
      </c>
      <c r="D22" s="2" t="inlineStr">
        <is>
          <t>Ghana</t>
        </is>
      </c>
      <c r="E22" s="2" t="inlineStr">
        <is>
          <t>Panama</t>
        </is>
      </c>
      <c r="F22" s="2" t="inlineStr">
        <is>
          <t>AT&amp;T Stadium</t>
        </is>
      </c>
      <c r="G22" s="2" t="inlineStr">
        <is>
          <t>UTC-6</t>
        </is>
      </c>
      <c r="H22" s="2" t="inlineStr"/>
      <c r="I22" s="2" t="inlineStr"/>
      <c r="J22" s="2" t="inlineStr"/>
    </row>
    <row r="23">
      <c r="A23" s="2" t="n">
        <v>22</v>
      </c>
      <c r="B23" s="2" t="inlineStr">
        <is>
          <t>2026-06-17</t>
        </is>
      </c>
      <c r="C23" s="2" t="inlineStr">
        <is>
          <t>Group L</t>
        </is>
      </c>
      <c r="D23" s="2" t="inlineStr">
        <is>
          <t>England</t>
        </is>
      </c>
      <c r="E23" s="2" t="inlineStr">
        <is>
          <t>Croatia</t>
        </is>
      </c>
      <c r="F23" s="2" t="inlineStr">
        <is>
          <t>AT&amp;T Stadium</t>
        </is>
      </c>
      <c r="G23" s="2" t="inlineStr">
        <is>
          <t>UTC-6</t>
        </is>
      </c>
      <c r="H23" s="2" t="inlineStr"/>
      <c r="I23" s="2" t="inlineStr"/>
      <c r="J23" s="2" t="inlineStr"/>
    </row>
    <row r="24">
      <c r="A24" s="2" t="n">
        <v>23</v>
      </c>
      <c r="B24" s="2" t="inlineStr">
        <is>
          <t>2026-06-17</t>
        </is>
      </c>
      <c r="C24" s="2" t="inlineStr">
        <is>
          <t>Group K</t>
        </is>
      </c>
      <c r="D24" s="2" t="inlineStr">
        <is>
          <t>Portugal</t>
        </is>
      </c>
      <c r="E24" s="2" t="inlineStr">
        <is>
          <t>DR Congo</t>
        </is>
      </c>
      <c r="F24" s="2" t="inlineStr">
        <is>
          <t>Estadio Azteca</t>
        </is>
      </c>
      <c r="G24" s="2" t="inlineStr">
        <is>
          <t>UTC-6</t>
        </is>
      </c>
      <c r="H24" s="2" t="inlineStr"/>
      <c r="I24" s="2" t="inlineStr"/>
      <c r="J24" s="2" t="inlineStr"/>
    </row>
    <row r="25">
      <c r="A25" s="2" t="n">
        <v>24</v>
      </c>
      <c r="B25" s="2" t="inlineStr">
        <is>
          <t>2026-06-17</t>
        </is>
      </c>
      <c r="C25" s="2" t="inlineStr">
        <is>
          <t>Group K</t>
        </is>
      </c>
      <c r="D25" s="2" t="inlineStr">
        <is>
          <t>Uzbekistan</t>
        </is>
      </c>
      <c r="E25" s="2" t="inlineStr">
        <is>
          <t>Colombia</t>
        </is>
      </c>
      <c r="F25" s="2" t="inlineStr">
        <is>
          <t>Estadio Azteca</t>
        </is>
      </c>
      <c r="G25" s="2" t="inlineStr">
        <is>
          <t>UTC-6</t>
        </is>
      </c>
      <c r="H25" s="2" t="inlineStr"/>
      <c r="I25" s="2" t="inlineStr"/>
      <c r="J25" s="2" t="inlineStr"/>
    </row>
    <row r="26">
      <c r="A26" s="2" t="n">
        <v>25</v>
      </c>
      <c r="B26" s="2" t="inlineStr">
        <is>
          <t>2026-06-18</t>
        </is>
      </c>
      <c r="C26" s="2" t="inlineStr">
        <is>
          <t>Group A</t>
        </is>
      </c>
      <c r="D26" s="2" t="inlineStr">
        <is>
          <t>Czech Republic</t>
        </is>
      </c>
      <c r="E26" s="2" t="inlineStr">
        <is>
          <t>South Africa</t>
        </is>
      </c>
      <c r="F26" s="2" t="inlineStr">
        <is>
          <t>Estadio Akron</t>
        </is>
      </c>
      <c r="G26" s="2" t="inlineStr">
        <is>
          <t>UTC-4</t>
        </is>
      </c>
      <c r="H26" s="2" t="inlineStr"/>
      <c r="I26" s="2" t="inlineStr"/>
      <c r="J26" s="2" t="inlineStr"/>
    </row>
    <row r="27">
      <c r="A27" s="2" t="n">
        <v>26</v>
      </c>
      <c r="B27" s="2" t="inlineStr">
        <is>
          <t>2026-06-18</t>
        </is>
      </c>
      <c r="C27" s="2" t="inlineStr">
        <is>
          <t>Group B</t>
        </is>
      </c>
      <c r="D27" s="2" t="inlineStr">
        <is>
          <t>Switzerland</t>
        </is>
      </c>
      <c r="E27" s="2" t="inlineStr">
        <is>
          <t>Bosnia and Herzegovina</t>
        </is>
      </c>
      <c r="F27" s="2" t="inlineStr">
        <is>
          <t>Levi's Stadium</t>
        </is>
      </c>
      <c r="G27" s="2" t="inlineStr">
        <is>
          <t>UTC-7</t>
        </is>
      </c>
      <c r="H27" s="2" t="inlineStr"/>
      <c r="I27" s="2" t="inlineStr"/>
      <c r="J27" s="2" t="inlineStr"/>
    </row>
    <row r="28">
      <c r="A28" s="2" t="n">
        <v>27</v>
      </c>
      <c r="B28" s="2" t="inlineStr">
        <is>
          <t>2026-06-18</t>
        </is>
      </c>
      <c r="C28" s="2" t="inlineStr">
        <is>
          <t>Group B</t>
        </is>
      </c>
      <c r="D28" s="2" t="inlineStr">
        <is>
          <t>Canada</t>
        </is>
      </c>
      <c r="E28" s="2" t="inlineStr">
        <is>
          <t>Qatar</t>
        </is>
      </c>
      <c r="F28" s="2" t="inlineStr">
        <is>
          <t>SoFi Stadium</t>
        </is>
      </c>
      <c r="G28" s="2" t="inlineStr">
        <is>
          <t>UTC-7</t>
        </is>
      </c>
      <c r="H28" s="2" t="inlineStr"/>
      <c r="I28" s="2" t="inlineStr"/>
      <c r="J28" s="2" t="inlineStr"/>
    </row>
    <row r="29">
      <c r="A29" s="2" t="n">
        <v>28</v>
      </c>
      <c r="B29" s="2" t="inlineStr">
        <is>
          <t>2026-06-18</t>
        </is>
      </c>
      <c r="C29" s="2" t="inlineStr">
        <is>
          <t>Group A</t>
        </is>
      </c>
      <c r="D29" s="2" t="inlineStr">
        <is>
          <t>Mexico</t>
        </is>
      </c>
      <c r="E29" s="2" t="inlineStr">
        <is>
          <t>South Korea</t>
        </is>
      </c>
      <c r="F29" s="2" t="inlineStr">
        <is>
          <t>Mercedes-Benz Stadium</t>
        </is>
      </c>
      <c r="G29" s="2" t="inlineStr">
        <is>
          <t>UTC-6</t>
        </is>
      </c>
      <c r="H29" s="2" t="inlineStr"/>
      <c r="I29" s="2" t="inlineStr"/>
      <c r="J29" s="2" t="inlineStr"/>
    </row>
    <row r="30">
      <c r="A30" s="2" t="n">
        <v>29</v>
      </c>
      <c r="B30" s="2" t="inlineStr">
        <is>
          <t>2026-06-19</t>
        </is>
      </c>
      <c r="C30" s="2" t="inlineStr">
        <is>
          <t>Group C</t>
        </is>
      </c>
      <c r="D30" s="2" t="inlineStr">
        <is>
          <t>Brazil</t>
        </is>
      </c>
      <c r="E30" s="2" t="inlineStr">
        <is>
          <t>Haiti</t>
        </is>
      </c>
      <c r="F30" s="2" t="inlineStr">
        <is>
          <t>Gillette Stadium</t>
        </is>
      </c>
      <c r="G30" s="2" t="inlineStr">
        <is>
          <t>UTC-4</t>
        </is>
      </c>
      <c r="H30" s="2" t="inlineStr"/>
      <c r="I30" s="2" t="inlineStr"/>
      <c r="J30" s="2" t="inlineStr"/>
    </row>
    <row r="31">
      <c r="A31" s="2" t="n">
        <v>30</v>
      </c>
      <c r="B31" s="2" t="inlineStr">
        <is>
          <t>2026-06-19</t>
        </is>
      </c>
      <c r="C31" s="2" t="inlineStr">
        <is>
          <t>Group C</t>
        </is>
      </c>
      <c r="D31" s="2" t="inlineStr">
        <is>
          <t>Scotland</t>
        </is>
      </c>
      <c r="E31" s="2" t="inlineStr">
        <is>
          <t>Morocco</t>
        </is>
      </c>
      <c r="F31" s="2" t="inlineStr">
        <is>
          <t>Gillette Stadium</t>
        </is>
      </c>
      <c r="G31" s="2" t="inlineStr">
        <is>
          <t>UTC-4</t>
        </is>
      </c>
      <c r="H31" s="2" t="inlineStr"/>
      <c r="I31" s="2" t="inlineStr"/>
      <c r="J31" s="2" t="inlineStr"/>
    </row>
    <row r="32">
      <c r="A32" s="2" t="n">
        <v>31</v>
      </c>
      <c r="B32" s="2" t="inlineStr">
        <is>
          <t>2026-06-19</t>
        </is>
      </c>
      <c r="C32" s="2" t="inlineStr">
        <is>
          <t>Group D</t>
        </is>
      </c>
      <c r="D32" s="2" t="inlineStr">
        <is>
          <t>Turkey</t>
        </is>
      </c>
      <c r="E32" s="2" t="inlineStr">
        <is>
          <t>Paraguay</t>
        </is>
      </c>
      <c r="F32" s="2" t="inlineStr">
        <is>
          <t>BC Place</t>
        </is>
      </c>
      <c r="G32" s="2" t="inlineStr">
        <is>
          <t>UTC-7</t>
        </is>
      </c>
      <c r="H32" s="2" t="inlineStr"/>
      <c r="I32" s="2" t="inlineStr"/>
      <c r="J32" s="2" t="inlineStr"/>
    </row>
    <row r="33">
      <c r="A33" s="2" t="n">
        <v>32</v>
      </c>
      <c r="B33" s="2" t="inlineStr">
        <is>
          <t>2026-06-19</t>
        </is>
      </c>
      <c r="C33" s="2" t="inlineStr">
        <is>
          <t>Group D</t>
        </is>
      </c>
      <c r="D33" s="2" t="inlineStr">
        <is>
          <t>United States</t>
        </is>
      </c>
      <c r="E33" s="2" t="inlineStr">
        <is>
          <t>Australia</t>
        </is>
      </c>
      <c r="F33" s="2" t="inlineStr">
        <is>
          <t>BC Place</t>
        </is>
      </c>
      <c r="G33" s="2" t="inlineStr">
        <is>
          <t>UTC-7</t>
        </is>
      </c>
      <c r="H33" s="2" t="inlineStr"/>
      <c r="I33" s="2" t="inlineStr"/>
      <c r="J33" s="2" t="inlineStr"/>
    </row>
    <row r="34">
      <c r="A34" s="2" t="n">
        <v>33</v>
      </c>
      <c r="B34" s="2" t="inlineStr">
        <is>
          <t>2026-06-20</t>
        </is>
      </c>
      <c r="C34" s="2" t="inlineStr">
        <is>
          <t>Group E</t>
        </is>
      </c>
      <c r="D34" s="2" t="inlineStr">
        <is>
          <t>Germany</t>
        </is>
      </c>
      <c r="E34" s="2" t="inlineStr">
        <is>
          <t>Ivory Coast</t>
        </is>
      </c>
      <c r="F34" s="2" t="inlineStr">
        <is>
          <t>Lincoln Financial Field</t>
        </is>
      </c>
      <c r="G34" s="2" t="inlineStr">
        <is>
          <t>UTC-4</t>
        </is>
      </c>
      <c r="H34" s="2" t="inlineStr"/>
      <c r="I34" s="2" t="inlineStr"/>
      <c r="J34" s="2" t="inlineStr"/>
    </row>
    <row r="35">
      <c r="A35" s="2" t="n">
        <v>34</v>
      </c>
      <c r="B35" s="2" t="inlineStr">
        <is>
          <t>2026-06-20</t>
        </is>
      </c>
      <c r="C35" s="2" t="inlineStr">
        <is>
          <t>Group E</t>
        </is>
      </c>
      <c r="D35" s="2" t="inlineStr">
        <is>
          <t>Ecuador</t>
        </is>
      </c>
      <c r="E35" s="2" t="inlineStr">
        <is>
          <t>Curaçao</t>
        </is>
      </c>
      <c r="F35" s="2" t="inlineStr">
        <is>
          <t>BMO Field</t>
        </is>
      </c>
      <c r="G35" s="2" t="inlineStr">
        <is>
          <t>UTC-5</t>
        </is>
      </c>
      <c r="H35" s="2" t="inlineStr"/>
      <c r="I35" s="2" t="inlineStr"/>
      <c r="J35" s="2" t="inlineStr"/>
    </row>
    <row r="36">
      <c r="A36" s="2" t="n">
        <v>35</v>
      </c>
      <c r="B36" s="2" t="inlineStr">
        <is>
          <t>2026-06-20</t>
        </is>
      </c>
      <c r="C36" s="2" t="inlineStr">
        <is>
          <t>Group F</t>
        </is>
      </c>
      <c r="D36" s="2" t="inlineStr">
        <is>
          <t>Netherlands</t>
        </is>
      </c>
      <c r="E36" s="2" t="inlineStr">
        <is>
          <t>Sweden</t>
        </is>
      </c>
      <c r="F36" s="2" t="inlineStr">
        <is>
          <t>Estadio BBVA</t>
        </is>
      </c>
      <c r="G36" s="2" t="inlineStr">
        <is>
          <t>UTC-5</t>
        </is>
      </c>
      <c r="H36" s="2" t="inlineStr"/>
      <c r="I36" s="2" t="inlineStr"/>
      <c r="J36" s="2" t="inlineStr"/>
    </row>
    <row r="37">
      <c r="A37" s="2" t="n">
        <v>36</v>
      </c>
      <c r="B37" s="2" t="inlineStr">
        <is>
          <t>2026-06-20</t>
        </is>
      </c>
      <c r="C37" s="2" t="inlineStr">
        <is>
          <t>Group F</t>
        </is>
      </c>
      <c r="D37" s="2" t="inlineStr">
        <is>
          <t>Tunisia</t>
        </is>
      </c>
      <c r="E37" s="2" t="inlineStr">
        <is>
          <t>Japan</t>
        </is>
      </c>
      <c r="F37" s="2" t="inlineStr">
        <is>
          <t>NRG Stadium</t>
        </is>
      </c>
      <c r="G37" s="2" t="inlineStr">
        <is>
          <t>UTC-6</t>
        </is>
      </c>
      <c r="H37" s="2" t="inlineStr"/>
      <c r="I37" s="2" t="inlineStr"/>
      <c r="J37" s="2" t="inlineStr"/>
    </row>
    <row r="38">
      <c r="A38" s="2" t="n">
        <v>37</v>
      </c>
      <c r="B38" s="2" t="inlineStr">
        <is>
          <t>2026-06-21</t>
        </is>
      </c>
      <c r="C38" s="2" t="inlineStr">
        <is>
          <t>Group D</t>
        </is>
      </c>
      <c r="D38" s="2" t="inlineStr">
        <is>
          <t>Uruguay</t>
        </is>
      </c>
      <c r="E38" s="2" t="inlineStr">
        <is>
          <t>Cape Verde</t>
        </is>
      </c>
      <c r="F38" s="2" t="inlineStr">
        <is>
          <t>Hard Rock Stadium</t>
        </is>
      </c>
      <c r="G38" s="2" t="inlineStr">
        <is>
          <t>UTC-4</t>
        </is>
      </c>
      <c r="H38" s="2" t="inlineStr"/>
      <c r="I38" s="2" t="inlineStr"/>
      <c r="J38" s="2" t="inlineStr"/>
    </row>
    <row r="39">
      <c r="A39" s="2" t="n">
        <v>38</v>
      </c>
      <c r="B39" s="2" t="inlineStr">
        <is>
          <t>2026-06-21</t>
        </is>
      </c>
      <c r="C39" s="2" t="inlineStr">
        <is>
          <t>Group H</t>
        </is>
      </c>
      <c r="D39" s="2" t="inlineStr">
        <is>
          <t>Spain</t>
        </is>
      </c>
      <c r="E39" s="2" t="inlineStr">
        <is>
          <t>Saudi Arabia</t>
        </is>
      </c>
      <c r="F39" s="2" t="inlineStr">
        <is>
          <t>Mercedes-Benz Stadium</t>
        </is>
      </c>
      <c r="G39" s="2" t="inlineStr">
        <is>
          <t>UTC-4</t>
        </is>
      </c>
      <c r="H39" s="2" t="inlineStr"/>
      <c r="I39" s="2" t="inlineStr"/>
      <c r="J39" s="2" t="inlineStr"/>
    </row>
    <row r="40">
      <c r="A40" s="2" t="n">
        <v>39</v>
      </c>
      <c r="B40" s="2" t="inlineStr">
        <is>
          <t>2026-06-21</t>
        </is>
      </c>
      <c r="C40" s="2" t="inlineStr">
        <is>
          <t>Group G</t>
        </is>
      </c>
      <c r="D40" s="2" t="inlineStr">
        <is>
          <t>Belgium</t>
        </is>
      </c>
      <c r="E40" s="2" t="inlineStr">
        <is>
          <t>Iran</t>
        </is>
      </c>
      <c r="F40" s="2" t="inlineStr">
        <is>
          <t>SoFi Stadium</t>
        </is>
      </c>
      <c r="G40" s="2" t="inlineStr">
        <is>
          <t>UTC-7</t>
        </is>
      </c>
      <c r="H40" s="2" t="inlineStr"/>
      <c r="I40" s="2" t="inlineStr"/>
      <c r="J40" s="2" t="inlineStr"/>
    </row>
    <row r="41">
      <c r="A41" s="2" t="n">
        <v>40</v>
      </c>
      <c r="B41" s="2" t="inlineStr">
        <is>
          <t>2026-06-21</t>
        </is>
      </c>
      <c r="C41" s="2" t="inlineStr">
        <is>
          <t>Group G</t>
        </is>
      </c>
      <c r="D41" s="2" t="inlineStr">
        <is>
          <t>New Zealand</t>
        </is>
      </c>
      <c r="E41" s="2" t="inlineStr">
        <is>
          <t>Egypt</t>
        </is>
      </c>
      <c r="F41" s="2" t="inlineStr">
        <is>
          <t>SoFi Stadium</t>
        </is>
      </c>
      <c r="G41" s="2" t="inlineStr">
        <is>
          <t>UTC-7</t>
        </is>
      </c>
      <c r="H41" s="2" t="inlineStr"/>
      <c r="I41" s="2" t="inlineStr"/>
      <c r="J41" s="2" t="inlineStr"/>
    </row>
    <row r="42">
      <c r="A42" s="2" t="n">
        <v>41</v>
      </c>
      <c r="B42" s="2" t="inlineStr">
        <is>
          <t>2026-06-22</t>
        </is>
      </c>
      <c r="C42" s="2" t="inlineStr">
        <is>
          <t>Group I</t>
        </is>
      </c>
      <c r="D42" s="2" t="inlineStr">
        <is>
          <t>Norway</t>
        </is>
      </c>
      <c r="E42" s="2" t="inlineStr">
        <is>
          <t>Senegal</t>
        </is>
      </c>
      <c r="F42" s="2" t="inlineStr">
        <is>
          <t>Gillette Stadium</t>
        </is>
      </c>
      <c r="G42" s="2" t="inlineStr">
        <is>
          <t>UTC-4</t>
        </is>
      </c>
      <c r="H42" s="2" t="inlineStr"/>
      <c r="I42" s="2" t="inlineStr"/>
      <c r="J42" s="2" t="inlineStr"/>
    </row>
    <row r="43">
      <c r="A43" s="2" t="n">
        <v>42</v>
      </c>
      <c r="B43" s="2" t="inlineStr">
        <is>
          <t>2026-06-22</t>
        </is>
      </c>
      <c r="C43" s="2" t="inlineStr">
        <is>
          <t>Group I</t>
        </is>
      </c>
      <c r="D43" s="2" t="inlineStr">
        <is>
          <t>France</t>
        </is>
      </c>
      <c r="E43" s="2" t="inlineStr">
        <is>
          <t>Iraq</t>
        </is>
      </c>
      <c r="F43" s="2" t="inlineStr">
        <is>
          <t>Gillette Stadium</t>
        </is>
      </c>
      <c r="G43" s="2" t="inlineStr">
        <is>
          <t>UTC-4</t>
        </is>
      </c>
      <c r="H43" s="2" t="inlineStr"/>
      <c r="I43" s="2" t="inlineStr"/>
      <c r="J43" s="2" t="inlineStr"/>
    </row>
    <row r="44">
      <c r="A44" s="2" t="n">
        <v>43</v>
      </c>
      <c r="B44" s="2" t="inlineStr">
        <is>
          <t>2026-06-22</t>
        </is>
      </c>
      <c r="C44" s="2" t="inlineStr">
        <is>
          <t>Group J</t>
        </is>
      </c>
      <c r="D44" s="2" t="inlineStr">
        <is>
          <t>Argentina</t>
        </is>
      </c>
      <c r="E44" s="2" t="inlineStr">
        <is>
          <t>Austria</t>
        </is>
      </c>
      <c r="F44" s="2" t="inlineStr">
        <is>
          <t>Levi's Stadium</t>
        </is>
      </c>
      <c r="G44" s="2" t="inlineStr">
        <is>
          <t>UTC-5</t>
        </is>
      </c>
      <c r="H44" s="2" t="inlineStr"/>
      <c r="I44" s="2" t="inlineStr"/>
      <c r="J44" s="2" t="inlineStr"/>
    </row>
    <row r="45">
      <c r="A45" s="2" t="n">
        <v>44</v>
      </c>
      <c r="B45" s="2" t="inlineStr">
        <is>
          <t>2026-06-22</t>
        </is>
      </c>
      <c r="C45" s="2" t="inlineStr">
        <is>
          <t>Group J</t>
        </is>
      </c>
      <c r="D45" s="2" t="inlineStr">
        <is>
          <t>Jordan</t>
        </is>
      </c>
      <c r="E45" s="2" t="inlineStr">
        <is>
          <t>Algeria</t>
        </is>
      </c>
      <c r="F45" s="2" t="inlineStr">
        <is>
          <t>AT&amp;T Stadium</t>
        </is>
      </c>
      <c r="G45" s="2" t="inlineStr">
        <is>
          <t>UTC-7</t>
        </is>
      </c>
      <c r="H45" s="2" t="inlineStr"/>
      <c r="I45" s="2" t="inlineStr"/>
      <c r="J45" s="2" t="inlineStr"/>
    </row>
    <row r="46">
      <c r="A46" s="2" t="n">
        <v>45</v>
      </c>
      <c r="B46" s="2" t="inlineStr">
        <is>
          <t>2026-06-23</t>
        </is>
      </c>
      <c r="C46" s="2" t="inlineStr">
        <is>
          <t>Group L</t>
        </is>
      </c>
      <c r="D46" s="2" t="inlineStr">
        <is>
          <t>England</t>
        </is>
      </c>
      <c r="E46" s="2" t="inlineStr">
        <is>
          <t>Ghana</t>
        </is>
      </c>
      <c r="F46" s="2" t="inlineStr">
        <is>
          <t>BMO Field</t>
        </is>
      </c>
      <c r="G46" s="2" t="inlineStr">
        <is>
          <t>UTC-5</t>
        </is>
      </c>
      <c r="H46" s="2" t="inlineStr"/>
      <c r="I46" s="2" t="inlineStr"/>
      <c r="J46" s="2" t="inlineStr"/>
    </row>
    <row r="47">
      <c r="A47" s="2" t="n">
        <v>46</v>
      </c>
      <c r="B47" s="2" t="inlineStr">
        <is>
          <t>2026-06-23</t>
        </is>
      </c>
      <c r="C47" s="2" t="inlineStr">
        <is>
          <t>Group L</t>
        </is>
      </c>
      <c r="D47" s="2" t="inlineStr">
        <is>
          <t>Croatia</t>
        </is>
      </c>
      <c r="E47" s="2" t="inlineStr">
        <is>
          <t>Panama</t>
        </is>
      </c>
      <c r="F47" s="2" t="inlineStr">
        <is>
          <t>BMO Field</t>
        </is>
      </c>
      <c r="G47" s="2" t="inlineStr">
        <is>
          <t>UTC-5</t>
        </is>
      </c>
      <c r="H47" s="2" t="inlineStr"/>
      <c r="I47" s="2" t="inlineStr"/>
      <c r="J47" s="2" t="inlineStr"/>
    </row>
    <row r="48">
      <c r="A48" s="2" t="n">
        <v>47</v>
      </c>
      <c r="B48" s="2" t="inlineStr">
        <is>
          <t>2026-06-23</t>
        </is>
      </c>
      <c r="C48" s="2" t="inlineStr">
        <is>
          <t>Group K</t>
        </is>
      </c>
      <c r="D48" s="2" t="inlineStr">
        <is>
          <t>Portugal</t>
        </is>
      </c>
      <c r="E48" s="2" t="inlineStr">
        <is>
          <t>Uzbekistan</t>
        </is>
      </c>
      <c r="F48" s="2" t="inlineStr">
        <is>
          <t>Estadio Azteca</t>
        </is>
      </c>
      <c r="G48" s="2" t="inlineStr">
        <is>
          <t>UTC-6</t>
        </is>
      </c>
      <c r="H48" s="2" t="inlineStr"/>
      <c r="I48" s="2" t="inlineStr"/>
      <c r="J48" s="2" t="inlineStr"/>
    </row>
    <row r="49">
      <c r="A49" s="2" t="n">
        <v>48</v>
      </c>
      <c r="B49" s="2" t="inlineStr">
        <is>
          <t>2026-06-23</t>
        </is>
      </c>
      <c r="C49" s="2" t="inlineStr">
        <is>
          <t>Group K</t>
        </is>
      </c>
      <c r="D49" s="2" t="inlineStr">
        <is>
          <t>DR Congo</t>
        </is>
      </c>
      <c r="E49" s="2" t="inlineStr">
        <is>
          <t>Colombia</t>
        </is>
      </c>
      <c r="F49" s="2" t="inlineStr">
        <is>
          <t>Estadio Azteca</t>
        </is>
      </c>
      <c r="G49" s="2" t="inlineStr">
        <is>
          <t>UTC-6</t>
        </is>
      </c>
      <c r="H49" s="2" t="inlineStr"/>
      <c r="I49" s="2" t="inlineStr"/>
      <c r="J49" s="2" t="inlineStr"/>
    </row>
    <row r="50">
      <c r="A50" s="2" t="n">
        <v>49</v>
      </c>
      <c r="B50" s="2" t="inlineStr">
        <is>
          <t>2026-06-24</t>
        </is>
      </c>
      <c r="C50" s="2" t="inlineStr">
        <is>
          <t>Group C</t>
        </is>
      </c>
      <c r="D50" s="2" t="inlineStr">
        <is>
          <t>Scotland</t>
        </is>
      </c>
      <c r="E50" s="2" t="inlineStr">
        <is>
          <t>Brazil</t>
        </is>
      </c>
      <c r="F50" s="2" t="inlineStr">
        <is>
          <t>Lincoln Financial Field</t>
        </is>
      </c>
      <c r="G50" s="2" t="inlineStr">
        <is>
          <t>UTC-4</t>
        </is>
      </c>
      <c r="H50" s="2" t="inlineStr"/>
      <c r="I50" s="2" t="inlineStr"/>
      <c r="J50" s="2" t="inlineStr"/>
    </row>
    <row r="51">
      <c r="A51" s="2" t="n">
        <v>50</v>
      </c>
      <c r="B51" s="2" t="inlineStr">
        <is>
          <t>2026-06-24</t>
        </is>
      </c>
      <c r="C51" s="2" t="inlineStr">
        <is>
          <t>Group C</t>
        </is>
      </c>
      <c r="D51" s="2" t="inlineStr">
        <is>
          <t>Morocco</t>
        </is>
      </c>
      <c r="E51" s="2" t="inlineStr">
        <is>
          <t>Haiti</t>
        </is>
      </c>
      <c r="F51" s="2" t="inlineStr">
        <is>
          <t>Hard Rock Stadium</t>
        </is>
      </c>
      <c r="G51" s="2" t="inlineStr">
        <is>
          <t>UTC-4</t>
        </is>
      </c>
      <c r="H51" s="2" t="inlineStr"/>
      <c r="I51" s="2" t="inlineStr"/>
      <c r="J51" s="2" t="inlineStr"/>
    </row>
    <row r="52">
      <c r="A52" s="2" t="n">
        <v>51</v>
      </c>
      <c r="B52" s="2" t="inlineStr">
        <is>
          <t>2026-06-24</t>
        </is>
      </c>
      <c r="C52" s="2" t="inlineStr">
        <is>
          <t>Group B</t>
        </is>
      </c>
      <c r="D52" s="2" t="inlineStr">
        <is>
          <t>Canada</t>
        </is>
      </c>
      <c r="E52" s="2" t="inlineStr">
        <is>
          <t>Switzerland</t>
        </is>
      </c>
      <c r="F52" s="2" t="inlineStr">
        <is>
          <t>BC Place</t>
        </is>
      </c>
      <c r="G52" s="2" t="inlineStr">
        <is>
          <t>UTC-7</t>
        </is>
      </c>
      <c r="H52" s="2" t="inlineStr"/>
      <c r="I52" s="2" t="inlineStr"/>
      <c r="J52" s="2" t="inlineStr"/>
    </row>
    <row r="53">
      <c r="A53" s="2" t="n">
        <v>52</v>
      </c>
      <c r="B53" s="2" t="inlineStr">
        <is>
          <t>2026-06-24</t>
        </is>
      </c>
      <c r="C53" s="2" t="inlineStr">
        <is>
          <t>Group B</t>
        </is>
      </c>
      <c r="D53" s="2" t="inlineStr">
        <is>
          <t>Bosnia and Herzegovina</t>
        </is>
      </c>
      <c r="E53" s="2" t="inlineStr">
        <is>
          <t>Qatar</t>
        </is>
      </c>
      <c r="F53" s="2" t="inlineStr">
        <is>
          <t>BC Place</t>
        </is>
      </c>
      <c r="G53" s="2" t="inlineStr">
        <is>
          <t>UTC-7</t>
        </is>
      </c>
      <c r="H53" s="2" t="inlineStr"/>
      <c r="I53" s="2" t="inlineStr"/>
      <c r="J53" s="2" t="inlineStr"/>
    </row>
    <row r="54">
      <c r="A54" s="2" t="n">
        <v>53</v>
      </c>
      <c r="B54" s="2" t="inlineStr">
        <is>
          <t>2026-06-24</t>
        </is>
      </c>
      <c r="C54" s="2" t="inlineStr">
        <is>
          <t>Group A</t>
        </is>
      </c>
      <c r="D54" s="2" t="inlineStr">
        <is>
          <t>Czech Republic</t>
        </is>
      </c>
      <c r="E54" s="2" t="inlineStr">
        <is>
          <t>Mexico</t>
        </is>
      </c>
      <c r="F54" s="2" t="inlineStr">
        <is>
          <t>Estadio Azteca</t>
        </is>
      </c>
      <c r="G54" s="2" t="inlineStr">
        <is>
          <t>UTC-6</t>
        </is>
      </c>
      <c r="H54" s="2" t="inlineStr"/>
      <c r="I54" s="2" t="inlineStr"/>
      <c r="J54" s="2" t="inlineStr"/>
    </row>
    <row r="55">
      <c r="A55" s="2" t="n">
        <v>54</v>
      </c>
      <c r="B55" s="2" t="inlineStr">
        <is>
          <t>2026-06-24</t>
        </is>
      </c>
      <c r="C55" s="2" t="inlineStr">
        <is>
          <t>Group A</t>
        </is>
      </c>
      <c r="D55" s="2" t="inlineStr">
        <is>
          <t>South Africa</t>
        </is>
      </c>
      <c r="E55" s="2" t="inlineStr">
        <is>
          <t>South Korea</t>
        </is>
      </c>
      <c r="F55" s="2" t="inlineStr">
        <is>
          <t>Estadio Azteca</t>
        </is>
      </c>
      <c r="G55" s="2" t="inlineStr">
        <is>
          <t>UTC-6</t>
        </is>
      </c>
      <c r="H55" s="2" t="inlineStr"/>
      <c r="I55" s="2" t="inlineStr"/>
      <c r="J55" s="2" t="inlineStr"/>
    </row>
    <row r="56">
      <c r="A56" s="2" t="n">
        <v>55</v>
      </c>
      <c r="B56" s="2" t="inlineStr">
        <is>
          <t>2026-06-25</t>
        </is>
      </c>
      <c r="C56" s="2" t="inlineStr">
        <is>
          <t>Group E</t>
        </is>
      </c>
      <c r="D56" s="2" t="inlineStr">
        <is>
          <t>Curaçao</t>
        </is>
      </c>
      <c r="E56" s="2" t="inlineStr">
        <is>
          <t>Ivory Coast</t>
        </is>
      </c>
      <c r="F56" s="2" t="inlineStr">
        <is>
          <t>Arrowhead Stadium</t>
        </is>
      </c>
      <c r="G56" s="2" t="inlineStr">
        <is>
          <t>UTC-5</t>
        </is>
      </c>
      <c r="H56" s="2" t="inlineStr"/>
      <c r="I56" s="2" t="inlineStr"/>
      <c r="J56" s="2" t="inlineStr"/>
    </row>
    <row r="57">
      <c r="A57" s="2" t="n">
        <v>56</v>
      </c>
      <c r="B57" s="2" t="inlineStr">
        <is>
          <t>2026-06-25</t>
        </is>
      </c>
      <c r="C57" s="2" t="inlineStr">
        <is>
          <t>Group E</t>
        </is>
      </c>
      <c r="D57" s="2" t="inlineStr">
        <is>
          <t>Germany</t>
        </is>
      </c>
      <c r="E57" s="2" t="inlineStr">
        <is>
          <t>Ecuador</t>
        </is>
      </c>
      <c r="F57" s="2" t="inlineStr">
        <is>
          <t>Lincoln Financial Field</t>
        </is>
      </c>
      <c r="G57" s="2" t="inlineStr">
        <is>
          <t>UTC-4</t>
        </is>
      </c>
      <c r="H57" s="2" t="inlineStr"/>
      <c r="I57" s="2" t="inlineStr"/>
      <c r="J57" s="2" t="inlineStr"/>
    </row>
    <row r="58">
      <c r="A58" s="2" t="n">
        <v>57</v>
      </c>
      <c r="B58" s="2" t="inlineStr">
        <is>
          <t>2026-06-25</t>
        </is>
      </c>
      <c r="C58" s="2" t="inlineStr">
        <is>
          <t>Group F</t>
        </is>
      </c>
      <c r="D58" s="2" t="inlineStr">
        <is>
          <t>Japan</t>
        </is>
      </c>
      <c r="E58" s="2" t="inlineStr">
        <is>
          <t>Sweden</t>
        </is>
      </c>
      <c r="F58" s="2" t="inlineStr">
        <is>
          <t>Levi's Stadium</t>
        </is>
      </c>
      <c r="G58" s="2" t="inlineStr">
        <is>
          <t>UTC-5</t>
        </is>
      </c>
      <c r="H58" s="2" t="inlineStr"/>
      <c r="I58" s="2" t="inlineStr"/>
      <c r="J58" s="2" t="inlineStr"/>
    </row>
    <row r="59">
      <c r="A59" s="2" t="n">
        <v>58</v>
      </c>
      <c r="B59" s="2" t="inlineStr">
        <is>
          <t>2026-06-25</t>
        </is>
      </c>
      <c r="C59" s="2" t="inlineStr">
        <is>
          <t>Group F</t>
        </is>
      </c>
      <c r="D59" s="2" t="inlineStr">
        <is>
          <t>Tunisia</t>
        </is>
      </c>
      <c r="E59" s="2" t="inlineStr">
        <is>
          <t>Netherlands</t>
        </is>
      </c>
      <c r="F59" s="2" t="inlineStr">
        <is>
          <t>Levi's Stadium</t>
        </is>
      </c>
      <c r="G59" s="2" t="inlineStr">
        <is>
          <t>UTC-5</t>
        </is>
      </c>
      <c r="H59" s="2" t="inlineStr"/>
      <c r="I59" s="2" t="inlineStr"/>
      <c r="J59" s="2" t="inlineStr"/>
    </row>
    <row r="60">
      <c r="A60" s="2" t="n">
        <v>59</v>
      </c>
      <c r="B60" s="2" t="inlineStr">
        <is>
          <t>2026-06-25</t>
        </is>
      </c>
      <c r="C60" s="2" t="inlineStr">
        <is>
          <t>Group D</t>
        </is>
      </c>
      <c r="D60" s="2" t="inlineStr">
        <is>
          <t>United States</t>
        </is>
      </c>
      <c r="E60" s="2" t="inlineStr">
        <is>
          <t>Turkey</t>
        </is>
      </c>
      <c r="F60" s="2" t="inlineStr">
        <is>
          <t>SoFi Stadium</t>
        </is>
      </c>
      <c r="G60" s="2" t="inlineStr">
        <is>
          <t>UTC-7</t>
        </is>
      </c>
      <c r="H60" s="2" t="inlineStr"/>
      <c r="I60" s="2" t="inlineStr"/>
      <c r="J60" s="2" t="inlineStr"/>
    </row>
    <row r="61">
      <c r="A61" s="2" t="n">
        <v>60</v>
      </c>
      <c r="B61" s="2" t="inlineStr">
        <is>
          <t>2026-06-25</t>
        </is>
      </c>
      <c r="C61" s="2" t="inlineStr">
        <is>
          <t>Group D</t>
        </is>
      </c>
      <c r="D61" s="2" t="inlineStr">
        <is>
          <t>Paraguay</t>
        </is>
      </c>
      <c r="E61" s="2" t="inlineStr">
        <is>
          <t>Australia</t>
        </is>
      </c>
      <c r="F61" s="2" t="inlineStr">
        <is>
          <t>SoFi Stadium</t>
        </is>
      </c>
      <c r="G61" s="2" t="inlineStr">
        <is>
          <t>UTC-7</t>
        </is>
      </c>
      <c r="H61" s="2" t="inlineStr"/>
      <c r="I61" s="2" t="inlineStr"/>
      <c r="J61" s="2" t="inlineStr"/>
    </row>
    <row r="62">
      <c r="A62" s="2" t="n">
        <v>61</v>
      </c>
      <c r="B62" s="2" t="inlineStr">
        <is>
          <t>2026-06-26</t>
        </is>
      </c>
      <c r="C62" s="2" t="inlineStr">
        <is>
          <t>Group I</t>
        </is>
      </c>
      <c r="D62" s="2" t="inlineStr">
        <is>
          <t>France</t>
        </is>
      </c>
      <c r="E62" s="2" t="inlineStr">
        <is>
          <t>Norway</t>
        </is>
      </c>
      <c r="F62" s="2" t="inlineStr">
        <is>
          <t>MetLife Stadium</t>
        </is>
      </c>
      <c r="G62" s="2" t="inlineStr">
        <is>
          <t>UTC-6</t>
        </is>
      </c>
      <c r="H62" s="2" t="inlineStr"/>
      <c r="I62" s="2" t="inlineStr"/>
      <c r="J62" s="2" t="inlineStr"/>
    </row>
    <row r="63">
      <c r="A63" s="2" t="n">
        <v>62</v>
      </c>
      <c r="B63" s="2" t="inlineStr">
        <is>
          <t>2026-06-26</t>
        </is>
      </c>
      <c r="C63" s="2" t="inlineStr">
        <is>
          <t>Group I</t>
        </is>
      </c>
      <c r="D63" s="2" t="inlineStr">
        <is>
          <t>Senegal</t>
        </is>
      </c>
      <c r="E63" s="2" t="inlineStr">
        <is>
          <t>Iraq</t>
        </is>
      </c>
      <c r="F63" s="2" t="inlineStr">
        <is>
          <t>MetLife Stadium</t>
        </is>
      </c>
      <c r="G63" s="2" t="inlineStr">
        <is>
          <t>UTC-6</t>
        </is>
      </c>
      <c r="H63" s="2" t="inlineStr"/>
      <c r="I63" s="2" t="inlineStr"/>
      <c r="J63" s="2" t="inlineStr"/>
    </row>
    <row r="64">
      <c r="A64" s="2" t="n">
        <v>63</v>
      </c>
      <c r="B64" s="2" t="inlineStr">
        <is>
          <t>2026-06-26</t>
        </is>
      </c>
      <c r="C64" s="2" t="inlineStr">
        <is>
          <t>Group G</t>
        </is>
      </c>
      <c r="D64" s="2" t="inlineStr">
        <is>
          <t>Egypt</t>
        </is>
      </c>
      <c r="E64" s="2" t="inlineStr">
        <is>
          <t>Iran</t>
        </is>
      </c>
      <c r="F64" s="2" t="inlineStr">
        <is>
          <t>BC Place</t>
        </is>
      </c>
      <c r="G64" s="2" t="inlineStr">
        <is>
          <t>UTC-7</t>
        </is>
      </c>
      <c r="H64" s="2" t="inlineStr"/>
      <c r="I64" s="2" t="inlineStr"/>
      <c r="J64" s="2" t="inlineStr"/>
    </row>
    <row r="65">
      <c r="A65" s="2" t="n">
        <v>64</v>
      </c>
      <c r="B65" s="2" t="inlineStr">
        <is>
          <t>2026-06-26</t>
        </is>
      </c>
      <c r="C65" s="2" t="inlineStr">
        <is>
          <t>Group G</t>
        </is>
      </c>
      <c r="D65" s="2" t="inlineStr">
        <is>
          <t>New Zealand</t>
        </is>
      </c>
      <c r="E65" s="2" t="inlineStr">
        <is>
          <t>Belgium</t>
        </is>
      </c>
      <c r="F65" s="2" t="inlineStr">
        <is>
          <t>BC Place</t>
        </is>
      </c>
      <c r="G65" s="2" t="inlineStr">
        <is>
          <t>UTC-7</t>
        </is>
      </c>
      <c r="H65" s="2" t="inlineStr"/>
      <c r="I65" s="2" t="inlineStr"/>
      <c r="J65" s="2" t="inlineStr"/>
    </row>
    <row r="66">
      <c r="A66" s="2" t="n">
        <v>65</v>
      </c>
      <c r="B66" s="2" t="inlineStr">
        <is>
          <t>2026-06-26</t>
        </is>
      </c>
      <c r="C66" s="2" t="inlineStr">
        <is>
          <t>Group H</t>
        </is>
      </c>
      <c r="D66" s="2" t="inlineStr">
        <is>
          <t>Saudi Arabia</t>
        </is>
      </c>
      <c r="E66" s="2" t="inlineStr">
        <is>
          <t>Cape Verde</t>
        </is>
      </c>
      <c r="F66" s="2" t="inlineStr">
        <is>
          <t>Hard Rock Stadium</t>
        </is>
      </c>
      <c r="G66" s="2" t="inlineStr">
        <is>
          <t>UTC-4</t>
        </is>
      </c>
      <c r="H66" s="2" t="inlineStr"/>
      <c r="I66" s="2" t="inlineStr"/>
      <c r="J66" s="2" t="inlineStr"/>
    </row>
    <row r="67">
      <c r="A67" s="2" t="n">
        <v>66</v>
      </c>
      <c r="B67" s="2" t="inlineStr">
        <is>
          <t>2026-06-26</t>
        </is>
      </c>
      <c r="C67" s="2" t="inlineStr">
        <is>
          <t>Group H</t>
        </is>
      </c>
      <c r="D67" s="2" t="inlineStr">
        <is>
          <t>Uruguay</t>
        </is>
      </c>
      <c r="E67" s="2" t="inlineStr">
        <is>
          <t>Spain</t>
        </is>
      </c>
      <c r="F67" s="2" t="inlineStr">
        <is>
          <t>NRG Stadium</t>
        </is>
      </c>
      <c r="G67" s="2" t="inlineStr">
        <is>
          <t>UTC-6</t>
        </is>
      </c>
      <c r="H67" s="2" t="inlineStr"/>
      <c r="I67" s="2" t="inlineStr"/>
      <c r="J67" s="2" t="inlineStr"/>
    </row>
    <row r="68">
      <c r="A68" s="2" t="n">
        <v>67</v>
      </c>
      <c r="B68" s="2" t="inlineStr">
        <is>
          <t>2026-06-27</t>
        </is>
      </c>
      <c r="C68" s="2" t="inlineStr">
        <is>
          <t>Group L</t>
        </is>
      </c>
      <c r="D68" s="2" t="inlineStr">
        <is>
          <t>England</t>
        </is>
      </c>
      <c r="E68" s="2" t="inlineStr">
        <is>
          <t>Panama</t>
        </is>
      </c>
      <c r="F68" s="2" t="inlineStr">
        <is>
          <t>BMO Field</t>
        </is>
      </c>
      <c r="G68" s="2" t="inlineStr">
        <is>
          <t>UTC-4</t>
        </is>
      </c>
      <c r="H68" s="2" t="inlineStr"/>
      <c r="I68" s="2" t="inlineStr"/>
      <c r="J68" s="2" t="inlineStr"/>
    </row>
    <row r="69">
      <c r="A69" s="2" t="n">
        <v>68</v>
      </c>
      <c r="B69" s="2" t="inlineStr">
        <is>
          <t>2026-06-27</t>
        </is>
      </c>
      <c r="C69" s="2" t="inlineStr">
        <is>
          <t>Group L</t>
        </is>
      </c>
      <c r="D69" s="2" t="inlineStr">
        <is>
          <t>Croatia</t>
        </is>
      </c>
      <c r="E69" s="2" t="inlineStr">
        <is>
          <t>Ghana</t>
        </is>
      </c>
      <c r="F69" s="2" t="inlineStr">
        <is>
          <t>MetLife Stadium</t>
        </is>
      </c>
      <c r="G69" s="2" t="inlineStr">
        <is>
          <t>UTC-4</t>
        </is>
      </c>
      <c r="H69" s="2" t="inlineStr"/>
      <c r="I69" s="2" t="inlineStr"/>
      <c r="J69" s="2" t="inlineStr"/>
    </row>
    <row r="70">
      <c r="A70" s="2" t="n">
        <v>69</v>
      </c>
      <c r="B70" s="2" t="inlineStr">
        <is>
          <t>2026-06-27</t>
        </is>
      </c>
      <c r="C70" s="2" t="inlineStr">
        <is>
          <t>Group J</t>
        </is>
      </c>
      <c r="D70" s="2" t="inlineStr">
        <is>
          <t>Austria</t>
        </is>
      </c>
      <c r="E70" s="2" t="inlineStr">
        <is>
          <t>Algeria</t>
        </is>
      </c>
      <c r="F70" s="2" t="inlineStr">
        <is>
          <t>BMO Field</t>
        </is>
      </c>
      <c r="G70" s="2" t="inlineStr">
        <is>
          <t>UTC-4</t>
        </is>
      </c>
      <c r="H70" s="2" t="inlineStr"/>
      <c r="I70" s="2" t="inlineStr"/>
      <c r="J70" s="2" t="inlineStr"/>
    </row>
    <row r="71">
      <c r="A71" s="2" t="n">
        <v>70</v>
      </c>
      <c r="B71" s="2" t="inlineStr">
        <is>
          <t>2026-06-27</t>
        </is>
      </c>
      <c r="C71" s="2" t="inlineStr">
        <is>
          <t>Group J</t>
        </is>
      </c>
      <c r="D71" s="2" t="inlineStr">
        <is>
          <t>Argentina</t>
        </is>
      </c>
      <c r="E71" s="2" t="inlineStr">
        <is>
          <t>Jordan</t>
        </is>
      </c>
      <c r="F71" s="2" t="inlineStr">
        <is>
          <t>AT&amp;T Stadium</t>
        </is>
      </c>
      <c r="G71" s="2" t="inlineStr">
        <is>
          <t>UTC-7</t>
        </is>
      </c>
      <c r="H71" s="2" t="inlineStr"/>
      <c r="I71" s="2" t="inlineStr"/>
      <c r="J71" s="2" t="inlineStr"/>
    </row>
    <row r="72">
      <c r="A72" s="2" t="n">
        <v>71</v>
      </c>
      <c r="B72" s="2" t="inlineStr">
        <is>
          <t>2026-06-27</t>
        </is>
      </c>
      <c r="C72" s="2" t="inlineStr">
        <is>
          <t>Group K</t>
        </is>
      </c>
      <c r="D72" s="2" t="inlineStr">
        <is>
          <t>Colombia</t>
        </is>
      </c>
      <c r="E72" s="2" t="inlineStr">
        <is>
          <t>Portugal</t>
        </is>
      </c>
      <c r="F72" s="2" t="inlineStr">
        <is>
          <t>Estadio Akron</t>
        </is>
      </c>
      <c r="G72" s="2" t="inlineStr">
        <is>
          <t>UTC-6</t>
        </is>
      </c>
      <c r="H72" s="2" t="inlineStr"/>
      <c r="I72" s="2" t="inlineStr"/>
      <c r="J72" s="2" t="inlineStr"/>
    </row>
    <row r="73">
      <c r="A73" s="2" t="n">
        <v>72</v>
      </c>
      <c r="B73" s="2" t="inlineStr">
        <is>
          <t>2026-06-27</t>
        </is>
      </c>
      <c r="C73" s="2" t="inlineStr">
        <is>
          <t>Group K</t>
        </is>
      </c>
      <c r="D73" s="2" t="inlineStr">
        <is>
          <t>DR Congo</t>
        </is>
      </c>
      <c r="E73" s="2" t="inlineStr">
        <is>
          <t>Uzbekistan</t>
        </is>
      </c>
      <c r="F73" s="2" t="inlineStr">
        <is>
          <t>Hard Rock Stadium</t>
        </is>
      </c>
      <c r="G73" s="2" t="inlineStr">
        <is>
          <t>UTC-4</t>
        </is>
      </c>
      <c r="H73" s="2" t="inlineStr"/>
      <c r="I73" s="2" t="inlineStr"/>
      <c r="J73" s="2" t="inlineStr"/>
    </row>
    <row r="74">
      <c r="A74" s="2" t="n">
        <v>73</v>
      </c>
      <c r="B74" s="2" t="inlineStr">
        <is>
          <t>2026-06-28</t>
        </is>
      </c>
      <c r="C74" s="2" t="inlineStr">
        <is>
          <t>Round of 32</t>
        </is>
      </c>
      <c r="D74" s="2" t="inlineStr">
        <is>
          <t>2A</t>
        </is>
      </c>
      <c r="E74" s="2" t="inlineStr">
        <is>
          <t>2B</t>
        </is>
      </c>
      <c r="F74" s="2" t="inlineStr">
        <is>
          <t>SoFi Stadium</t>
        </is>
      </c>
      <c r="G74" s="2" t="inlineStr">
        <is>
          <t>UTC-7</t>
        </is>
      </c>
      <c r="H74" s="2" t="inlineStr"/>
      <c r="I74" s="2" t="inlineStr"/>
      <c r="J74" s="2" t="inlineStr"/>
    </row>
    <row r="75">
      <c r="A75" s="2" t="n">
        <v>74</v>
      </c>
      <c r="B75" s="2" t="inlineStr">
        <is>
          <t>2026-06-29</t>
        </is>
      </c>
      <c r="C75" s="2" t="inlineStr">
        <is>
          <t>Round of 32</t>
        </is>
      </c>
      <c r="D75" s="2" t="inlineStr">
        <is>
          <t>1C</t>
        </is>
      </c>
      <c r="E75" s="2" t="inlineStr">
        <is>
          <t>2F</t>
        </is>
      </c>
      <c r="F75" s="2" t="inlineStr">
        <is>
          <t>NRG Stadium</t>
        </is>
      </c>
      <c r="G75" s="2" t="inlineStr">
        <is>
          <t>UTC-4</t>
        </is>
      </c>
      <c r="H75" s="2" t="inlineStr"/>
      <c r="I75" s="2" t="inlineStr"/>
      <c r="J75" s="2" t="inlineStr"/>
    </row>
    <row r="76">
      <c r="A76" s="2" t="n">
        <v>75</v>
      </c>
      <c r="B76" s="2" t="inlineStr">
        <is>
          <t>2026-06-29</t>
        </is>
      </c>
      <c r="C76" s="2" t="inlineStr">
        <is>
          <t>Round of 32</t>
        </is>
      </c>
      <c r="D76" s="2" t="inlineStr">
        <is>
          <t>1E</t>
        </is>
      </c>
      <c r="E76" s="2" t="inlineStr">
        <is>
          <t>3ABCDF</t>
        </is>
      </c>
      <c r="F76" s="2" t="inlineStr">
        <is>
          <t>NRG Stadium</t>
        </is>
      </c>
      <c r="G76" s="2" t="inlineStr">
        <is>
          <t>UTC-4</t>
        </is>
      </c>
      <c r="H76" s="2" t="inlineStr"/>
      <c r="I76" s="2" t="inlineStr"/>
      <c r="J76" s="2" t="inlineStr"/>
    </row>
    <row r="77">
      <c r="A77" s="2" t="n">
        <v>76</v>
      </c>
      <c r="B77" s="2" t="inlineStr">
        <is>
          <t>2026-06-29</t>
        </is>
      </c>
      <c r="C77" s="2" t="inlineStr">
        <is>
          <t>Round of 32</t>
        </is>
      </c>
      <c r="D77" s="2" t="inlineStr">
        <is>
          <t>1F</t>
        </is>
      </c>
      <c r="E77" s="2" t="inlineStr">
        <is>
          <t>2C</t>
        </is>
      </c>
      <c r="F77" s="2" t="inlineStr">
        <is>
          <t>Gillette Stadium</t>
        </is>
      </c>
      <c r="G77" s="2" t="inlineStr">
        <is>
          <t>UTC-6</t>
        </is>
      </c>
      <c r="H77" s="2" t="inlineStr"/>
      <c r="I77" s="2" t="inlineStr"/>
      <c r="J77" s="2" t="inlineStr"/>
    </row>
    <row r="78">
      <c r="A78" s="2" t="n">
        <v>77</v>
      </c>
      <c r="B78" s="2" t="inlineStr">
        <is>
          <t>2026-06-29</t>
        </is>
      </c>
      <c r="C78" s="2" t="inlineStr">
        <is>
          <t>Round of 32</t>
        </is>
      </c>
      <c r="D78" s="2" t="inlineStr">
        <is>
          <t>2E</t>
        </is>
      </c>
      <c r="E78" s="2" t="inlineStr">
        <is>
          <t>2I</t>
        </is>
      </c>
      <c r="F78" s="2" t="inlineStr">
        <is>
          <t>Levi's Stadium</t>
        </is>
      </c>
      <c r="G78" s="2" t="inlineStr">
        <is>
          <t>UTC-5</t>
        </is>
      </c>
      <c r="H78" s="2" t="inlineStr"/>
      <c r="I78" s="2" t="inlineStr"/>
      <c r="J78" s="2" t="inlineStr"/>
    </row>
    <row r="79">
      <c r="A79" s="2" t="n">
        <v>78</v>
      </c>
      <c r="B79" s="2" t="inlineStr">
        <is>
          <t>2026-06-30</t>
        </is>
      </c>
      <c r="C79" s="2" t="inlineStr">
        <is>
          <t>Round of 32</t>
        </is>
      </c>
      <c r="D79" s="2" t="inlineStr">
        <is>
          <t>1I</t>
        </is>
      </c>
      <c r="E79" s="2" t="inlineStr">
        <is>
          <t>3CDFGH</t>
        </is>
      </c>
      <c r="F79" s="2" t="inlineStr">
        <is>
          <t>Estadio BBVA</t>
        </is>
      </c>
      <c r="G79" s="2" t="inlineStr">
        <is>
          <t>UTC-5</t>
        </is>
      </c>
      <c r="H79" s="2" t="inlineStr"/>
      <c r="I79" s="2" t="inlineStr"/>
      <c r="J79" s="2" t="inlineStr"/>
    </row>
    <row r="80">
      <c r="A80" s="2" t="n">
        <v>79</v>
      </c>
      <c r="B80" s="2" t="inlineStr">
        <is>
          <t>2026-06-30</t>
        </is>
      </c>
      <c r="C80" s="2" t="inlineStr">
        <is>
          <t>Round of 32</t>
        </is>
      </c>
      <c r="D80" s="2" t="inlineStr">
        <is>
          <t>1A</t>
        </is>
      </c>
      <c r="E80" s="2" t="inlineStr">
        <is>
          <t>3CEFHI</t>
        </is>
      </c>
      <c r="F80" s="2" t="inlineStr">
        <is>
          <t>MetLife Stadium</t>
        </is>
      </c>
      <c r="G80" s="2" t="inlineStr">
        <is>
          <t>UTC-6</t>
        </is>
      </c>
      <c r="H80" s="2" t="inlineStr"/>
      <c r="I80" s="2" t="inlineStr"/>
      <c r="J80" s="2" t="inlineStr"/>
    </row>
    <row r="81">
      <c r="A81" s="2" t="n">
        <v>80</v>
      </c>
      <c r="B81" s="2" t="inlineStr">
        <is>
          <t>2026-07-01</t>
        </is>
      </c>
      <c r="C81" s="2" t="inlineStr">
        <is>
          <t>Round of 32</t>
        </is>
      </c>
      <c r="D81" s="2" t="inlineStr">
        <is>
          <t>1L</t>
        </is>
      </c>
      <c r="E81" s="2" t="inlineStr">
        <is>
          <t>3EHIJK</t>
        </is>
      </c>
      <c r="F81" s="2" t="inlineStr">
        <is>
          <t>Estadio Azteca</t>
        </is>
      </c>
      <c r="G81" s="2" t="inlineStr">
        <is>
          <t>UTC-5</t>
        </is>
      </c>
      <c r="H81" s="2" t="inlineStr"/>
      <c r="I81" s="2" t="inlineStr"/>
      <c r="J81" s="2" t="inlineStr"/>
    </row>
    <row r="82">
      <c r="A82" s="2" t="n">
        <v>81</v>
      </c>
      <c r="B82" s="2" t="inlineStr">
        <is>
          <t>2026-07-01</t>
        </is>
      </c>
      <c r="C82" s="2" t="inlineStr">
        <is>
          <t>Round of 32</t>
        </is>
      </c>
      <c r="D82" s="2" t="inlineStr">
        <is>
          <t>1D</t>
        </is>
      </c>
      <c r="E82" s="2" t="inlineStr">
        <is>
          <t>3BEFIJ</t>
        </is>
      </c>
      <c r="F82" s="2" t="inlineStr">
        <is>
          <t>Lumen Field</t>
        </is>
      </c>
      <c r="G82" s="2" t="inlineStr">
        <is>
          <t>UTC-7</t>
        </is>
      </c>
      <c r="H82" s="2" t="inlineStr"/>
      <c r="I82" s="2" t="inlineStr"/>
      <c r="J82" s="2" t="inlineStr"/>
    </row>
    <row r="83">
      <c r="A83" s="2" t="n">
        <v>82</v>
      </c>
      <c r="B83" s="2" t="inlineStr">
        <is>
          <t>2026-07-01</t>
        </is>
      </c>
      <c r="C83" s="2" t="inlineStr">
        <is>
          <t>Round of 32</t>
        </is>
      </c>
      <c r="D83" s="2" t="inlineStr">
        <is>
          <t>1G</t>
        </is>
      </c>
      <c r="E83" s="2" t="inlineStr">
        <is>
          <t>3AEHIJ</t>
        </is>
      </c>
      <c r="F83" s="2" t="inlineStr">
        <is>
          <t>Lumen Field</t>
        </is>
      </c>
      <c r="G83" s="2" t="inlineStr">
        <is>
          <t>UTC-7</t>
        </is>
      </c>
      <c r="H83" s="2" t="inlineStr"/>
      <c r="I83" s="2" t="inlineStr"/>
      <c r="J83" s="2" t="inlineStr"/>
    </row>
    <row r="84">
      <c r="A84" s="2" t="n">
        <v>83</v>
      </c>
      <c r="B84" s="2" t="inlineStr">
        <is>
          <t>2026-07-02</t>
        </is>
      </c>
      <c r="C84" s="2" t="inlineStr">
        <is>
          <t>Round of 32</t>
        </is>
      </c>
      <c r="D84" s="2" t="inlineStr">
        <is>
          <t>1H</t>
        </is>
      </c>
      <c r="E84" s="2" t="inlineStr">
        <is>
          <t>2J</t>
        </is>
      </c>
      <c r="F84" s="2" t="inlineStr">
        <is>
          <t>SoFi Stadium</t>
        </is>
      </c>
      <c r="G84" s="2" t="inlineStr">
        <is>
          <t>UTC-4</t>
        </is>
      </c>
      <c r="H84" s="2" t="inlineStr"/>
      <c r="I84" s="2" t="inlineStr"/>
      <c r="J84" s="2" t="inlineStr"/>
    </row>
    <row r="85">
      <c r="A85" s="2" t="n">
        <v>84</v>
      </c>
      <c r="B85" s="2" t="inlineStr">
        <is>
          <t>2026-07-02</t>
        </is>
      </c>
      <c r="C85" s="2" t="inlineStr">
        <is>
          <t>Round of 32</t>
        </is>
      </c>
      <c r="D85" s="2" t="inlineStr">
        <is>
          <t>2K</t>
        </is>
      </c>
      <c r="E85" s="2" t="inlineStr">
        <is>
          <t>2L</t>
        </is>
      </c>
      <c r="F85" s="2" t="inlineStr">
        <is>
          <t>Levi's Stadium</t>
        </is>
      </c>
      <c r="G85" s="2" t="inlineStr">
        <is>
          <t>UTC-7</t>
        </is>
      </c>
      <c r="H85" s="2" t="inlineStr"/>
      <c r="I85" s="2" t="inlineStr"/>
      <c r="J85" s="2" t="inlineStr"/>
    </row>
    <row r="86">
      <c r="A86" s="2" t="n">
        <v>85</v>
      </c>
      <c r="B86" s="2" t="inlineStr">
        <is>
          <t>2026-07-03</t>
        </is>
      </c>
      <c r="C86" s="2" t="inlineStr">
        <is>
          <t>Round of 32</t>
        </is>
      </c>
      <c r="D86" s="2" t="inlineStr">
        <is>
          <t>1B</t>
        </is>
      </c>
      <c r="E86" s="2" t="inlineStr">
        <is>
          <t>3EFGIJ</t>
        </is>
      </c>
      <c r="F86" s="2" t="inlineStr">
        <is>
          <t>AT&amp;T Stadium</t>
        </is>
      </c>
      <c r="G86" s="2" t="inlineStr">
        <is>
          <t>UTC-4</t>
        </is>
      </c>
      <c r="H86" s="2" t="inlineStr"/>
      <c r="I86" s="2" t="inlineStr"/>
      <c r="J86" s="2" t="inlineStr"/>
    </row>
    <row r="87">
      <c r="A87" s="2" t="n">
        <v>86</v>
      </c>
      <c r="B87" s="2" t="inlineStr">
        <is>
          <t>2026-07-03</t>
        </is>
      </c>
      <c r="C87" s="2" t="inlineStr">
        <is>
          <t>Round of 32</t>
        </is>
      </c>
      <c r="D87" s="2" t="inlineStr">
        <is>
          <t>2D</t>
        </is>
      </c>
      <c r="E87" s="2" t="inlineStr">
        <is>
          <t>2G</t>
        </is>
      </c>
      <c r="F87" s="2" t="inlineStr">
        <is>
          <t>Hard Rock Stadium</t>
        </is>
      </c>
      <c r="G87" s="2" t="inlineStr">
        <is>
          <t>UTC-5</t>
        </is>
      </c>
      <c r="H87" s="2" t="inlineStr"/>
      <c r="I87" s="2" t="inlineStr"/>
      <c r="J87" s="2" t="inlineStr"/>
    </row>
    <row r="88">
      <c r="A88" s="2" t="n">
        <v>87</v>
      </c>
      <c r="B88" s="2" t="inlineStr">
        <is>
          <t>2026-07-03</t>
        </is>
      </c>
      <c r="C88" s="2" t="inlineStr">
        <is>
          <t>Round of 32</t>
        </is>
      </c>
      <c r="D88" s="2" t="inlineStr">
        <is>
          <t>1J</t>
        </is>
      </c>
      <c r="E88" s="2" t="inlineStr">
        <is>
          <t>2H</t>
        </is>
      </c>
      <c r="F88" s="2" t="inlineStr">
        <is>
          <t>AT&amp;T Stadium</t>
        </is>
      </c>
      <c r="G88" s="2" t="inlineStr">
        <is>
          <t>UTC-4</t>
        </is>
      </c>
      <c r="H88" s="2" t="inlineStr"/>
      <c r="I88" s="2" t="inlineStr"/>
      <c r="J88" s="2" t="inlineStr"/>
    </row>
    <row r="89">
      <c r="A89" s="2" t="n">
        <v>88</v>
      </c>
      <c r="B89" s="2" t="inlineStr">
        <is>
          <t>2026-07-03</t>
        </is>
      </c>
      <c r="C89" s="2" t="inlineStr">
        <is>
          <t>Round of 32</t>
        </is>
      </c>
      <c r="D89" s="2" t="inlineStr">
        <is>
          <t>1K</t>
        </is>
      </c>
      <c r="E89" s="2" t="inlineStr">
        <is>
          <t>3DEIJL</t>
        </is>
      </c>
      <c r="F89" s="2" t="inlineStr">
        <is>
          <t>AT&amp;T Stadium</t>
        </is>
      </c>
      <c r="G89" s="2" t="inlineStr">
        <is>
          <t>UTC-4</t>
        </is>
      </c>
      <c r="H89" s="2" t="inlineStr"/>
      <c r="I89" s="2" t="inlineStr"/>
      <c r="J89" s="2" t="inlineStr"/>
    </row>
    <row r="90">
      <c r="A90" s="2" t="n">
        <v>89</v>
      </c>
      <c r="B90" s="2" t="inlineStr">
        <is>
          <t>2026-07-04</t>
        </is>
      </c>
      <c r="C90" s="2" t="inlineStr">
        <is>
          <t>Round of 16</t>
        </is>
      </c>
      <c r="D90" s="2" t="inlineStr">
        <is>
          <t>W74</t>
        </is>
      </c>
      <c r="E90" s="2" t="inlineStr">
        <is>
          <t>W77</t>
        </is>
      </c>
      <c r="F90" s="2" t="inlineStr">
        <is>
          <t>NRG Stadium</t>
        </is>
      </c>
      <c r="G90" s="2" t="inlineStr">
        <is>
          <t>UTC-4</t>
        </is>
      </c>
      <c r="H90" s="2" t="inlineStr"/>
      <c r="I90" s="2" t="inlineStr"/>
      <c r="J90" s="2" t="inlineStr"/>
    </row>
    <row r="91">
      <c r="A91" s="2" t="n">
        <v>90</v>
      </c>
      <c r="B91" s="2" t="inlineStr">
        <is>
          <t>2026-07-04</t>
        </is>
      </c>
      <c r="C91" s="2" t="inlineStr">
        <is>
          <t>Round of 16</t>
        </is>
      </c>
      <c r="D91" s="2" t="inlineStr">
        <is>
          <t>W73</t>
        </is>
      </c>
      <c r="E91" s="2" t="inlineStr">
        <is>
          <t>W75</t>
        </is>
      </c>
      <c r="F91" s="2" t="inlineStr">
        <is>
          <t>NRG Stadium</t>
        </is>
      </c>
      <c r="G91" s="2" t="inlineStr">
        <is>
          <t>UTC-4</t>
        </is>
      </c>
      <c r="H91" s="2" t="inlineStr"/>
      <c r="I91" s="2" t="inlineStr"/>
      <c r="J91" s="2" t="inlineStr"/>
    </row>
    <row r="92">
      <c r="A92" s="2" t="n">
        <v>91</v>
      </c>
      <c r="B92" s="2" t="inlineStr">
        <is>
          <t>2026-07-05</t>
        </is>
      </c>
      <c r="C92" s="2" t="inlineStr">
        <is>
          <t>Round of 16</t>
        </is>
      </c>
      <c r="D92" s="2" t="inlineStr">
        <is>
          <t>W76</t>
        </is>
      </c>
      <c r="E92" s="2" t="inlineStr">
        <is>
          <t>W78</t>
        </is>
      </c>
      <c r="F92" s="2" t="inlineStr">
        <is>
          <t>Lincoln Financial Field</t>
        </is>
      </c>
      <c r="G92" s="2" t="inlineStr">
        <is>
          <t>UTC-4</t>
        </is>
      </c>
      <c r="H92" s="2" t="inlineStr"/>
      <c r="I92" s="2" t="inlineStr"/>
      <c r="J92" s="2" t="inlineStr"/>
    </row>
    <row r="93">
      <c r="A93" s="2" t="n">
        <v>92</v>
      </c>
      <c r="B93" s="2" t="inlineStr">
        <is>
          <t>2026-07-05</t>
        </is>
      </c>
      <c r="C93" s="2" t="inlineStr">
        <is>
          <t>Round of 16</t>
        </is>
      </c>
      <c r="D93" s="2" t="inlineStr">
        <is>
          <t>W79</t>
        </is>
      </c>
      <c r="E93" s="2" t="inlineStr">
        <is>
          <t>W80</t>
        </is>
      </c>
      <c r="F93" s="2" t="inlineStr">
        <is>
          <t>MetLife Stadium</t>
        </is>
      </c>
      <c r="G93" s="2" t="inlineStr">
        <is>
          <t>UTC-6</t>
        </is>
      </c>
      <c r="H93" s="2" t="inlineStr"/>
      <c r="I93" s="2" t="inlineStr"/>
      <c r="J93" s="2" t="inlineStr"/>
    </row>
    <row r="94">
      <c r="A94" s="2" t="n">
        <v>93</v>
      </c>
      <c r="B94" s="2" t="inlineStr">
        <is>
          <t>2026-07-06</t>
        </is>
      </c>
      <c r="C94" s="2" t="inlineStr">
        <is>
          <t>Round of 16</t>
        </is>
      </c>
      <c r="D94" s="2" t="inlineStr">
        <is>
          <t>W83</t>
        </is>
      </c>
      <c r="E94" s="2" t="inlineStr">
        <is>
          <t>W84</t>
        </is>
      </c>
      <c r="F94" s="2" t="inlineStr">
        <is>
          <t>Estadio Azteca</t>
        </is>
      </c>
      <c r="G94" s="2" t="inlineStr">
        <is>
          <t>UTC-5</t>
        </is>
      </c>
      <c r="H94" s="2" t="inlineStr"/>
      <c r="I94" s="2" t="inlineStr"/>
      <c r="J94" s="2" t="inlineStr"/>
    </row>
    <row r="95">
      <c r="A95" s="2" t="n">
        <v>94</v>
      </c>
      <c r="B95" s="2" t="inlineStr">
        <is>
          <t>2026-07-06</t>
        </is>
      </c>
      <c r="C95" s="2" t="inlineStr">
        <is>
          <t>Round of 16</t>
        </is>
      </c>
      <c r="D95" s="2" t="inlineStr">
        <is>
          <t>W81</t>
        </is>
      </c>
      <c r="E95" s="2" t="inlineStr">
        <is>
          <t>W82</t>
        </is>
      </c>
      <c r="F95" s="2" t="inlineStr">
        <is>
          <t>AT&amp;T Stadium</t>
        </is>
      </c>
      <c r="G95" s="2" t="inlineStr">
        <is>
          <t>UTC-6</t>
        </is>
      </c>
      <c r="H95" s="2" t="inlineStr"/>
      <c r="I95" s="2" t="inlineStr"/>
      <c r="J95" s="2" t="inlineStr"/>
    </row>
    <row r="96">
      <c r="A96" s="2" t="n">
        <v>95</v>
      </c>
      <c r="B96" s="2" t="inlineStr">
        <is>
          <t>2026-07-07</t>
        </is>
      </c>
      <c r="C96" s="2" t="inlineStr">
        <is>
          <t>Round of 16</t>
        </is>
      </c>
      <c r="D96" s="2" t="inlineStr">
        <is>
          <t>W86</t>
        </is>
      </c>
      <c r="E96" s="2" t="inlineStr">
        <is>
          <t>W88</t>
        </is>
      </c>
      <c r="F96" s="2" t="inlineStr">
        <is>
          <t>Lumen Field</t>
        </is>
      </c>
      <c r="G96" s="2" t="inlineStr">
        <is>
          <t>UTC-7</t>
        </is>
      </c>
      <c r="H96" s="2" t="inlineStr"/>
      <c r="I96" s="2" t="inlineStr"/>
      <c r="J96" s="2" t="inlineStr"/>
    </row>
    <row r="97">
      <c r="A97" s="2" t="n">
        <v>96</v>
      </c>
      <c r="B97" s="2" t="inlineStr">
        <is>
          <t>2026-07-07</t>
        </is>
      </c>
      <c r="C97" s="2" t="inlineStr">
        <is>
          <t>Round of 16</t>
        </is>
      </c>
      <c r="D97" s="2" t="inlineStr">
        <is>
          <t>W85</t>
        </is>
      </c>
      <c r="E97" s="2" t="inlineStr">
        <is>
          <t>W87</t>
        </is>
      </c>
      <c r="F97" s="2" t="inlineStr">
        <is>
          <t>BC Place</t>
        </is>
      </c>
      <c r="G97" s="2" t="inlineStr">
        <is>
          <t>UTC-7</t>
        </is>
      </c>
      <c r="H97" s="2" t="inlineStr"/>
      <c r="I97" s="2" t="inlineStr"/>
      <c r="J97" s="2" t="inlineStr"/>
    </row>
    <row r="98">
      <c r="A98" s="2" t="n">
        <v>97</v>
      </c>
      <c r="B98" s="2" t="inlineStr">
        <is>
          <t>2026-07-09</t>
        </is>
      </c>
      <c r="C98" s="2" t="inlineStr">
        <is>
          <t>Quarterfinal</t>
        </is>
      </c>
      <c r="D98" s="2" t="inlineStr">
        <is>
          <t>W89</t>
        </is>
      </c>
      <c r="E98" s="2" t="inlineStr">
        <is>
          <t>W90</t>
        </is>
      </c>
      <c r="F98" s="2" t="inlineStr">
        <is>
          <t>Gillette Stadium</t>
        </is>
      </c>
      <c r="G98" s="2" t="inlineStr">
        <is>
          <t>UTC-7</t>
        </is>
      </c>
      <c r="H98" s="2" t="inlineStr"/>
      <c r="I98" s="2" t="inlineStr"/>
      <c r="J98" s="2" t="inlineStr"/>
    </row>
    <row r="99">
      <c r="A99" s="2" t="n">
        <v>98</v>
      </c>
      <c r="B99" s="2" t="inlineStr">
        <is>
          <t>2026-07-10</t>
        </is>
      </c>
      <c r="C99" s="2" t="inlineStr">
        <is>
          <t>Quarterfinal</t>
        </is>
      </c>
      <c r="D99" s="2" t="inlineStr">
        <is>
          <t>W93</t>
        </is>
      </c>
      <c r="E99" s="2" t="inlineStr">
        <is>
          <t>W94</t>
        </is>
      </c>
      <c r="F99" s="2" t="inlineStr">
        <is>
          <t>SoFi Stadium</t>
        </is>
      </c>
      <c r="G99" s="2" t="inlineStr">
        <is>
          <t>UTC-4</t>
        </is>
      </c>
      <c r="H99" s="2" t="inlineStr"/>
      <c r="I99" s="2" t="inlineStr"/>
      <c r="J99" s="2" t="inlineStr"/>
    </row>
    <row r="100">
      <c r="A100" s="2" t="n">
        <v>99</v>
      </c>
      <c r="B100" s="2" t="inlineStr">
        <is>
          <t>2026-07-11</t>
        </is>
      </c>
      <c r="C100" s="2" t="inlineStr">
        <is>
          <t>Quarterfinal</t>
        </is>
      </c>
      <c r="D100" s="2" t="inlineStr">
        <is>
          <t>W91</t>
        </is>
      </c>
      <c r="E100" s="2" t="inlineStr">
        <is>
          <t>W92</t>
        </is>
      </c>
      <c r="F100" s="2" t="inlineStr">
        <is>
          <t>Hard Rock Stadium</t>
        </is>
      </c>
      <c r="G100" s="2" t="inlineStr">
        <is>
          <t>UTC-5</t>
        </is>
      </c>
      <c r="H100" s="2" t="inlineStr"/>
      <c r="I100" s="2" t="inlineStr"/>
      <c r="J100" s="2" t="inlineStr"/>
    </row>
    <row r="101">
      <c r="A101" s="2" t="n">
        <v>100</v>
      </c>
      <c r="B101" s="2" t="inlineStr">
        <is>
          <t>2026-07-11</t>
        </is>
      </c>
      <c r="C101" s="2" t="inlineStr">
        <is>
          <t>Quarterfinal</t>
        </is>
      </c>
      <c r="D101" s="2" t="inlineStr">
        <is>
          <t>W95</t>
        </is>
      </c>
      <c r="E101" s="2" t="inlineStr">
        <is>
          <t>W96</t>
        </is>
      </c>
      <c r="F101" s="2" t="inlineStr">
        <is>
          <t>Arrowhead Stadium</t>
        </is>
      </c>
      <c r="G101" s="2" t="inlineStr">
        <is>
          <t>UTC-5</t>
        </is>
      </c>
      <c r="H101" s="2" t="inlineStr"/>
      <c r="I101" s="2" t="inlineStr"/>
      <c r="J101" s="2" t="inlineStr"/>
    </row>
    <row r="102">
      <c r="A102" s="2" t="n">
        <v>101</v>
      </c>
      <c r="B102" s="2" t="inlineStr">
        <is>
          <t>2026-07-14</t>
        </is>
      </c>
      <c r="C102" s="2" t="inlineStr">
        <is>
          <t>Semifinal</t>
        </is>
      </c>
      <c r="D102" s="2" t="inlineStr">
        <is>
          <t>W97</t>
        </is>
      </c>
      <c r="E102" s="2" t="inlineStr">
        <is>
          <t>W98</t>
        </is>
      </c>
      <c r="F102" s="2" t="inlineStr">
        <is>
          <t>AT&amp;T Stadium</t>
        </is>
      </c>
      <c r="G102" s="2" t="inlineStr">
        <is>
          <t>UTC-5</t>
        </is>
      </c>
      <c r="H102" s="2" t="inlineStr"/>
      <c r="I102" s="2" t="inlineStr"/>
      <c r="J102" s="2" t="inlineStr"/>
    </row>
    <row r="103">
      <c r="A103" s="2" t="n">
        <v>102</v>
      </c>
      <c r="B103" s="2" t="inlineStr">
        <is>
          <t>2026-07-15</t>
        </is>
      </c>
      <c r="C103" s="2" t="inlineStr">
        <is>
          <t>Semifinal</t>
        </is>
      </c>
      <c r="D103" s="2" t="inlineStr">
        <is>
          <t>W99</t>
        </is>
      </c>
      <c r="E103" s="2" t="inlineStr">
        <is>
          <t>W100</t>
        </is>
      </c>
      <c r="F103" s="2" t="inlineStr">
        <is>
          <t>AT&amp;T Stadium</t>
        </is>
      </c>
      <c r="G103" s="2" t="inlineStr">
        <is>
          <t>UTC-5</t>
        </is>
      </c>
      <c r="H103" s="2" t="inlineStr"/>
      <c r="I103" s="2" t="inlineStr"/>
      <c r="J103" s="2" t="inlineStr"/>
    </row>
    <row r="104">
      <c r="A104" s="2" t="n">
        <v>103</v>
      </c>
      <c r="B104" s="2" t="inlineStr">
        <is>
          <t>2026-07-18</t>
        </is>
      </c>
      <c r="C104" s="2" t="inlineStr">
        <is>
          <t>Third-place</t>
        </is>
      </c>
      <c r="D104" s="2" t="inlineStr">
        <is>
          <t>RU101</t>
        </is>
      </c>
      <c r="E104" s="2" t="inlineStr">
        <is>
          <t>RU102</t>
        </is>
      </c>
      <c r="F104" s="2" t="inlineStr">
        <is>
          <t>Hard Rock Stadium</t>
        </is>
      </c>
      <c r="G104" s="2" t="inlineStr">
        <is>
          <t>UTC-5</t>
        </is>
      </c>
      <c r="H104" s="2" t="inlineStr"/>
      <c r="I104" s="2" t="inlineStr"/>
      <c r="J104" s="2" t="inlineStr"/>
    </row>
    <row r="105">
      <c r="A105" s="2" t="n">
        <v>104</v>
      </c>
      <c r="B105" s="2" t="inlineStr">
        <is>
          <t>2026-07-19</t>
        </is>
      </c>
      <c r="C105" s="2" t="inlineStr">
        <is>
          <t>Final</t>
        </is>
      </c>
      <c r="D105" s="2" t="inlineStr">
        <is>
          <t>W101</t>
        </is>
      </c>
      <c r="E105" s="2" t="inlineStr">
        <is>
          <t>W102</t>
        </is>
      </c>
      <c r="F105" s="2" t="inlineStr">
        <is>
          <t>MetLife Stadium</t>
        </is>
      </c>
      <c r="G105" s="2" t="inlineStr">
        <is>
          <t>UTC-4</t>
        </is>
      </c>
      <c r="H105" s="2" t="inlineStr"/>
      <c r="I105" s="2" t="inlineStr"/>
      <c r="J105" s="2" t="inlineStr"/>
    </row>
  </sheetData>
  <dataValidations count="1">
    <dataValidation sqref="D2:D105 E2:E105" showDropDown="0" showInputMessage="0" showErrorMessage="0" allowBlank="1" type="list">
      <formula1>=Lists!$A$2:$A$49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Names</t>
        </is>
      </c>
      <c r="B1" t="inlineStr">
        <is>
          <t>Match Number</t>
        </is>
      </c>
    </row>
    <row r="2">
      <c r="A2" t="inlineStr">
        <is>
          <t>Mexico</t>
        </is>
      </c>
      <c r="B2" t="n">
        <v>1</v>
      </c>
    </row>
    <row r="3">
      <c r="A3" t="inlineStr">
        <is>
          <t>South Africa</t>
        </is>
      </c>
      <c r="B3" t="n">
        <v>2</v>
      </c>
    </row>
    <row r="4">
      <c r="A4" t="inlineStr">
        <is>
          <t>South Korea</t>
        </is>
      </c>
      <c r="B4" t="n">
        <v>3</v>
      </c>
    </row>
    <row r="5">
      <c r="A5" t="inlineStr">
        <is>
          <t>Czech Republic</t>
        </is>
      </c>
      <c r="B5" t="n">
        <v>4</v>
      </c>
    </row>
    <row r="6">
      <c r="A6" t="inlineStr">
        <is>
          <t>Canada</t>
        </is>
      </c>
      <c r="B6" t="n">
        <v>5</v>
      </c>
    </row>
    <row r="7">
      <c r="A7" t="inlineStr">
        <is>
          <t>Bosnia and Herzegovina</t>
        </is>
      </c>
      <c r="B7" t="n">
        <v>6</v>
      </c>
    </row>
    <row r="8">
      <c r="A8" t="inlineStr">
        <is>
          <t>Qatar</t>
        </is>
      </c>
      <c r="B8" t="n">
        <v>7</v>
      </c>
    </row>
    <row r="9">
      <c r="A9" t="inlineStr">
        <is>
          <t>Switzerland</t>
        </is>
      </c>
      <c r="B9" t="n">
        <v>8</v>
      </c>
    </row>
    <row r="10">
      <c r="A10" t="inlineStr">
        <is>
          <t>Brazil</t>
        </is>
      </c>
      <c r="B10" t="n">
        <v>9</v>
      </c>
    </row>
    <row r="11">
      <c r="A11" t="inlineStr">
        <is>
          <t>Morocco</t>
        </is>
      </c>
      <c r="B11" t="n">
        <v>10</v>
      </c>
    </row>
    <row r="12">
      <c r="A12" t="inlineStr">
        <is>
          <t>Haiti</t>
        </is>
      </c>
      <c r="B12" t="n">
        <v>11</v>
      </c>
    </row>
    <row r="13">
      <c r="A13" t="inlineStr">
        <is>
          <t>Scotland</t>
        </is>
      </c>
      <c r="B13" t="n">
        <v>12</v>
      </c>
    </row>
    <row r="14">
      <c r="A14" t="inlineStr">
        <is>
          <t>United States</t>
        </is>
      </c>
      <c r="B14" t="n">
        <v>13</v>
      </c>
    </row>
    <row r="15">
      <c r="A15" t="inlineStr">
        <is>
          <t>Paraguay</t>
        </is>
      </c>
      <c r="B15" t="n">
        <v>14</v>
      </c>
    </row>
    <row r="16">
      <c r="A16" t="inlineStr">
        <is>
          <t>Australia</t>
        </is>
      </c>
      <c r="B16" t="n">
        <v>15</v>
      </c>
    </row>
    <row r="17">
      <c r="A17" t="inlineStr">
        <is>
          <t>Turkey</t>
        </is>
      </c>
      <c r="B17" t="n">
        <v>16</v>
      </c>
    </row>
    <row r="18">
      <c r="A18" t="inlineStr">
        <is>
          <t>Germany</t>
        </is>
      </c>
      <c r="B18" t="n">
        <v>17</v>
      </c>
    </row>
    <row r="19">
      <c r="A19" t="inlineStr">
        <is>
          <t>Curaçao</t>
        </is>
      </c>
      <c r="B19" t="n">
        <v>18</v>
      </c>
    </row>
    <row r="20">
      <c r="A20" t="inlineStr">
        <is>
          <t>Ivory Coast</t>
        </is>
      </c>
      <c r="B20" t="n">
        <v>19</v>
      </c>
    </row>
    <row r="21">
      <c r="A21" t="inlineStr">
        <is>
          <t>Ecuador</t>
        </is>
      </c>
      <c r="B21" t="n">
        <v>20</v>
      </c>
    </row>
    <row r="22">
      <c r="A22" t="inlineStr">
        <is>
          <t>Netherlands</t>
        </is>
      </c>
      <c r="B22" t="n">
        <v>21</v>
      </c>
    </row>
    <row r="23">
      <c r="A23" t="inlineStr">
        <is>
          <t>Japan</t>
        </is>
      </c>
      <c r="B23" t="n">
        <v>22</v>
      </c>
    </row>
    <row r="24">
      <c r="A24" t="inlineStr">
        <is>
          <t>Sweden</t>
        </is>
      </c>
      <c r="B24" t="n">
        <v>23</v>
      </c>
    </row>
    <row r="25">
      <c r="A25" t="inlineStr">
        <is>
          <t>Tunisia</t>
        </is>
      </c>
      <c r="B25" t="n">
        <v>24</v>
      </c>
    </row>
    <row r="26">
      <c r="A26" t="inlineStr">
        <is>
          <t>Belgium</t>
        </is>
      </c>
      <c r="B26" t="n">
        <v>25</v>
      </c>
    </row>
    <row r="27">
      <c r="A27" t="inlineStr">
        <is>
          <t>Egypt</t>
        </is>
      </c>
      <c r="B27" t="n">
        <v>26</v>
      </c>
    </row>
    <row r="28">
      <c r="A28" t="inlineStr">
        <is>
          <t>Iran</t>
        </is>
      </c>
      <c r="B28" t="n">
        <v>27</v>
      </c>
    </row>
    <row r="29">
      <c r="A29" t="inlineStr">
        <is>
          <t>New Zealand</t>
        </is>
      </c>
      <c r="B29" t="n">
        <v>28</v>
      </c>
    </row>
    <row r="30">
      <c r="A30" t="inlineStr">
        <is>
          <t>Spain</t>
        </is>
      </c>
      <c r="B30" t="n">
        <v>29</v>
      </c>
    </row>
    <row r="31">
      <c r="A31" t="inlineStr">
        <is>
          <t>Cape Verde</t>
        </is>
      </c>
      <c r="B31" t="n">
        <v>30</v>
      </c>
    </row>
    <row r="32">
      <c r="A32" t="inlineStr">
        <is>
          <t>Saudi Arabia</t>
        </is>
      </c>
      <c r="B32" t="n">
        <v>31</v>
      </c>
    </row>
    <row r="33">
      <c r="A33" t="inlineStr">
        <is>
          <t>Uruguay</t>
        </is>
      </c>
      <c r="B33" t="n">
        <v>32</v>
      </c>
    </row>
    <row r="34">
      <c r="A34" t="inlineStr">
        <is>
          <t>France</t>
        </is>
      </c>
      <c r="B34" t="n">
        <v>33</v>
      </c>
    </row>
    <row r="35">
      <c r="A35" t="inlineStr">
        <is>
          <t>Senegal</t>
        </is>
      </c>
      <c r="B35" t="n">
        <v>34</v>
      </c>
    </row>
    <row r="36">
      <c r="A36" t="inlineStr">
        <is>
          <t>Iraq</t>
        </is>
      </c>
      <c r="B36" t="n">
        <v>35</v>
      </c>
    </row>
    <row r="37">
      <c r="A37" t="inlineStr">
        <is>
          <t>Norway</t>
        </is>
      </c>
      <c r="B37" t="n">
        <v>36</v>
      </c>
    </row>
    <row r="38">
      <c r="A38" t="inlineStr">
        <is>
          <t>Argentina</t>
        </is>
      </c>
      <c r="B38" t="n">
        <v>37</v>
      </c>
    </row>
    <row r="39">
      <c r="A39" t="inlineStr">
        <is>
          <t>Algeria</t>
        </is>
      </c>
      <c r="B39" t="n">
        <v>38</v>
      </c>
    </row>
    <row r="40">
      <c r="A40" t="inlineStr">
        <is>
          <t>Austria</t>
        </is>
      </c>
      <c r="B40" t="n">
        <v>39</v>
      </c>
    </row>
    <row r="41">
      <c r="A41" t="inlineStr">
        <is>
          <t>Jordan</t>
        </is>
      </c>
      <c r="B41" t="n">
        <v>40</v>
      </c>
    </row>
    <row r="42">
      <c r="A42" t="inlineStr">
        <is>
          <t>Portugal</t>
        </is>
      </c>
      <c r="B42" t="n">
        <v>41</v>
      </c>
    </row>
    <row r="43">
      <c r="A43" t="inlineStr">
        <is>
          <t>DR Congo</t>
        </is>
      </c>
      <c r="B43" t="n">
        <v>42</v>
      </c>
    </row>
    <row r="44">
      <c r="A44" t="inlineStr">
        <is>
          <t>Uzbekistan</t>
        </is>
      </c>
      <c r="B44" t="n">
        <v>43</v>
      </c>
    </row>
    <row r="45">
      <c r="A45" t="inlineStr">
        <is>
          <t>Colombia</t>
        </is>
      </c>
      <c r="B45" t="n">
        <v>44</v>
      </c>
    </row>
    <row r="46">
      <c r="A46" t="inlineStr">
        <is>
          <t>England</t>
        </is>
      </c>
      <c r="B46" t="n">
        <v>45</v>
      </c>
    </row>
    <row r="47">
      <c r="A47" t="inlineStr">
        <is>
          <t>Croatia</t>
        </is>
      </c>
      <c r="B47" t="n">
        <v>46</v>
      </c>
    </row>
    <row r="48">
      <c r="A48" t="inlineStr">
        <is>
          <t>Ghana</t>
        </is>
      </c>
      <c r="B48" t="n">
        <v>47</v>
      </c>
    </row>
    <row r="49">
      <c r="A49" t="inlineStr">
        <is>
          <t>Panama</t>
        </is>
      </c>
      <c r="B49" t="n">
        <v>48</v>
      </c>
    </row>
    <row r="50">
      <c r="B50" t="n">
        <v>49</v>
      </c>
    </row>
    <row r="51">
      <c r="B51" t="n">
        <v>50</v>
      </c>
    </row>
    <row r="52">
      <c r="B52" t="n">
        <v>51</v>
      </c>
    </row>
    <row r="53">
      <c r="B53" t="n">
        <v>52</v>
      </c>
    </row>
    <row r="54">
      <c r="B54" t="n">
        <v>53</v>
      </c>
    </row>
    <row r="55">
      <c r="B55" t="n">
        <v>54</v>
      </c>
    </row>
    <row r="56">
      <c r="B56" t="n">
        <v>55</v>
      </c>
    </row>
    <row r="57">
      <c r="B57" t="n">
        <v>56</v>
      </c>
    </row>
    <row r="58">
      <c r="B58" t="n">
        <v>57</v>
      </c>
    </row>
    <row r="59">
      <c r="B59" t="n">
        <v>58</v>
      </c>
    </row>
    <row r="60">
      <c r="B60" t="n">
        <v>59</v>
      </c>
    </row>
    <row r="61">
      <c r="B61" t="n">
        <v>60</v>
      </c>
    </row>
    <row r="62">
      <c r="B62" t="n">
        <v>61</v>
      </c>
    </row>
    <row r="63">
      <c r="B63" t="n">
        <v>62</v>
      </c>
    </row>
    <row r="64">
      <c r="B64" t="n">
        <v>63</v>
      </c>
    </row>
    <row r="65">
      <c r="B65" t="n">
        <v>64</v>
      </c>
    </row>
    <row r="66">
      <c r="B66" t="n">
        <v>65</v>
      </c>
    </row>
    <row r="67">
      <c r="B67" t="n">
        <v>66</v>
      </c>
    </row>
    <row r="68">
      <c r="B68" t="n">
        <v>67</v>
      </c>
    </row>
    <row r="69">
      <c r="B69" t="n">
        <v>68</v>
      </c>
    </row>
    <row r="70">
      <c r="B70" t="n">
        <v>69</v>
      </c>
    </row>
    <row r="71">
      <c r="B71" t="n">
        <v>70</v>
      </c>
    </row>
    <row r="72">
      <c r="B72" t="n">
        <v>71</v>
      </c>
    </row>
    <row r="73">
      <c r="B73" t="n">
        <v>72</v>
      </c>
    </row>
    <row r="74">
      <c r="B74" t="n">
        <v>73</v>
      </c>
    </row>
    <row r="75">
      <c r="B75" t="n">
        <v>74</v>
      </c>
    </row>
    <row r="76">
      <c r="B76" t="n">
        <v>75</v>
      </c>
    </row>
    <row r="77">
      <c r="B77" t="n">
        <v>76</v>
      </c>
    </row>
    <row r="78">
      <c r="B78" t="n">
        <v>77</v>
      </c>
    </row>
    <row r="79">
      <c r="B79" t="n">
        <v>78</v>
      </c>
    </row>
    <row r="80">
      <c r="B80" t="n">
        <v>79</v>
      </c>
    </row>
    <row r="81">
      <c r="B81" t="n">
        <v>80</v>
      </c>
    </row>
    <row r="82">
      <c r="B82" t="n">
        <v>81</v>
      </c>
    </row>
    <row r="83">
      <c r="B83" t="n">
        <v>82</v>
      </c>
    </row>
    <row r="84">
      <c r="B84" t="n">
        <v>83</v>
      </c>
    </row>
    <row r="85">
      <c r="B85" t="n">
        <v>84</v>
      </c>
    </row>
    <row r="86">
      <c r="B86" t="n">
        <v>85</v>
      </c>
    </row>
    <row r="87">
      <c r="B87" t="n">
        <v>86</v>
      </c>
    </row>
    <row r="88">
      <c r="B88" t="n">
        <v>87</v>
      </c>
    </row>
    <row r="89">
      <c r="B89" t="n">
        <v>88</v>
      </c>
    </row>
    <row r="90">
      <c r="B90" t="n">
        <v>89</v>
      </c>
    </row>
    <row r="91">
      <c r="B91" t="n">
        <v>90</v>
      </c>
    </row>
    <row r="92">
      <c r="B92" t="n">
        <v>91</v>
      </c>
    </row>
    <row r="93">
      <c r="B93" t="n">
        <v>92</v>
      </c>
    </row>
    <row r="94">
      <c r="B94" t="n">
        <v>93</v>
      </c>
    </row>
    <row r="95">
      <c r="B95" t="n">
        <v>94</v>
      </c>
    </row>
    <row r="96">
      <c r="B96" t="n">
        <v>95</v>
      </c>
    </row>
    <row r="97">
      <c r="B97" t="n">
        <v>96</v>
      </c>
    </row>
    <row r="98">
      <c r="B98" t="n">
        <v>97</v>
      </c>
    </row>
    <row r="99">
      <c r="B99" t="n">
        <v>98</v>
      </c>
    </row>
    <row r="100">
      <c r="B100" t="n">
        <v>99</v>
      </c>
    </row>
    <row r="101">
      <c r="B101" t="n">
        <v>100</v>
      </c>
    </row>
    <row r="102">
      <c r="B102" t="n">
        <v>101</v>
      </c>
    </row>
    <row r="103">
      <c r="B103" t="n">
        <v>102</v>
      </c>
    </row>
    <row r="104">
      <c r="B104" t="n">
        <v>103</v>
      </c>
    </row>
    <row r="105">
      <c r="B105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Participant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Nickname</t>
        </is>
      </c>
      <c r="E1" s="1" t="inlineStr">
        <is>
          <t>Group /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Row</t>
        </is>
      </c>
      <c r="B1" s="1" t="inlineStr">
        <is>
          <t>Participant</t>
        </is>
      </c>
      <c r="C1" s="1" t="inlineStr">
        <is>
          <t>Match #</t>
        </is>
      </c>
      <c r="D1" s="1" t="inlineStr">
        <is>
          <t>Home Team</t>
        </is>
      </c>
      <c r="E1" s="1" t="inlineStr">
        <is>
          <t>Away Team</t>
        </is>
      </c>
      <c r="F1" s="1" t="inlineStr">
        <is>
          <t>Pred Home</t>
        </is>
      </c>
      <c r="G1" s="1" t="inlineStr">
        <is>
          <t>Pred Away</t>
        </is>
      </c>
      <c r="H1" s="1" t="inlineStr">
        <is>
          <t>Real Home</t>
        </is>
      </c>
      <c r="I1" s="1" t="inlineStr">
        <is>
          <t>Real Away</t>
        </is>
      </c>
      <c r="J1" s="1" t="inlineStr">
        <is>
          <t>Points</t>
        </is>
      </c>
      <c r="K1" s="1" t="inlineStr">
        <is>
          <t>Outcome Status</t>
        </is>
      </c>
    </row>
    <row r="2">
      <c r="A2" t="n">
        <v>1</v>
      </c>
      <c r="D2" s="2">
        <f>IFERROR(VLOOKUP($C2,'Tabela de Jogos'!$A:$J,4,FALSE),"")</f>
        <v/>
      </c>
      <c r="E2" s="2">
        <f>IFERROR(VLOOKUP($C2,'Tabela de Jogos'!$A:$J,5,FALSE),"")</f>
        <v/>
      </c>
      <c r="F2" s="2" t="n"/>
      <c r="G2" s="2" t="n"/>
      <c r="H2">
        <f>IFERROR(VLOOKUP($C2,'Tabela de Jogos'!$A:$J,8,FALSE),"")</f>
        <v/>
      </c>
      <c r="I2">
        <f>IFERROR(VLOOKUP($C2,'Tabela de Jogos'!$A:$J,9,FALSE),"")</f>
        <v/>
      </c>
      <c r="J2" s="2">
        <f>IF(OR($F2="",$G2="",$H2="",$I2=""),"",IF(AND($F2=$H2,$G2=$I2),3,IF(SIGN($F2-$G2)=SIGN($H2-$I2),1,0)))</f>
        <v/>
      </c>
      <c r="K2" s="2">
        <f>IF($J2="","",IF($J2=3,"Exact",IF($J2=1,"Correct","Miss")))</f>
        <v/>
      </c>
    </row>
    <row r="3">
      <c r="A3" t="n">
        <v>2</v>
      </c>
      <c r="D3" s="2">
        <f>IFERROR(VLOOKUP($C3,'Tabela de Jogos'!$A:$J,4,FALSE),"")</f>
        <v/>
      </c>
      <c r="E3" s="2">
        <f>IFERROR(VLOOKUP($C3,'Tabela de Jogos'!$A:$J,5,FALSE),"")</f>
        <v/>
      </c>
      <c r="F3" s="2" t="n"/>
      <c r="G3" s="2" t="n"/>
      <c r="H3">
        <f>IFERROR(VLOOKUP($C3,'Tabela de Jogos'!$A:$J,8,FALSE),"")</f>
        <v/>
      </c>
      <c r="I3">
        <f>IFERROR(VLOOKUP($C3,'Tabela de Jogos'!$A:$J,9,FALSE),"")</f>
        <v/>
      </c>
      <c r="J3" s="2">
        <f>IF(OR($F3="",$G3="",$H3="",$I3=""),"",IF(AND($F3=$H3,$G3=$I3),3,IF(SIGN($F3-$G3)=SIGN($H3-$I3),1,0)))</f>
        <v/>
      </c>
      <c r="K3" s="2">
        <f>IF($J3="","",IF($J3=3,"Exact",IF($J3=1,"Correct","Miss")))</f>
        <v/>
      </c>
    </row>
    <row r="4">
      <c r="A4" t="n">
        <v>3</v>
      </c>
      <c r="D4" s="2">
        <f>IFERROR(VLOOKUP($C4,'Tabela de Jogos'!$A:$J,4,FALSE),"")</f>
        <v/>
      </c>
      <c r="E4" s="2">
        <f>IFERROR(VLOOKUP($C4,'Tabela de Jogos'!$A:$J,5,FALSE),"")</f>
        <v/>
      </c>
      <c r="F4" s="2" t="n"/>
      <c r="G4" s="2" t="n"/>
      <c r="H4">
        <f>IFERROR(VLOOKUP($C4,'Tabela de Jogos'!$A:$J,8,FALSE),"")</f>
        <v/>
      </c>
      <c r="I4">
        <f>IFERROR(VLOOKUP($C4,'Tabela de Jogos'!$A:$J,9,FALSE),"")</f>
        <v/>
      </c>
      <c r="J4" s="2">
        <f>IF(OR($F4="",$G4="",$H4="",$I4=""),"",IF(AND($F4=$H4,$G4=$I4),3,IF(SIGN($F4-$G4)=SIGN($H4-$I4),1,0)))</f>
        <v/>
      </c>
      <c r="K4" s="2">
        <f>IF($J4="","",IF($J4=3,"Exact",IF($J4=1,"Correct","Miss")))</f>
        <v/>
      </c>
    </row>
    <row r="5">
      <c r="A5" t="n">
        <v>4</v>
      </c>
      <c r="D5" s="2">
        <f>IFERROR(VLOOKUP($C5,'Tabela de Jogos'!$A:$J,4,FALSE),"")</f>
        <v/>
      </c>
      <c r="E5" s="2">
        <f>IFERROR(VLOOKUP($C5,'Tabela de Jogos'!$A:$J,5,FALSE),"")</f>
        <v/>
      </c>
      <c r="F5" s="2" t="n"/>
      <c r="G5" s="2" t="n"/>
      <c r="H5">
        <f>IFERROR(VLOOKUP($C5,'Tabela de Jogos'!$A:$J,8,FALSE),"")</f>
        <v/>
      </c>
      <c r="I5">
        <f>IFERROR(VLOOKUP($C5,'Tabela de Jogos'!$A:$J,9,FALSE),"")</f>
        <v/>
      </c>
      <c r="J5" s="2">
        <f>IF(OR($F5="",$G5="",$H5="",$I5=""),"",IF(AND($F5=$H5,$G5=$I5),3,IF(SIGN($F5-$G5)=SIGN($H5-$I5),1,0)))</f>
        <v/>
      </c>
      <c r="K5" s="2">
        <f>IF($J5="","",IF($J5=3,"Exact",IF($J5=1,"Correct","Miss")))</f>
        <v/>
      </c>
    </row>
    <row r="6">
      <c r="A6" t="n">
        <v>5</v>
      </c>
      <c r="D6" s="2">
        <f>IFERROR(VLOOKUP($C6,'Tabela de Jogos'!$A:$J,4,FALSE),"")</f>
        <v/>
      </c>
      <c r="E6" s="2">
        <f>IFERROR(VLOOKUP($C6,'Tabela de Jogos'!$A:$J,5,FALSE),"")</f>
        <v/>
      </c>
      <c r="F6" s="2" t="n"/>
      <c r="G6" s="2" t="n"/>
      <c r="H6">
        <f>IFERROR(VLOOKUP($C6,'Tabela de Jogos'!$A:$J,8,FALSE),"")</f>
        <v/>
      </c>
      <c r="I6">
        <f>IFERROR(VLOOKUP($C6,'Tabela de Jogos'!$A:$J,9,FALSE),"")</f>
        <v/>
      </c>
      <c r="J6" s="2">
        <f>IF(OR($F6="",$G6="",$H6="",$I6=""),"",IF(AND($F6=$H6,$G6=$I6),3,IF(SIGN($F6-$G6)=SIGN($H6-$I6),1,0)))</f>
        <v/>
      </c>
      <c r="K6" s="2">
        <f>IF($J6="","",IF($J6=3,"Exact",IF($J6=1,"Correct","Miss")))</f>
        <v/>
      </c>
    </row>
    <row r="7">
      <c r="A7" t="n">
        <v>6</v>
      </c>
      <c r="D7" s="2">
        <f>IFERROR(VLOOKUP($C7,'Tabela de Jogos'!$A:$J,4,FALSE),"")</f>
        <v/>
      </c>
      <c r="E7" s="2">
        <f>IFERROR(VLOOKUP($C7,'Tabela de Jogos'!$A:$J,5,FALSE),"")</f>
        <v/>
      </c>
      <c r="F7" s="2" t="n"/>
      <c r="G7" s="2" t="n"/>
      <c r="H7">
        <f>IFERROR(VLOOKUP($C7,'Tabela de Jogos'!$A:$J,8,FALSE),"")</f>
        <v/>
      </c>
      <c r="I7">
        <f>IFERROR(VLOOKUP($C7,'Tabela de Jogos'!$A:$J,9,FALSE),"")</f>
        <v/>
      </c>
      <c r="J7" s="2">
        <f>IF(OR($F7="",$G7="",$H7="",$I7=""),"",IF(AND($F7=$H7,$G7=$I7),3,IF(SIGN($F7-$G7)=SIGN($H7-$I7),1,0)))</f>
        <v/>
      </c>
      <c r="K7" s="2">
        <f>IF($J7="","",IF($J7=3,"Exact",IF($J7=1,"Correct","Miss")))</f>
        <v/>
      </c>
    </row>
    <row r="8">
      <c r="A8" t="n">
        <v>7</v>
      </c>
      <c r="D8" s="2">
        <f>IFERROR(VLOOKUP($C8,'Tabela de Jogos'!$A:$J,4,FALSE),"")</f>
        <v/>
      </c>
      <c r="E8" s="2">
        <f>IFERROR(VLOOKUP($C8,'Tabela de Jogos'!$A:$J,5,FALSE),"")</f>
        <v/>
      </c>
      <c r="F8" s="2" t="n"/>
      <c r="G8" s="2" t="n"/>
      <c r="H8">
        <f>IFERROR(VLOOKUP($C8,'Tabela de Jogos'!$A:$J,8,FALSE),"")</f>
        <v/>
      </c>
      <c r="I8">
        <f>IFERROR(VLOOKUP($C8,'Tabela de Jogos'!$A:$J,9,FALSE),"")</f>
        <v/>
      </c>
      <c r="J8" s="2">
        <f>IF(OR($F8="",$G8="",$H8="",$I8=""),"",IF(AND($F8=$H8,$G8=$I8),3,IF(SIGN($F8-$G8)=SIGN($H8-$I8),1,0)))</f>
        <v/>
      </c>
      <c r="K8" s="2">
        <f>IF($J8="","",IF($J8=3,"Exact",IF($J8=1,"Correct","Miss")))</f>
        <v/>
      </c>
    </row>
    <row r="9">
      <c r="A9" t="n">
        <v>8</v>
      </c>
      <c r="D9" s="2">
        <f>IFERROR(VLOOKUP($C9,'Tabela de Jogos'!$A:$J,4,FALSE),"")</f>
        <v/>
      </c>
      <c r="E9" s="2">
        <f>IFERROR(VLOOKUP($C9,'Tabela de Jogos'!$A:$J,5,FALSE),"")</f>
        <v/>
      </c>
      <c r="F9" s="2" t="n"/>
      <c r="G9" s="2" t="n"/>
      <c r="H9">
        <f>IFERROR(VLOOKUP($C9,'Tabela de Jogos'!$A:$J,8,FALSE),"")</f>
        <v/>
      </c>
      <c r="I9">
        <f>IFERROR(VLOOKUP($C9,'Tabela de Jogos'!$A:$J,9,FALSE),"")</f>
        <v/>
      </c>
      <c r="J9" s="2">
        <f>IF(OR($F9="",$G9="",$H9="",$I9=""),"",IF(AND($F9=$H9,$G9=$I9),3,IF(SIGN($F9-$G9)=SIGN($H9-$I9),1,0)))</f>
        <v/>
      </c>
      <c r="K9" s="2">
        <f>IF($J9="","",IF($J9=3,"Exact",IF($J9=1,"Correct","Miss")))</f>
        <v/>
      </c>
    </row>
    <row r="10">
      <c r="A10" t="n">
        <v>9</v>
      </c>
      <c r="D10" s="2">
        <f>IFERROR(VLOOKUP($C10,'Tabela de Jogos'!$A:$J,4,FALSE),"")</f>
        <v/>
      </c>
      <c r="E10" s="2">
        <f>IFERROR(VLOOKUP($C10,'Tabela de Jogos'!$A:$J,5,FALSE),"")</f>
        <v/>
      </c>
      <c r="F10" s="2" t="n"/>
      <c r="G10" s="2" t="n"/>
      <c r="H10">
        <f>IFERROR(VLOOKUP($C10,'Tabela de Jogos'!$A:$J,8,FALSE),"")</f>
        <v/>
      </c>
      <c r="I10">
        <f>IFERROR(VLOOKUP($C10,'Tabela de Jogos'!$A:$J,9,FALSE),"")</f>
        <v/>
      </c>
      <c r="J10" s="2">
        <f>IF(OR($F10="",$G10="",$H10="",$I10=""),"",IF(AND($F10=$H10,$G10=$I10),3,IF(SIGN($F10-$G10)=SIGN($H10-$I10),1,0)))</f>
        <v/>
      </c>
      <c r="K10" s="2">
        <f>IF($J10="","",IF($J10=3,"Exact",IF($J10=1,"Correct","Miss")))</f>
        <v/>
      </c>
    </row>
    <row r="11">
      <c r="A11" t="n">
        <v>10</v>
      </c>
      <c r="D11" s="2">
        <f>IFERROR(VLOOKUP($C11,'Tabela de Jogos'!$A:$J,4,FALSE),"")</f>
        <v/>
      </c>
      <c r="E11" s="2">
        <f>IFERROR(VLOOKUP($C11,'Tabela de Jogos'!$A:$J,5,FALSE),"")</f>
        <v/>
      </c>
      <c r="F11" s="2" t="n"/>
      <c r="G11" s="2" t="n"/>
      <c r="H11">
        <f>IFERROR(VLOOKUP($C11,'Tabela de Jogos'!$A:$J,8,FALSE),"")</f>
        <v/>
      </c>
      <c r="I11">
        <f>IFERROR(VLOOKUP($C11,'Tabela de Jogos'!$A:$J,9,FALSE),"")</f>
        <v/>
      </c>
      <c r="J11" s="2">
        <f>IF(OR($F11="",$G11="",$H11="",$I11=""),"",IF(AND($F11=$H11,$G11=$I11),3,IF(SIGN($F11-$G11)=SIGN($H11-$I11),1,0)))</f>
        <v/>
      </c>
      <c r="K11" s="2">
        <f>IF($J11="","",IF($J11=3,"Exact",IF($J11=1,"Correct","Miss")))</f>
        <v/>
      </c>
    </row>
    <row r="12">
      <c r="A12" t="n">
        <v>11</v>
      </c>
      <c r="D12" s="2">
        <f>IFERROR(VLOOKUP($C12,'Tabela de Jogos'!$A:$J,4,FALSE),"")</f>
        <v/>
      </c>
      <c r="E12" s="2">
        <f>IFERROR(VLOOKUP($C12,'Tabela de Jogos'!$A:$J,5,FALSE),"")</f>
        <v/>
      </c>
      <c r="F12" s="2" t="n"/>
      <c r="G12" s="2" t="n"/>
      <c r="H12">
        <f>IFERROR(VLOOKUP($C12,'Tabela de Jogos'!$A:$J,8,FALSE),"")</f>
        <v/>
      </c>
      <c r="I12">
        <f>IFERROR(VLOOKUP($C12,'Tabela de Jogos'!$A:$J,9,FALSE),"")</f>
        <v/>
      </c>
      <c r="J12" s="2">
        <f>IF(OR($F12="",$G12="",$H12="",$I12=""),"",IF(AND($F12=$H12,$G12=$I12),3,IF(SIGN($F12-$G12)=SIGN($H12-$I12),1,0)))</f>
        <v/>
      </c>
      <c r="K12" s="2">
        <f>IF($J12="","",IF($J12=3,"Exact",IF($J12=1,"Correct","Miss")))</f>
        <v/>
      </c>
    </row>
    <row r="13">
      <c r="A13" t="n">
        <v>12</v>
      </c>
      <c r="D13" s="2">
        <f>IFERROR(VLOOKUP($C13,'Tabela de Jogos'!$A:$J,4,FALSE),"")</f>
        <v/>
      </c>
      <c r="E13" s="2">
        <f>IFERROR(VLOOKUP($C13,'Tabela de Jogos'!$A:$J,5,FALSE),"")</f>
        <v/>
      </c>
      <c r="F13" s="2" t="n"/>
      <c r="G13" s="2" t="n"/>
      <c r="H13">
        <f>IFERROR(VLOOKUP($C13,'Tabela de Jogos'!$A:$J,8,FALSE),"")</f>
        <v/>
      </c>
      <c r="I13">
        <f>IFERROR(VLOOKUP($C13,'Tabela de Jogos'!$A:$J,9,FALSE),"")</f>
        <v/>
      </c>
      <c r="J13" s="2">
        <f>IF(OR($F13="",$G13="",$H13="",$I13=""),"",IF(AND($F13=$H13,$G13=$I13),3,IF(SIGN($F13-$G13)=SIGN($H13-$I13),1,0)))</f>
        <v/>
      </c>
      <c r="K13" s="2">
        <f>IF($J13="","",IF($J13=3,"Exact",IF($J13=1,"Correct","Miss")))</f>
        <v/>
      </c>
    </row>
    <row r="14">
      <c r="A14" t="n">
        <v>13</v>
      </c>
      <c r="D14" s="2">
        <f>IFERROR(VLOOKUP($C14,'Tabela de Jogos'!$A:$J,4,FALSE),"")</f>
        <v/>
      </c>
      <c r="E14" s="2">
        <f>IFERROR(VLOOKUP($C14,'Tabela de Jogos'!$A:$J,5,FALSE),"")</f>
        <v/>
      </c>
      <c r="F14" s="2" t="n"/>
      <c r="G14" s="2" t="n"/>
      <c r="H14">
        <f>IFERROR(VLOOKUP($C14,'Tabela de Jogos'!$A:$J,8,FALSE),"")</f>
        <v/>
      </c>
      <c r="I14">
        <f>IFERROR(VLOOKUP($C14,'Tabela de Jogos'!$A:$J,9,FALSE),"")</f>
        <v/>
      </c>
      <c r="J14" s="2">
        <f>IF(OR($F14="",$G14="",$H14="",$I14=""),"",IF(AND($F14=$H14,$G14=$I14),3,IF(SIGN($F14-$G14)=SIGN($H14-$I14),1,0)))</f>
        <v/>
      </c>
      <c r="K14" s="2">
        <f>IF($J14="","",IF($J14=3,"Exact",IF($J14=1,"Correct","Miss")))</f>
        <v/>
      </c>
    </row>
    <row r="15">
      <c r="A15" t="n">
        <v>14</v>
      </c>
      <c r="D15" s="2">
        <f>IFERROR(VLOOKUP($C15,'Tabela de Jogos'!$A:$J,4,FALSE),"")</f>
        <v/>
      </c>
      <c r="E15" s="2">
        <f>IFERROR(VLOOKUP($C15,'Tabela de Jogos'!$A:$J,5,FALSE),"")</f>
        <v/>
      </c>
      <c r="F15" s="2" t="n"/>
      <c r="G15" s="2" t="n"/>
      <c r="H15">
        <f>IFERROR(VLOOKUP($C15,'Tabela de Jogos'!$A:$J,8,FALSE),"")</f>
        <v/>
      </c>
      <c r="I15">
        <f>IFERROR(VLOOKUP($C15,'Tabela de Jogos'!$A:$J,9,FALSE),"")</f>
        <v/>
      </c>
      <c r="J15" s="2">
        <f>IF(OR($F15="",$G15="",$H15="",$I15=""),"",IF(AND($F15=$H15,$G15=$I15),3,IF(SIGN($F15-$G15)=SIGN($H15-$I15),1,0)))</f>
        <v/>
      </c>
      <c r="K15" s="2">
        <f>IF($J15="","",IF($J15=3,"Exact",IF($J15=1,"Correct","Miss")))</f>
        <v/>
      </c>
    </row>
    <row r="16">
      <c r="A16" t="n">
        <v>15</v>
      </c>
      <c r="D16" s="2">
        <f>IFERROR(VLOOKUP($C16,'Tabela de Jogos'!$A:$J,4,FALSE),"")</f>
        <v/>
      </c>
      <c r="E16" s="2">
        <f>IFERROR(VLOOKUP($C16,'Tabela de Jogos'!$A:$J,5,FALSE),"")</f>
        <v/>
      </c>
      <c r="F16" s="2" t="n"/>
      <c r="G16" s="2" t="n"/>
      <c r="H16">
        <f>IFERROR(VLOOKUP($C16,'Tabela de Jogos'!$A:$J,8,FALSE),"")</f>
        <v/>
      </c>
      <c r="I16">
        <f>IFERROR(VLOOKUP($C16,'Tabela de Jogos'!$A:$J,9,FALSE),"")</f>
        <v/>
      </c>
      <c r="J16" s="2">
        <f>IF(OR($F16="",$G16="",$H16="",$I16=""),"",IF(AND($F16=$H16,$G16=$I16),3,IF(SIGN($F16-$G16)=SIGN($H16-$I16),1,0)))</f>
        <v/>
      </c>
      <c r="K16" s="2">
        <f>IF($J16="","",IF($J16=3,"Exact",IF($J16=1,"Correct","Miss")))</f>
        <v/>
      </c>
    </row>
    <row r="17">
      <c r="A17" t="n">
        <v>16</v>
      </c>
      <c r="D17" s="2">
        <f>IFERROR(VLOOKUP($C17,'Tabela de Jogos'!$A:$J,4,FALSE),"")</f>
        <v/>
      </c>
      <c r="E17" s="2">
        <f>IFERROR(VLOOKUP($C17,'Tabela de Jogos'!$A:$J,5,FALSE),"")</f>
        <v/>
      </c>
      <c r="F17" s="2" t="n"/>
      <c r="G17" s="2" t="n"/>
      <c r="H17">
        <f>IFERROR(VLOOKUP($C17,'Tabela de Jogos'!$A:$J,8,FALSE),"")</f>
        <v/>
      </c>
      <c r="I17">
        <f>IFERROR(VLOOKUP($C17,'Tabela de Jogos'!$A:$J,9,FALSE),"")</f>
        <v/>
      </c>
      <c r="J17" s="2">
        <f>IF(OR($F17="",$G17="",$H17="",$I17=""),"",IF(AND($F17=$H17,$G17=$I17),3,IF(SIGN($F17-$G17)=SIGN($H17-$I17),1,0)))</f>
        <v/>
      </c>
      <c r="K17" s="2">
        <f>IF($J17="","",IF($J17=3,"Exact",IF($J17=1,"Correct","Miss")))</f>
        <v/>
      </c>
    </row>
    <row r="18">
      <c r="A18" t="n">
        <v>17</v>
      </c>
      <c r="D18" s="2">
        <f>IFERROR(VLOOKUP($C18,'Tabela de Jogos'!$A:$J,4,FALSE),"")</f>
        <v/>
      </c>
      <c r="E18" s="2">
        <f>IFERROR(VLOOKUP($C18,'Tabela de Jogos'!$A:$J,5,FALSE),"")</f>
        <v/>
      </c>
      <c r="F18" s="2" t="n"/>
      <c r="G18" s="2" t="n"/>
      <c r="H18">
        <f>IFERROR(VLOOKUP($C18,'Tabela de Jogos'!$A:$J,8,FALSE),"")</f>
        <v/>
      </c>
      <c r="I18">
        <f>IFERROR(VLOOKUP($C18,'Tabela de Jogos'!$A:$J,9,FALSE),"")</f>
        <v/>
      </c>
      <c r="J18" s="2">
        <f>IF(OR($F18="",$G18="",$H18="",$I18=""),"",IF(AND($F18=$H18,$G18=$I18),3,IF(SIGN($F18-$G18)=SIGN($H18-$I18),1,0)))</f>
        <v/>
      </c>
      <c r="K18" s="2">
        <f>IF($J18="","",IF($J18=3,"Exact",IF($J18=1,"Correct","Miss")))</f>
        <v/>
      </c>
    </row>
    <row r="19">
      <c r="A19" t="n">
        <v>18</v>
      </c>
      <c r="D19" s="2">
        <f>IFERROR(VLOOKUP($C19,'Tabela de Jogos'!$A:$J,4,FALSE),"")</f>
        <v/>
      </c>
      <c r="E19" s="2">
        <f>IFERROR(VLOOKUP($C19,'Tabela de Jogos'!$A:$J,5,FALSE),"")</f>
        <v/>
      </c>
      <c r="F19" s="2" t="n"/>
      <c r="G19" s="2" t="n"/>
      <c r="H19">
        <f>IFERROR(VLOOKUP($C19,'Tabela de Jogos'!$A:$J,8,FALSE),"")</f>
        <v/>
      </c>
      <c r="I19">
        <f>IFERROR(VLOOKUP($C19,'Tabela de Jogos'!$A:$J,9,FALSE),"")</f>
        <v/>
      </c>
      <c r="J19" s="2">
        <f>IF(OR($F19="",$G19="",$H19="",$I19=""),"",IF(AND($F19=$H19,$G19=$I19),3,IF(SIGN($F19-$G19)=SIGN($H19-$I19),1,0)))</f>
        <v/>
      </c>
      <c r="K19" s="2">
        <f>IF($J19="","",IF($J19=3,"Exact",IF($J19=1,"Correct","Miss")))</f>
        <v/>
      </c>
    </row>
    <row r="20">
      <c r="A20" t="n">
        <v>19</v>
      </c>
      <c r="D20" s="2">
        <f>IFERROR(VLOOKUP($C20,'Tabela de Jogos'!$A:$J,4,FALSE),"")</f>
        <v/>
      </c>
      <c r="E20" s="2">
        <f>IFERROR(VLOOKUP($C20,'Tabela de Jogos'!$A:$J,5,FALSE),"")</f>
        <v/>
      </c>
      <c r="F20" s="2" t="n"/>
      <c r="G20" s="2" t="n"/>
      <c r="H20">
        <f>IFERROR(VLOOKUP($C20,'Tabela de Jogos'!$A:$J,8,FALSE),"")</f>
        <v/>
      </c>
      <c r="I20">
        <f>IFERROR(VLOOKUP($C20,'Tabela de Jogos'!$A:$J,9,FALSE),"")</f>
        <v/>
      </c>
      <c r="J20" s="2">
        <f>IF(OR($F20="",$G20="",$H20="",$I20=""),"",IF(AND($F20=$H20,$G20=$I20),3,IF(SIGN($F20-$G20)=SIGN($H20-$I20),1,0)))</f>
        <v/>
      </c>
      <c r="K20" s="2">
        <f>IF($J20="","",IF($J20=3,"Exact",IF($J20=1,"Correct","Miss")))</f>
        <v/>
      </c>
    </row>
    <row r="21">
      <c r="A21" t="n">
        <v>20</v>
      </c>
      <c r="D21" s="2">
        <f>IFERROR(VLOOKUP($C21,'Tabela de Jogos'!$A:$J,4,FALSE),"")</f>
        <v/>
      </c>
      <c r="E21" s="2">
        <f>IFERROR(VLOOKUP($C21,'Tabela de Jogos'!$A:$J,5,FALSE),"")</f>
        <v/>
      </c>
      <c r="F21" s="2" t="n"/>
      <c r="G21" s="2" t="n"/>
      <c r="H21">
        <f>IFERROR(VLOOKUP($C21,'Tabela de Jogos'!$A:$J,8,FALSE),"")</f>
        <v/>
      </c>
      <c r="I21">
        <f>IFERROR(VLOOKUP($C21,'Tabela de Jogos'!$A:$J,9,FALSE),"")</f>
        <v/>
      </c>
      <c r="J21" s="2">
        <f>IF(OR($F21="",$G21="",$H21="",$I21=""),"",IF(AND($F21=$H21,$G21=$I21),3,IF(SIGN($F21-$G21)=SIGN($H21-$I21),1,0)))</f>
        <v/>
      </c>
      <c r="K21" s="2">
        <f>IF($J21="","",IF($J21=3,"Exact",IF($J21=1,"Correct","Miss")))</f>
        <v/>
      </c>
    </row>
    <row r="22">
      <c r="A22" t="n">
        <v>21</v>
      </c>
      <c r="D22" s="2">
        <f>IFERROR(VLOOKUP($C22,'Tabela de Jogos'!$A:$J,4,FALSE),"")</f>
        <v/>
      </c>
      <c r="E22" s="2">
        <f>IFERROR(VLOOKUP($C22,'Tabela de Jogos'!$A:$J,5,FALSE),"")</f>
        <v/>
      </c>
      <c r="F22" s="2" t="n"/>
      <c r="G22" s="2" t="n"/>
      <c r="H22">
        <f>IFERROR(VLOOKUP($C22,'Tabela de Jogos'!$A:$J,8,FALSE),"")</f>
        <v/>
      </c>
      <c r="I22">
        <f>IFERROR(VLOOKUP($C22,'Tabela de Jogos'!$A:$J,9,FALSE),"")</f>
        <v/>
      </c>
      <c r="J22" s="2">
        <f>IF(OR($F22="",$G22="",$H22="",$I22=""),"",IF(AND($F22=$H22,$G22=$I22),3,IF(SIGN($F22-$G22)=SIGN($H22-$I22),1,0)))</f>
        <v/>
      </c>
      <c r="K22" s="2">
        <f>IF($J22="","",IF($J22=3,"Exact",IF($J22=1,"Correct","Miss")))</f>
        <v/>
      </c>
    </row>
    <row r="23">
      <c r="A23" t="n">
        <v>22</v>
      </c>
      <c r="D23" s="2">
        <f>IFERROR(VLOOKUP($C23,'Tabela de Jogos'!$A:$J,4,FALSE),"")</f>
        <v/>
      </c>
      <c r="E23" s="2">
        <f>IFERROR(VLOOKUP($C23,'Tabela de Jogos'!$A:$J,5,FALSE),"")</f>
        <v/>
      </c>
      <c r="F23" s="2" t="n"/>
      <c r="G23" s="2" t="n"/>
      <c r="H23">
        <f>IFERROR(VLOOKUP($C23,'Tabela de Jogos'!$A:$J,8,FALSE),"")</f>
        <v/>
      </c>
      <c r="I23">
        <f>IFERROR(VLOOKUP($C23,'Tabela de Jogos'!$A:$J,9,FALSE),"")</f>
        <v/>
      </c>
      <c r="J23" s="2">
        <f>IF(OR($F23="",$G23="",$H23="",$I23=""),"",IF(AND($F23=$H23,$G23=$I23),3,IF(SIGN($F23-$G23)=SIGN($H23-$I23),1,0)))</f>
        <v/>
      </c>
      <c r="K23" s="2">
        <f>IF($J23="","",IF($J23=3,"Exact",IF($J23=1,"Correct","Miss")))</f>
        <v/>
      </c>
    </row>
    <row r="24">
      <c r="A24" t="n">
        <v>23</v>
      </c>
      <c r="D24" s="2">
        <f>IFERROR(VLOOKUP($C24,'Tabela de Jogos'!$A:$J,4,FALSE),"")</f>
        <v/>
      </c>
      <c r="E24" s="2">
        <f>IFERROR(VLOOKUP($C24,'Tabela de Jogos'!$A:$J,5,FALSE),"")</f>
        <v/>
      </c>
      <c r="F24" s="2" t="n"/>
      <c r="G24" s="2" t="n"/>
      <c r="H24">
        <f>IFERROR(VLOOKUP($C24,'Tabela de Jogos'!$A:$J,8,FALSE),"")</f>
        <v/>
      </c>
      <c r="I24">
        <f>IFERROR(VLOOKUP($C24,'Tabela de Jogos'!$A:$J,9,FALSE),"")</f>
        <v/>
      </c>
      <c r="J24" s="2">
        <f>IF(OR($F24="",$G24="",$H24="",$I24=""),"",IF(AND($F24=$H24,$G24=$I24),3,IF(SIGN($F24-$G24)=SIGN($H24-$I24),1,0)))</f>
        <v/>
      </c>
      <c r="K24" s="2">
        <f>IF($J24="","",IF($J24=3,"Exact",IF($J24=1,"Correct","Miss")))</f>
        <v/>
      </c>
    </row>
    <row r="25">
      <c r="A25" t="n">
        <v>24</v>
      </c>
      <c r="D25" s="2">
        <f>IFERROR(VLOOKUP($C25,'Tabela de Jogos'!$A:$J,4,FALSE),"")</f>
        <v/>
      </c>
      <c r="E25" s="2">
        <f>IFERROR(VLOOKUP($C25,'Tabela de Jogos'!$A:$J,5,FALSE),"")</f>
        <v/>
      </c>
      <c r="F25" s="2" t="n"/>
      <c r="G25" s="2" t="n"/>
      <c r="H25">
        <f>IFERROR(VLOOKUP($C25,'Tabela de Jogos'!$A:$J,8,FALSE),"")</f>
        <v/>
      </c>
      <c r="I25">
        <f>IFERROR(VLOOKUP($C25,'Tabela de Jogos'!$A:$J,9,FALSE),"")</f>
        <v/>
      </c>
      <c r="J25" s="2">
        <f>IF(OR($F25="",$G25="",$H25="",$I25=""),"",IF(AND($F25=$H25,$G25=$I25),3,IF(SIGN($F25-$G25)=SIGN($H25-$I25),1,0)))</f>
        <v/>
      </c>
      <c r="K25" s="2">
        <f>IF($J25="","",IF($J25=3,"Exact",IF($J25=1,"Correct","Miss")))</f>
        <v/>
      </c>
    </row>
    <row r="26">
      <c r="A26" t="n">
        <v>25</v>
      </c>
      <c r="D26" s="2">
        <f>IFERROR(VLOOKUP($C26,'Tabela de Jogos'!$A:$J,4,FALSE),"")</f>
        <v/>
      </c>
      <c r="E26" s="2">
        <f>IFERROR(VLOOKUP($C26,'Tabela de Jogos'!$A:$J,5,FALSE),"")</f>
        <v/>
      </c>
      <c r="F26" s="2" t="n"/>
      <c r="G26" s="2" t="n"/>
      <c r="H26">
        <f>IFERROR(VLOOKUP($C26,'Tabela de Jogos'!$A:$J,8,FALSE),"")</f>
        <v/>
      </c>
      <c r="I26">
        <f>IFERROR(VLOOKUP($C26,'Tabela de Jogos'!$A:$J,9,FALSE),"")</f>
        <v/>
      </c>
      <c r="J26" s="2">
        <f>IF(OR($F26="",$G26="",$H26="",$I26=""),"",IF(AND($F26=$H26,$G26=$I26),3,IF(SIGN($F26-$G26)=SIGN($H26-$I26),1,0)))</f>
        <v/>
      </c>
      <c r="K26" s="2">
        <f>IF($J26="","",IF($J26=3,"Exact",IF($J26=1,"Correct","Miss")))</f>
        <v/>
      </c>
    </row>
    <row r="27">
      <c r="A27" t="n">
        <v>26</v>
      </c>
      <c r="D27" s="2">
        <f>IFERROR(VLOOKUP($C27,'Tabela de Jogos'!$A:$J,4,FALSE),"")</f>
        <v/>
      </c>
      <c r="E27" s="2">
        <f>IFERROR(VLOOKUP($C27,'Tabela de Jogos'!$A:$J,5,FALSE),"")</f>
        <v/>
      </c>
      <c r="F27" s="2" t="n"/>
      <c r="G27" s="2" t="n"/>
      <c r="H27">
        <f>IFERROR(VLOOKUP($C27,'Tabela de Jogos'!$A:$J,8,FALSE),"")</f>
        <v/>
      </c>
      <c r="I27">
        <f>IFERROR(VLOOKUP($C27,'Tabela de Jogos'!$A:$J,9,FALSE),"")</f>
        <v/>
      </c>
      <c r="J27" s="2">
        <f>IF(OR($F27="",$G27="",$H27="",$I27=""),"",IF(AND($F27=$H27,$G27=$I27),3,IF(SIGN($F27-$G27)=SIGN($H27-$I27),1,0)))</f>
        <v/>
      </c>
      <c r="K27" s="2">
        <f>IF($J27="","",IF($J27=3,"Exact",IF($J27=1,"Correct","Miss")))</f>
        <v/>
      </c>
    </row>
    <row r="28">
      <c r="A28" t="n">
        <v>27</v>
      </c>
      <c r="D28" s="2">
        <f>IFERROR(VLOOKUP($C28,'Tabela de Jogos'!$A:$J,4,FALSE),"")</f>
        <v/>
      </c>
      <c r="E28" s="2">
        <f>IFERROR(VLOOKUP($C28,'Tabela de Jogos'!$A:$J,5,FALSE),"")</f>
        <v/>
      </c>
      <c r="F28" s="2" t="n"/>
      <c r="G28" s="2" t="n"/>
      <c r="H28">
        <f>IFERROR(VLOOKUP($C28,'Tabela de Jogos'!$A:$J,8,FALSE),"")</f>
        <v/>
      </c>
      <c r="I28">
        <f>IFERROR(VLOOKUP($C28,'Tabela de Jogos'!$A:$J,9,FALSE),"")</f>
        <v/>
      </c>
      <c r="J28" s="2">
        <f>IF(OR($F28="",$G28="",$H28="",$I28=""),"",IF(AND($F28=$H28,$G28=$I28),3,IF(SIGN($F28-$G28)=SIGN($H28-$I28),1,0)))</f>
        <v/>
      </c>
      <c r="K28" s="2">
        <f>IF($J28="","",IF($J28=3,"Exact",IF($J28=1,"Correct","Miss")))</f>
        <v/>
      </c>
    </row>
    <row r="29">
      <c r="A29" t="n">
        <v>28</v>
      </c>
      <c r="D29" s="2">
        <f>IFERROR(VLOOKUP($C29,'Tabela de Jogos'!$A:$J,4,FALSE),"")</f>
        <v/>
      </c>
      <c r="E29" s="2">
        <f>IFERROR(VLOOKUP($C29,'Tabela de Jogos'!$A:$J,5,FALSE),"")</f>
        <v/>
      </c>
      <c r="F29" s="2" t="n"/>
      <c r="G29" s="2" t="n"/>
      <c r="H29">
        <f>IFERROR(VLOOKUP($C29,'Tabela de Jogos'!$A:$J,8,FALSE),"")</f>
        <v/>
      </c>
      <c r="I29">
        <f>IFERROR(VLOOKUP($C29,'Tabela de Jogos'!$A:$J,9,FALSE),"")</f>
        <v/>
      </c>
      <c r="J29" s="2">
        <f>IF(OR($F29="",$G29="",$H29="",$I29=""),"",IF(AND($F29=$H29,$G29=$I29),3,IF(SIGN($F29-$G29)=SIGN($H29-$I29),1,0)))</f>
        <v/>
      </c>
      <c r="K29" s="2">
        <f>IF($J29="","",IF($J29=3,"Exact",IF($J29=1,"Correct","Miss")))</f>
        <v/>
      </c>
    </row>
    <row r="30">
      <c r="A30" t="n">
        <v>29</v>
      </c>
      <c r="D30" s="2">
        <f>IFERROR(VLOOKUP($C30,'Tabela de Jogos'!$A:$J,4,FALSE),"")</f>
        <v/>
      </c>
      <c r="E30" s="2">
        <f>IFERROR(VLOOKUP($C30,'Tabela de Jogos'!$A:$J,5,FALSE),"")</f>
        <v/>
      </c>
      <c r="F30" s="2" t="n"/>
      <c r="G30" s="2" t="n"/>
      <c r="H30">
        <f>IFERROR(VLOOKUP($C30,'Tabela de Jogos'!$A:$J,8,FALSE),"")</f>
        <v/>
      </c>
      <c r="I30">
        <f>IFERROR(VLOOKUP($C30,'Tabela de Jogos'!$A:$J,9,FALSE),"")</f>
        <v/>
      </c>
      <c r="J30" s="2">
        <f>IF(OR($F30="",$G30="",$H30="",$I30=""),"",IF(AND($F30=$H30,$G30=$I30),3,IF(SIGN($F30-$G30)=SIGN($H30-$I30),1,0)))</f>
        <v/>
      </c>
      <c r="K30" s="2">
        <f>IF($J30="","",IF($J30=3,"Exact",IF($J30=1,"Correct","Miss")))</f>
        <v/>
      </c>
    </row>
    <row r="31">
      <c r="A31" t="n">
        <v>30</v>
      </c>
      <c r="D31" s="2">
        <f>IFERROR(VLOOKUP($C31,'Tabela de Jogos'!$A:$J,4,FALSE),"")</f>
        <v/>
      </c>
      <c r="E31" s="2">
        <f>IFERROR(VLOOKUP($C31,'Tabela de Jogos'!$A:$J,5,FALSE),"")</f>
        <v/>
      </c>
      <c r="F31" s="2" t="n"/>
      <c r="G31" s="2" t="n"/>
      <c r="H31">
        <f>IFERROR(VLOOKUP($C31,'Tabela de Jogos'!$A:$J,8,FALSE),"")</f>
        <v/>
      </c>
      <c r="I31">
        <f>IFERROR(VLOOKUP($C31,'Tabela de Jogos'!$A:$J,9,FALSE),"")</f>
        <v/>
      </c>
      <c r="J31" s="2">
        <f>IF(OR($F31="",$G31="",$H31="",$I31=""),"",IF(AND($F31=$H31,$G31=$I31),3,IF(SIGN($F31-$G31)=SIGN($H31-$I31),1,0)))</f>
        <v/>
      </c>
      <c r="K31" s="2">
        <f>IF($J31="","",IF($J31=3,"Exact",IF($J31=1,"Correct","Miss")))</f>
        <v/>
      </c>
    </row>
    <row r="32">
      <c r="A32" t="n">
        <v>31</v>
      </c>
      <c r="D32" s="2">
        <f>IFERROR(VLOOKUP($C32,'Tabela de Jogos'!$A:$J,4,FALSE),"")</f>
        <v/>
      </c>
      <c r="E32" s="2">
        <f>IFERROR(VLOOKUP($C32,'Tabela de Jogos'!$A:$J,5,FALSE),"")</f>
        <v/>
      </c>
      <c r="F32" s="2" t="n"/>
      <c r="G32" s="2" t="n"/>
      <c r="H32">
        <f>IFERROR(VLOOKUP($C32,'Tabela de Jogos'!$A:$J,8,FALSE),"")</f>
        <v/>
      </c>
      <c r="I32">
        <f>IFERROR(VLOOKUP($C32,'Tabela de Jogos'!$A:$J,9,FALSE),"")</f>
        <v/>
      </c>
      <c r="J32" s="2">
        <f>IF(OR($F32="",$G32="",$H32="",$I32=""),"",IF(AND($F32=$H32,$G32=$I32),3,IF(SIGN($F32-$G32)=SIGN($H32-$I32),1,0)))</f>
        <v/>
      </c>
      <c r="K32" s="2">
        <f>IF($J32="","",IF($J32=3,"Exact",IF($J32=1,"Correct","Miss")))</f>
        <v/>
      </c>
    </row>
    <row r="33">
      <c r="A33" t="n">
        <v>32</v>
      </c>
      <c r="D33" s="2">
        <f>IFERROR(VLOOKUP($C33,'Tabela de Jogos'!$A:$J,4,FALSE),"")</f>
        <v/>
      </c>
      <c r="E33" s="2">
        <f>IFERROR(VLOOKUP($C33,'Tabela de Jogos'!$A:$J,5,FALSE),"")</f>
        <v/>
      </c>
      <c r="F33" s="2" t="n"/>
      <c r="G33" s="2" t="n"/>
      <c r="H33">
        <f>IFERROR(VLOOKUP($C33,'Tabela de Jogos'!$A:$J,8,FALSE),"")</f>
        <v/>
      </c>
      <c r="I33">
        <f>IFERROR(VLOOKUP($C33,'Tabela de Jogos'!$A:$J,9,FALSE),"")</f>
        <v/>
      </c>
      <c r="J33" s="2">
        <f>IF(OR($F33="",$G33="",$H33="",$I33=""),"",IF(AND($F33=$H33,$G33=$I33),3,IF(SIGN($F33-$G33)=SIGN($H33-$I33),1,0)))</f>
        <v/>
      </c>
      <c r="K33" s="2">
        <f>IF($J33="","",IF($J33=3,"Exact",IF($J33=1,"Correct","Miss")))</f>
        <v/>
      </c>
    </row>
    <row r="34">
      <c r="A34" t="n">
        <v>33</v>
      </c>
      <c r="D34" s="2">
        <f>IFERROR(VLOOKUP($C34,'Tabela de Jogos'!$A:$J,4,FALSE),"")</f>
        <v/>
      </c>
      <c r="E34" s="2">
        <f>IFERROR(VLOOKUP($C34,'Tabela de Jogos'!$A:$J,5,FALSE),"")</f>
        <v/>
      </c>
      <c r="F34" s="2" t="n"/>
      <c r="G34" s="2" t="n"/>
      <c r="H34">
        <f>IFERROR(VLOOKUP($C34,'Tabela de Jogos'!$A:$J,8,FALSE),"")</f>
        <v/>
      </c>
      <c r="I34">
        <f>IFERROR(VLOOKUP($C34,'Tabela de Jogos'!$A:$J,9,FALSE),"")</f>
        <v/>
      </c>
      <c r="J34" s="2">
        <f>IF(OR($F34="",$G34="",$H34="",$I34=""),"",IF(AND($F34=$H34,$G34=$I34),3,IF(SIGN($F34-$G34)=SIGN($H34-$I34),1,0)))</f>
        <v/>
      </c>
      <c r="K34" s="2">
        <f>IF($J34="","",IF($J34=3,"Exact",IF($J34=1,"Correct","Miss")))</f>
        <v/>
      </c>
    </row>
    <row r="35">
      <c r="A35" t="n">
        <v>34</v>
      </c>
      <c r="D35" s="2">
        <f>IFERROR(VLOOKUP($C35,'Tabela de Jogos'!$A:$J,4,FALSE),"")</f>
        <v/>
      </c>
      <c r="E35" s="2">
        <f>IFERROR(VLOOKUP($C35,'Tabela de Jogos'!$A:$J,5,FALSE),"")</f>
        <v/>
      </c>
      <c r="F35" s="2" t="n"/>
      <c r="G35" s="2" t="n"/>
      <c r="H35">
        <f>IFERROR(VLOOKUP($C35,'Tabela de Jogos'!$A:$J,8,FALSE),"")</f>
        <v/>
      </c>
      <c r="I35">
        <f>IFERROR(VLOOKUP($C35,'Tabela de Jogos'!$A:$J,9,FALSE),"")</f>
        <v/>
      </c>
      <c r="J35" s="2">
        <f>IF(OR($F35="",$G35="",$H35="",$I35=""),"",IF(AND($F35=$H35,$G35=$I35),3,IF(SIGN($F35-$G35)=SIGN($H35-$I35),1,0)))</f>
        <v/>
      </c>
      <c r="K35" s="2">
        <f>IF($J35="","",IF($J35=3,"Exact",IF($J35=1,"Correct","Miss")))</f>
        <v/>
      </c>
    </row>
    <row r="36">
      <c r="A36" t="n">
        <v>35</v>
      </c>
      <c r="D36" s="2">
        <f>IFERROR(VLOOKUP($C36,'Tabela de Jogos'!$A:$J,4,FALSE),"")</f>
        <v/>
      </c>
      <c r="E36" s="2">
        <f>IFERROR(VLOOKUP($C36,'Tabela de Jogos'!$A:$J,5,FALSE),"")</f>
        <v/>
      </c>
      <c r="F36" s="2" t="n"/>
      <c r="G36" s="2" t="n"/>
      <c r="H36">
        <f>IFERROR(VLOOKUP($C36,'Tabela de Jogos'!$A:$J,8,FALSE),"")</f>
        <v/>
      </c>
      <c r="I36">
        <f>IFERROR(VLOOKUP($C36,'Tabela de Jogos'!$A:$J,9,FALSE),"")</f>
        <v/>
      </c>
      <c r="J36" s="2">
        <f>IF(OR($F36="",$G36="",$H36="",$I36=""),"",IF(AND($F36=$H36,$G36=$I36),3,IF(SIGN($F36-$G36)=SIGN($H36-$I36),1,0)))</f>
        <v/>
      </c>
      <c r="K36" s="2">
        <f>IF($J36="","",IF($J36=3,"Exact",IF($J36=1,"Correct","Miss")))</f>
        <v/>
      </c>
    </row>
    <row r="37">
      <c r="A37" t="n">
        <v>36</v>
      </c>
      <c r="D37" s="2">
        <f>IFERROR(VLOOKUP($C37,'Tabela de Jogos'!$A:$J,4,FALSE),"")</f>
        <v/>
      </c>
      <c r="E37" s="2">
        <f>IFERROR(VLOOKUP($C37,'Tabela de Jogos'!$A:$J,5,FALSE),"")</f>
        <v/>
      </c>
      <c r="F37" s="2" t="n"/>
      <c r="G37" s="2" t="n"/>
      <c r="H37">
        <f>IFERROR(VLOOKUP($C37,'Tabela de Jogos'!$A:$J,8,FALSE),"")</f>
        <v/>
      </c>
      <c r="I37">
        <f>IFERROR(VLOOKUP($C37,'Tabela de Jogos'!$A:$J,9,FALSE),"")</f>
        <v/>
      </c>
      <c r="J37" s="2">
        <f>IF(OR($F37="",$G37="",$H37="",$I37=""),"",IF(AND($F37=$H37,$G37=$I37),3,IF(SIGN($F37-$G37)=SIGN($H37-$I37),1,0)))</f>
        <v/>
      </c>
      <c r="K37" s="2">
        <f>IF($J37="","",IF($J37=3,"Exact",IF($J37=1,"Correct","Miss")))</f>
        <v/>
      </c>
    </row>
    <row r="38">
      <c r="A38" t="n">
        <v>37</v>
      </c>
      <c r="D38" s="2">
        <f>IFERROR(VLOOKUP($C38,'Tabela de Jogos'!$A:$J,4,FALSE),"")</f>
        <v/>
      </c>
      <c r="E38" s="2">
        <f>IFERROR(VLOOKUP($C38,'Tabela de Jogos'!$A:$J,5,FALSE),"")</f>
        <v/>
      </c>
      <c r="F38" s="2" t="n"/>
      <c r="G38" s="2" t="n"/>
      <c r="H38">
        <f>IFERROR(VLOOKUP($C38,'Tabela de Jogos'!$A:$J,8,FALSE),"")</f>
        <v/>
      </c>
      <c r="I38">
        <f>IFERROR(VLOOKUP($C38,'Tabela de Jogos'!$A:$J,9,FALSE),"")</f>
        <v/>
      </c>
      <c r="J38" s="2">
        <f>IF(OR($F38="",$G38="",$H38="",$I38=""),"",IF(AND($F38=$H38,$G38=$I38),3,IF(SIGN($F38-$G38)=SIGN($H38-$I38),1,0)))</f>
        <v/>
      </c>
      <c r="K38" s="2">
        <f>IF($J38="","",IF($J38=3,"Exact",IF($J38=1,"Correct","Miss")))</f>
        <v/>
      </c>
    </row>
    <row r="39">
      <c r="A39" t="n">
        <v>38</v>
      </c>
      <c r="D39" s="2">
        <f>IFERROR(VLOOKUP($C39,'Tabela de Jogos'!$A:$J,4,FALSE),"")</f>
        <v/>
      </c>
      <c r="E39" s="2">
        <f>IFERROR(VLOOKUP($C39,'Tabela de Jogos'!$A:$J,5,FALSE),"")</f>
        <v/>
      </c>
      <c r="F39" s="2" t="n"/>
      <c r="G39" s="2" t="n"/>
      <c r="H39">
        <f>IFERROR(VLOOKUP($C39,'Tabela de Jogos'!$A:$J,8,FALSE),"")</f>
        <v/>
      </c>
      <c r="I39">
        <f>IFERROR(VLOOKUP($C39,'Tabela de Jogos'!$A:$J,9,FALSE),"")</f>
        <v/>
      </c>
      <c r="J39" s="2">
        <f>IF(OR($F39="",$G39="",$H39="",$I39=""),"",IF(AND($F39=$H39,$G39=$I39),3,IF(SIGN($F39-$G39)=SIGN($H39-$I39),1,0)))</f>
        <v/>
      </c>
      <c r="K39" s="2">
        <f>IF($J39="","",IF($J39=3,"Exact",IF($J39=1,"Correct","Miss")))</f>
        <v/>
      </c>
    </row>
    <row r="40">
      <c r="A40" t="n">
        <v>39</v>
      </c>
      <c r="D40" s="2">
        <f>IFERROR(VLOOKUP($C40,'Tabela de Jogos'!$A:$J,4,FALSE),"")</f>
        <v/>
      </c>
      <c r="E40" s="2">
        <f>IFERROR(VLOOKUP($C40,'Tabela de Jogos'!$A:$J,5,FALSE),"")</f>
        <v/>
      </c>
      <c r="F40" s="2" t="n"/>
      <c r="G40" s="2" t="n"/>
      <c r="H40">
        <f>IFERROR(VLOOKUP($C40,'Tabela de Jogos'!$A:$J,8,FALSE),"")</f>
        <v/>
      </c>
      <c r="I40">
        <f>IFERROR(VLOOKUP($C40,'Tabela de Jogos'!$A:$J,9,FALSE),"")</f>
        <v/>
      </c>
      <c r="J40" s="2">
        <f>IF(OR($F40="",$G40="",$H40="",$I40=""),"",IF(AND($F40=$H40,$G40=$I40),3,IF(SIGN($F40-$G40)=SIGN($H40-$I40),1,0)))</f>
        <v/>
      </c>
      <c r="K40" s="2">
        <f>IF($J40="","",IF($J40=3,"Exact",IF($J40=1,"Correct","Miss")))</f>
        <v/>
      </c>
    </row>
    <row r="41">
      <c r="A41" t="n">
        <v>40</v>
      </c>
      <c r="D41" s="2">
        <f>IFERROR(VLOOKUP($C41,'Tabela de Jogos'!$A:$J,4,FALSE),"")</f>
        <v/>
      </c>
      <c r="E41" s="2">
        <f>IFERROR(VLOOKUP($C41,'Tabela de Jogos'!$A:$J,5,FALSE),"")</f>
        <v/>
      </c>
      <c r="F41" s="2" t="n"/>
      <c r="G41" s="2" t="n"/>
      <c r="H41">
        <f>IFERROR(VLOOKUP($C41,'Tabela de Jogos'!$A:$J,8,FALSE),"")</f>
        <v/>
      </c>
      <c r="I41">
        <f>IFERROR(VLOOKUP($C41,'Tabela de Jogos'!$A:$J,9,FALSE),"")</f>
        <v/>
      </c>
      <c r="J41" s="2">
        <f>IF(OR($F41="",$G41="",$H41="",$I41=""),"",IF(AND($F41=$H41,$G41=$I41),3,IF(SIGN($F41-$G41)=SIGN($H41-$I41),1,0)))</f>
        <v/>
      </c>
      <c r="K41" s="2">
        <f>IF($J41="","",IF($J41=3,"Exact",IF($J41=1,"Correct","Miss")))</f>
        <v/>
      </c>
    </row>
    <row r="42">
      <c r="A42" t="n">
        <v>41</v>
      </c>
      <c r="D42" s="2">
        <f>IFERROR(VLOOKUP($C42,'Tabela de Jogos'!$A:$J,4,FALSE),"")</f>
        <v/>
      </c>
      <c r="E42" s="2">
        <f>IFERROR(VLOOKUP($C42,'Tabela de Jogos'!$A:$J,5,FALSE),"")</f>
        <v/>
      </c>
      <c r="F42" s="2" t="n"/>
      <c r="G42" s="2" t="n"/>
      <c r="H42">
        <f>IFERROR(VLOOKUP($C42,'Tabela de Jogos'!$A:$J,8,FALSE),"")</f>
        <v/>
      </c>
      <c r="I42">
        <f>IFERROR(VLOOKUP($C42,'Tabela de Jogos'!$A:$J,9,FALSE),"")</f>
        <v/>
      </c>
      <c r="J42" s="2">
        <f>IF(OR($F42="",$G42="",$H42="",$I42=""),"",IF(AND($F42=$H42,$G42=$I42),3,IF(SIGN($F42-$G42)=SIGN($H42-$I42),1,0)))</f>
        <v/>
      </c>
      <c r="K42" s="2">
        <f>IF($J42="","",IF($J42=3,"Exact",IF($J42=1,"Correct","Miss")))</f>
        <v/>
      </c>
    </row>
    <row r="43">
      <c r="A43" t="n">
        <v>42</v>
      </c>
      <c r="D43" s="2">
        <f>IFERROR(VLOOKUP($C43,'Tabela de Jogos'!$A:$J,4,FALSE),"")</f>
        <v/>
      </c>
      <c r="E43" s="2">
        <f>IFERROR(VLOOKUP($C43,'Tabela de Jogos'!$A:$J,5,FALSE),"")</f>
        <v/>
      </c>
      <c r="F43" s="2" t="n"/>
      <c r="G43" s="2" t="n"/>
      <c r="H43">
        <f>IFERROR(VLOOKUP($C43,'Tabela de Jogos'!$A:$J,8,FALSE),"")</f>
        <v/>
      </c>
      <c r="I43">
        <f>IFERROR(VLOOKUP($C43,'Tabela de Jogos'!$A:$J,9,FALSE),"")</f>
        <v/>
      </c>
      <c r="J43" s="2">
        <f>IF(OR($F43="",$G43="",$H43="",$I43=""),"",IF(AND($F43=$H43,$G43=$I43),3,IF(SIGN($F43-$G43)=SIGN($H43-$I43),1,0)))</f>
        <v/>
      </c>
      <c r="K43" s="2">
        <f>IF($J43="","",IF($J43=3,"Exact",IF($J43=1,"Correct","Miss")))</f>
        <v/>
      </c>
    </row>
    <row r="44">
      <c r="A44" t="n">
        <v>43</v>
      </c>
      <c r="D44" s="2">
        <f>IFERROR(VLOOKUP($C44,'Tabela de Jogos'!$A:$J,4,FALSE),"")</f>
        <v/>
      </c>
      <c r="E44" s="2">
        <f>IFERROR(VLOOKUP($C44,'Tabela de Jogos'!$A:$J,5,FALSE),"")</f>
        <v/>
      </c>
      <c r="F44" s="2" t="n"/>
      <c r="G44" s="2" t="n"/>
      <c r="H44">
        <f>IFERROR(VLOOKUP($C44,'Tabela de Jogos'!$A:$J,8,FALSE),"")</f>
        <v/>
      </c>
      <c r="I44">
        <f>IFERROR(VLOOKUP($C44,'Tabela de Jogos'!$A:$J,9,FALSE),"")</f>
        <v/>
      </c>
      <c r="J44" s="2">
        <f>IF(OR($F44="",$G44="",$H44="",$I44=""),"",IF(AND($F44=$H44,$G44=$I44),3,IF(SIGN($F44-$G44)=SIGN($H44-$I44),1,0)))</f>
        <v/>
      </c>
      <c r="K44" s="2">
        <f>IF($J44="","",IF($J44=3,"Exact",IF($J44=1,"Correct","Miss")))</f>
        <v/>
      </c>
    </row>
    <row r="45">
      <c r="A45" t="n">
        <v>44</v>
      </c>
      <c r="D45" s="2">
        <f>IFERROR(VLOOKUP($C45,'Tabela de Jogos'!$A:$J,4,FALSE),"")</f>
        <v/>
      </c>
      <c r="E45" s="2">
        <f>IFERROR(VLOOKUP($C45,'Tabela de Jogos'!$A:$J,5,FALSE),"")</f>
        <v/>
      </c>
      <c r="F45" s="2" t="n"/>
      <c r="G45" s="2" t="n"/>
      <c r="H45">
        <f>IFERROR(VLOOKUP($C45,'Tabela de Jogos'!$A:$J,8,FALSE),"")</f>
        <v/>
      </c>
      <c r="I45">
        <f>IFERROR(VLOOKUP($C45,'Tabela de Jogos'!$A:$J,9,FALSE),"")</f>
        <v/>
      </c>
      <c r="J45" s="2">
        <f>IF(OR($F45="",$G45="",$H45="",$I45=""),"",IF(AND($F45=$H45,$G45=$I45),3,IF(SIGN($F45-$G45)=SIGN($H45-$I45),1,0)))</f>
        <v/>
      </c>
      <c r="K45" s="2">
        <f>IF($J45="","",IF($J45=3,"Exact",IF($J45=1,"Correct","Miss")))</f>
        <v/>
      </c>
    </row>
    <row r="46">
      <c r="A46" t="n">
        <v>45</v>
      </c>
      <c r="D46" s="2">
        <f>IFERROR(VLOOKUP($C46,'Tabela de Jogos'!$A:$J,4,FALSE),"")</f>
        <v/>
      </c>
      <c r="E46" s="2">
        <f>IFERROR(VLOOKUP($C46,'Tabela de Jogos'!$A:$J,5,FALSE),"")</f>
        <v/>
      </c>
      <c r="F46" s="2" t="n"/>
      <c r="G46" s="2" t="n"/>
      <c r="H46">
        <f>IFERROR(VLOOKUP($C46,'Tabela de Jogos'!$A:$J,8,FALSE),"")</f>
        <v/>
      </c>
      <c r="I46">
        <f>IFERROR(VLOOKUP($C46,'Tabela de Jogos'!$A:$J,9,FALSE),"")</f>
        <v/>
      </c>
      <c r="J46" s="2">
        <f>IF(OR($F46="",$G46="",$H46="",$I46=""),"",IF(AND($F46=$H46,$G46=$I46),3,IF(SIGN($F46-$G46)=SIGN($H46-$I46),1,0)))</f>
        <v/>
      </c>
      <c r="K46" s="2">
        <f>IF($J46="","",IF($J46=3,"Exact",IF($J46=1,"Correct","Miss")))</f>
        <v/>
      </c>
    </row>
    <row r="47">
      <c r="A47" t="n">
        <v>46</v>
      </c>
      <c r="D47" s="2">
        <f>IFERROR(VLOOKUP($C47,'Tabela de Jogos'!$A:$J,4,FALSE),"")</f>
        <v/>
      </c>
      <c r="E47" s="2">
        <f>IFERROR(VLOOKUP($C47,'Tabela de Jogos'!$A:$J,5,FALSE),"")</f>
        <v/>
      </c>
      <c r="F47" s="2" t="n"/>
      <c r="G47" s="2" t="n"/>
      <c r="H47">
        <f>IFERROR(VLOOKUP($C47,'Tabela de Jogos'!$A:$J,8,FALSE),"")</f>
        <v/>
      </c>
      <c r="I47">
        <f>IFERROR(VLOOKUP($C47,'Tabela de Jogos'!$A:$J,9,FALSE),"")</f>
        <v/>
      </c>
      <c r="J47" s="2">
        <f>IF(OR($F47="",$G47="",$H47="",$I47=""),"",IF(AND($F47=$H47,$G47=$I47),3,IF(SIGN($F47-$G47)=SIGN($H47-$I47),1,0)))</f>
        <v/>
      </c>
      <c r="K47" s="2">
        <f>IF($J47="","",IF($J47=3,"Exact",IF($J47=1,"Correct","Miss")))</f>
        <v/>
      </c>
    </row>
    <row r="48">
      <c r="A48" t="n">
        <v>47</v>
      </c>
      <c r="D48" s="2">
        <f>IFERROR(VLOOKUP($C48,'Tabela de Jogos'!$A:$J,4,FALSE),"")</f>
        <v/>
      </c>
      <c r="E48" s="2">
        <f>IFERROR(VLOOKUP($C48,'Tabela de Jogos'!$A:$J,5,FALSE),"")</f>
        <v/>
      </c>
      <c r="F48" s="2" t="n"/>
      <c r="G48" s="2" t="n"/>
      <c r="H48">
        <f>IFERROR(VLOOKUP($C48,'Tabela de Jogos'!$A:$J,8,FALSE),"")</f>
        <v/>
      </c>
      <c r="I48">
        <f>IFERROR(VLOOKUP($C48,'Tabela de Jogos'!$A:$J,9,FALSE),"")</f>
        <v/>
      </c>
      <c r="J48" s="2">
        <f>IF(OR($F48="",$G48="",$H48="",$I48=""),"",IF(AND($F48=$H48,$G48=$I48),3,IF(SIGN($F48-$G48)=SIGN($H48-$I48),1,0)))</f>
        <v/>
      </c>
      <c r="K48" s="2">
        <f>IF($J48="","",IF($J48=3,"Exact",IF($J48=1,"Correct","Miss")))</f>
        <v/>
      </c>
    </row>
    <row r="49">
      <c r="A49" t="n">
        <v>48</v>
      </c>
      <c r="D49" s="2">
        <f>IFERROR(VLOOKUP($C49,'Tabela de Jogos'!$A:$J,4,FALSE),"")</f>
        <v/>
      </c>
      <c r="E49" s="2">
        <f>IFERROR(VLOOKUP($C49,'Tabela de Jogos'!$A:$J,5,FALSE),"")</f>
        <v/>
      </c>
      <c r="F49" s="2" t="n"/>
      <c r="G49" s="2" t="n"/>
      <c r="H49">
        <f>IFERROR(VLOOKUP($C49,'Tabela de Jogos'!$A:$J,8,FALSE),"")</f>
        <v/>
      </c>
      <c r="I49">
        <f>IFERROR(VLOOKUP($C49,'Tabela de Jogos'!$A:$J,9,FALSE),"")</f>
        <v/>
      </c>
      <c r="J49" s="2">
        <f>IF(OR($F49="",$G49="",$H49="",$I49=""),"",IF(AND($F49=$H49,$G49=$I49),3,IF(SIGN($F49-$G49)=SIGN($H49-$I49),1,0)))</f>
        <v/>
      </c>
      <c r="K49" s="2">
        <f>IF($J49="","",IF($J49=3,"Exact",IF($J49=1,"Correct","Miss")))</f>
        <v/>
      </c>
    </row>
    <row r="50">
      <c r="A50" t="n">
        <v>49</v>
      </c>
      <c r="D50" s="2">
        <f>IFERROR(VLOOKUP($C50,'Tabela de Jogos'!$A:$J,4,FALSE),"")</f>
        <v/>
      </c>
      <c r="E50" s="2">
        <f>IFERROR(VLOOKUP($C50,'Tabela de Jogos'!$A:$J,5,FALSE),"")</f>
        <v/>
      </c>
      <c r="F50" s="2" t="n"/>
      <c r="G50" s="2" t="n"/>
      <c r="H50">
        <f>IFERROR(VLOOKUP($C50,'Tabela de Jogos'!$A:$J,8,FALSE),"")</f>
        <v/>
      </c>
      <c r="I50">
        <f>IFERROR(VLOOKUP($C50,'Tabela de Jogos'!$A:$J,9,FALSE),"")</f>
        <v/>
      </c>
      <c r="J50" s="2">
        <f>IF(OR($F50="",$G50="",$H50="",$I50=""),"",IF(AND($F50=$H50,$G50=$I50),3,IF(SIGN($F50-$G50)=SIGN($H50-$I50),1,0)))</f>
        <v/>
      </c>
      <c r="K50" s="2">
        <f>IF($J50="","",IF($J50=3,"Exact",IF($J50=1,"Correct","Miss")))</f>
        <v/>
      </c>
    </row>
    <row r="51">
      <c r="A51" t="n">
        <v>50</v>
      </c>
      <c r="D51" s="2">
        <f>IFERROR(VLOOKUP($C51,'Tabela de Jogos'!$A:$J,4,FALSE),"")</f>
        <v/>
      </c>
      <c r="E51" s="2">
        <f>IFERROR(VLOOKUP($C51,'Tabela de Jogos'!$A:$J,5,FALSE),"")</f>
        <v/>
      </c>
      <c r="F51" s="2" t="n"/>
      <c r="G51" s="2" t="n"/>
      <c r="H51">
        <f>IFERROR(VLOOKUP($C51,'Tabela de Jogos'!$A:$J,8,FALSE),"")</f>
        <v/>
      </c>
      <c r="I51">
        <f>IFERROR(VLOOKUP($C51,'Tabela de Jogos'!$A:$J,9,FALSE),"")</f>
        <v/>
      </c>
      <c r="J51" s="2">
        <f>IF(OR($F51="",$G51="",$H51="",$I51=""),"",IF(AND($F51=$H51,$G51=$I51),3,IF(SIGN($F51-$G51)=SIGN($H51-$I51),1,0)))</f>
        <v/>
      </c>
      <c r="K51" s="2">
        <f>IF($J51="","",IF($J51=3,"Exact",IF($J51=1,"Correct","Miss")))</f>
        <v/>
      </c>
    </row>
    <row r="52">
      <c r="A52" t="n">
        <v>51</v>
      </c>
      <c r="D52" s="2">
        <f>IFERROR(VLOOKUP($C52,'Tabela de Jogos'!$A:$J,4,FALSE),"")</f>
        <v/>
      </c>
      <c r="E52" s="2">
        <f>IFERROR(VLOOKUP($C52,'Tabela de Jogos'!$A:$J,5,FALSE),"")</f>
        <v/>
      </c>
      <c r="F52" s="2" t="n"/>
      <c r="G52" s="2" t="n"/>
      <c r="H52">
        <f>IFERROR(VLOOKUP($C52,'Tabela de Jogos'!$A:$J,8,FALSE),"")</f>
        <v/>
      </c>
      <c r="I52">
        <f>IFERROR(VLOOKUP($C52,'Tabela de Jogos'!$A:$J,9,FALSE),"")</f>
        <v/>
      </c>
      <c r="J52" s="2">
        <f>IF(OR($F52="",$G52="",$H52="",$I52=""),"",IF(AND($F52=$H52,$G52=$I52),3,IF(SIGN($F52-$G52)=SIGN($H52-$I52),1,0)))</f>
        <v/>
      </c>
      <c r="K52" s="2">
        <f>IF($J52="","",IF($J52=3,"Exact",IF($J52=1,"Correct","Miss")))</f>
        <v/>
      </c>
    </row>
    <row r="53">
      <c r="A53" t="n">
        <v>52</v>
      </c>
      <c r="D53" s="2">
        <f>IFERROR(VLOOKUP($C53,'Tabela de Jogos'!$A:$J,4,FALSE),"")</f>
        <v/>
      </c>
      <c r="E53" s="2">
        <f>IFERROR(VLOOKUP($C53,'Tabela de Jogos'!$A:$J,5,FALSE),"")</f>
        <v/>
      </c>
      <c r="F53" s="2" t="n"/>
      <c r="G53" s="2" t="n"/>
      <c r="H53">
        <f>IFERROR(VLOOKUP($C53,'Tabela de Jogos'!$A:$J,8,FALSE),"")</f>
        <v/>
      </c>
      <c r="I53">
        <f>IFERROR(VLOOKUP($C53,'Tabela de Jogos'!$A:$J,9,FALSE),"")</f>
        <v/>
      </c>
      <c r="J53" s="2">
        <f>IF(OR($F53="",$G53="",$H53="",$I53=""),"",IF(AND($F53=$H53,$G53=$I53),3,IF(SIGN($F53-$G53)=SIGN($H53-$I53),1,0)))</f>
        <v/>
      </c>
      <c r="K53" s="2">
        <f>IF($J53="","",IF($J53=3,"Exact",IF($J53=1,"Correct","Miss")))</f>
        <v/>
      </c>
    </row>
    <row r="54">
      <c r="A54" t="n">
        <v>53</v>
      </c>
      <c r="D54" s="2">
        <f>IFERROR(VLOOKUP($C54,'Tabela de Jogos'!$A:$J,4,FALSE),"")</f>
        <v/>
      </c>
      <c r="E54" s="2">
        <f>IFERROR(VLOOKUP($C54,'Tabela de Jogos'!$A:$J,5,FALSE),"")</f>
        <v/>
      </c>
      <c r="F54" s="2" t="n"/>
      <c r="G54" s="2" t="n"/>
      <c r="H54">
        <f>IFERROR(VLOOKUP($C54,'Tabela de Jogos'!$A:$J,8,FALSE),"")</f>
        <v/>
      </c>
      <c r="I54">
        <f>IFERROR(VLOOKUP($C54,'Tabela de Jogos'!$A:$J,9,FALSE),"")</f>
        <v/>
      </c>
      <c r="J54" s="2">
        <f>IF(OR($F54="",$G54="",$H54="",$I54=""),"",IF(AND($F54=$H54,$G54=$I54),3,IF(SIGN($F54-$G54)=SIGN($H54-$I54),1,0)))</f>
        <v/>
      </c>
      <c r="K54" s="2">
        <f>IF($J54="","",IF($J54=3,"Exact",IF($J54=1,"Correct","Miss")))</f>
        <v/>
      </c>
    </row>
    <row r="55">
      <c r="A55" t="n">
        <v>54</v>
      </c>
      <c r="D55" s="2">
        <f>IFERROR(VLOOKUP($C55,'Tabela de Jogos'!$A:$J,4,FALSE),"")</f>
        <v/>
      </c>
      <c r="E55" s="2">
        <f>IFERROR(VLOOKUP($C55,'Tabela de Jogos'!$A:$J,5,FALSE),"")</f>
        <v/>
      </c>
      <c r="F55" s="2" t="n"/>
      <c r="G55" s="2" t="n"/>
      <c r="H55">
        <f>IFERROR(VLOOKUP($C55,'Tabela de Jogos'!$A:$J,8,FALSE),"")</f>
        <v/>
      </c>
      <c r="I55">
        <f>IFERROR(VLOOKUP($C55,'Tabela de Jogos'!$A:$J,9,FALSE),"")</f>
        <v/>
      </c>
      <c r="J55" s="2">
        <f>IF(OR($F55="",$G55="",$H55="",$I55=""),"",IF(AND($F55=$H55,$G55=$I55),3,IF(SIGN($F55-$G55)=SIGN($H55-$I55),1,0)))</f>
        <v/>
      </c>
      <c r="K55" s="2">
        <f>IF($J55="","",IF($J55=3,"Exact",IF($J55=1,"Correct","Miss")))</f>
        <v/>
      </c>
    </row>
    <row r="56">
      <c r="A56" t="n">
        <v>55</v>
      </c>
      <c r="D56" s="2">
        <f>IFERROR(VLOOKUP($C56,'Tabela de Jogos'!$A:$J,4,FALSE),"")</f>
        <v/>
      </c>
      <c r="E56" s="2">
        <f>IFERROR(VLOOKUP($C56,'Tabela de Jogos'!$A:$J,5,FALSE),"")</f>
        <v/>
      </c>
      <c r="F56" s="2" t="n"/>
      <c r="G56" s="2" t="n"/>
      <c r="H56">
        <f>IFERROR(VLOOKUP($C56,'Tabela de Jogos'!$A:$J,8,FALSE),"")</f>
        <v/>
      </c>
      <c r="I56">
        <f>IFERROR(VLOOKUP($C56,'Tabela de Jogos'!$A:$J,9,FALSE),"")</f>
        <v/>
      </c>
      <c r="J56" s="2">
        <f>IF(OR($F56="",$G56="",$H56="",$I56=""),"",IF(AND($F56=$H56,$G56=$I56),3,IF(SIGN($F56-$G56)=SIGN($H56-$I56),1,0)))</f>
        <v/>
      </c>
      <c r="K56" s="2">
        <f>IF($J56="","",IF($J56=3,"Exact",IF($J56=1,"Correct","Miss")))</f>
        <v/>
      </c>
    </row>
    <row r="57">
      <c r="A57" t="n">
        <v>56</v>
      </c>
      <c r="D57" s="2">
        <f>IFERROR(VLOOKUP($C57,'Tabela de Jogos'!$A:$J,4,FALSE),"")</f>
        <v/>
      </c>
      <c r="E57" s="2">
        <f>IFERROR(VLOOKUP($C57,'Tabela de Jogos'!$A:$J,5,FALSE),"")</f>
        <v/>
      </c>
      <c r="F57" s="2" t="n"/>
      <c r="G57" s="2" t="n"/>
      <c r="H57">
        <f>IFERROR(VLOOKUP($C57,'Tabela de Jogos'!$A:$J,8,FALSE),"")</f>
        <v/>
      </c>
      <c r="I57">
        <f>IFERROR(VLOOKUP($C57,'Tabela de Jogos'!$A:$J,9,FALSE),"")</f>
        <v/>
      </c>
      <c r="J57" s="2">
        <f>IF(OR($F57="",$G57="",$H57="",$I57=""),"",IF(AND($F57=$H57,$G57=$I57),3,IF(SIGN($F57-$G57)=SIGN($H57-$I57),1,0)))</f>
        <v/>
      </c>
      <c r="K57" s="2">
        <f>IF($J57="","",IF($J57=3,"Exact",IF($J57=1,"Correct","Miss")))</f>
        <v/>
      </c>
    </row>
    <row r="58">
      <c r="A58" t="n">
        <v>57</v>
      </c>
      <c r="D58" s="2">
        <f>IFERROR(VLOOKUP($C58,'Tabela de Jogos'!$A:$J,4,FALSE),"")</f>
        <v/>
      </c>
      <c r="E58" s="2">
        <f>IFERROR(VLOOKUP($C58,'Tabela de Jogos'!$A:$J,5,FALSE),"")</f>
        <v/>
      </c>
      <c r="F58" s="2" t="n"/>
      <c r="G58" s="2" t="n"/>
      <c r="H58">
        <f>IFERROR(VLOOKUP($C58,'Tabela de Jogos'!$A:$J,8,FALSE),"")</f>
        <v/>
      </c>
      <c r="I58">
        <f>IFERROR(VLOOKUP($C58,'Tabela de Jogos'!$A:$J,9,FALSE),"")</f>
        <v/>
      </c>
      <c r="J58" s="2">
        <f>IF(OR($F58="",$G58="",$H58="",$I58=""),"",IF(AND($F58=$H58,$G58=$I58),3,IF(SIGN($F58-$G58)=SIGN($H58-$I58),1,0)))</f>
        <v/>
      </c>
      <c r="K58" s="2">
        <f>IF($J58="","",IF($J58=3,"Exact",IF($J58=1,"Correct","Miss")))</f>
        <v/>
      </c>
    </row>
    <row r="59">
      <c r="A59" t="n">
        <v>58</v>
      </c>
      <c r="D59" s="2">
        <f>IFERROR(VLOOKUP($C59,'Tabela de Jogos'!$A:$J,4,FALSE),"")</f>
        <v/>
      </c>
      <c r="E59" s="2">
        <f>IFERROR(VLOOKUP($C59,'Tabela de Jogos'!$A:$J,5,FALSE),"")</f>
        <v/>
      </c>
      <c r="F59" s="2" t="n"/>
      <c r="G59" s="2" t="n"/>
      <c r="H59">
        <f>IFERROR(VLOOKUP($C59,'Tabela de Jogos'!$A:$J,8,FALSE),"")</f>
        <v/>
      </c>
      <c r="I59">
        <f>IFERROR(VLOOKUP($C59,'Tabela de Jogos'!$A:$J,9,FALSE),"")</f>
        <v/>
      </c>
      <c r="J59" s="2">
        <f>IF(OR($F59="",$G59="",$H59="",$I59=""),"",IF(AND($F59=$H59,$G59=$I59),3,IF(SIGN($F59-$G59)=SIGN($H59-$I59),1,0)))</f>
        <v/>
      </c>
      <c r="K59" s="2">
        <f>IF($J59="","",IF($J59=3,"Exact",IF($J59=1,"Correct","Miss")))</f>
        <v/>
      </c>
    </row>
    <row r="60">
      <c r="A60" t="n">
        <v>59</v>
      </c>
      <c r="D60" s="2">
        <f>IFERROR(VLOOKUP($C60,'Tabela de Jogos'!$A:$J,4,FALSE),"")</f>
        <v/>
      </c>
      <c r="E60" s="2">
        <f>IFERROR(VLOOKUP($C60,'Tabela de Jogos'!$A:$J,5,FALSE),"")</f>
        <v/>
      </c>
      <c r="F60" s="2" t="n"/>
      <c r="G60" s="2" t="n"/>
      <c r="H60">
        <f>IFERROR(VLOOKUP($C60,'Tabela de Jogos'!$A:$J,8,FALSE),"")</f>
        <v/>
      </c>
      <c r="I60">
        <f>IFERROR(VLOOKUP($C60,'Tabela de Jogos'!$A:$J,9,FALSE),"")</f>
        <v/>
      </c>
      <c r="J60" s="2">
        <f>IF(OR($F60="",$G60="",$H60="",$I60=""),"",IF(AND($F60=$H60,$G60=$I60),3,IF(SIGN($F60-$G60)=SIGN($H60-$I60),1,0)))</f>
        <v/>
      </c>
      <c r="K60" s="2">
        <f>IF($J60="","",IF($J60=3,"Exact",IF($J60=1,"Correct","Miss")))</f>
        <v/>
      </c>
    </row>
    <row r="61">
      <c r="A61" t="n">
        <v>60</v>
      </c>
      <c r="D61" s="2">
        <f>IFERROR(VLOOKUP($C61,'Tabela de Jogos'!$A:$J,4,FALSE),"")</f>
        <v/>
      </c>
      <c r="E61" s="2">
        <f>IFERROR(VLOOKUP($C61,'Tabela de Jogos'!$A:$J,5,FALSE),"")</f>
        <v/>
      </c>
      <c r="F61" s="2" t="n"/>
      <c r="G61" s="2" t="n"/>
      <c r="H61">
        <f>IFERROR(VLOOKUP($C61,'Tabela de Jogos'!$A:$J,8,FALSE),"")</f>
        <v/>
      </c>
      <c r="I61">
        <f>IFERROR(VLOOKUP($C61,'Tabela de Jogos'!$A:$J,9,FALSE),"")</f>
        <v/>
      </c>
      <c r="J61" s="2">
        <f>IF(OR($F61="",$G61="",$H61="",$I61=""),"",IF(AND($F61=$H61,$G61=$I61),3,IF(SIGN($F61-$G61)=SIGN($H61-$I61),1,0)))</f>
        <v/>
      </c>
      <c r="K61" s="2">
        <f>IF($J61="","",IF($J61=3,"Exact",IF($J61=1,"Correct","Miss")))</f>
        <v/>
      </c>
    </row>
    <row r="62">
      <c r="A62" t="n">
        <v>61</v>
      </c>
      <c r="D62" s="2">
        <f>IFERROR(VLOOKUP($C62,'Tabela de Jogos'!$A:$J,4,FALSE),"")</f>
        <v/>
      </c>
      <c r="E62" s="2">
        <f>IFERROR(VLOOKUP($C62,'Tabela de Jogos'!$A:$J,5,FALSE),"")</f>
        <v/>
      </c>
      <c r="F62" s="2" t="n"/>
      <c r="G62" s="2" t="n"/>
      <c r="H62">
        <f>IFERROR(VLOOKUP($C62,'Tabela de Jogos'!$A:$J,8,FALSE),"")</f>
        <v/>
      </c>
      <c r="I62">
        <f>IFERROR(VLOOKUP($C62,'Tabela de Jogos'!$A:$J,9,FALSE),"")</f>
        <v/>
      </c>
      <c r="J62" s="2">
        <f>IF(OR($F62="",$G62="",$H62="",$I62=""),"",IF(AND($F62=$H62,$G62=$I62),3,IF(SIGN($F62-$G62)=SIGN($H62-$I62),1,0)))</f>
        <v/>
      </c>
      <c r="K62" s="2">
        <f>IF($J62="","",IF($J62=3,"Exact",IF($J62=1,"Correct","Miss")))</f>
        <v/>
      </c>
    </row>
    <row r="63">
      <c r="A63" t="n">
        <v>62</v>
      </c>
      <c r="D63" s="2">
        <f>IFERROR(VLOOKUP($C63,'Tabela de Jogos'!$A:$J,4,FALSE),"")</f>
        <v/>
      </c>
      <c r="E63" s="2">
        <f>IFERROR(VLOOKUP($C63,'Tabela de Jogos'!$A:$J,5,FALSE),"")</f>
        <v/>
      </c>
      <c r="F63" s="2" t="n"/>
      <c r="G63" s="2" t="n"/>
      <c r="H63">
        <f>IFERROR(VLOOKUP($C63,'Tabela de Jogos'!$A:$J,8,FALSE),"")</f>
        <v/>
      </c>
      <c r="I63">
        <f>IFERROR(VLOOKUP($C63,'Tabela de Jogos'!$A:$J,9,FALSE),"")</f>
        <v/>
      </c>
      <c r="J63" s="2">
        <f>IF(OR($F63="",$G63="",$H63="",$I63=""),"",IF(AND($F63=$H63,$G63=$I63),3,IF(SIGN($F63-$G63)=SIGN($H63-$I63),1,0)))</f>
        <v/>
      </c>
      <c r="K63" s="2">
        <f>IF($J63="","",IF($J63=3,"Exact",IF($J63=1,"Correct","Miss")))</f>
        <v/>
      </c>
    </row>
    <row r="64">
      <c r="A64" t="n">
        <v>63</v>
      </c>
      <c r="D64" s="2">
        <f>IFERROR(VLOOKUP($C64,'Tabela de Jogos'!$A:$J,4,FALSE),"")</f>
        <v/>
      </c>
      <c r="E64" s="2">
        <f>IFERROR(VLOOKUP($C64,'Tabela de Jogos'!$A:$J,5,FALSE),"")</f>
        <v/>
      </c>
      <c r="F64" s="2" t="n"/>
      <c r="G64" s="2" t="n"/>
      <c r="H64">
        <f>IFERROR(VLOOKUP($C64,'Tabela de Jogos'!$A:$J,8,FALSE),"")</f>
        <v/>
      </c>
      <c r="I64">
        <f>IFERROR(VLOOKUP($C64,'Tabela de Jogos'!$A:$J,9,FALSE),"")</f>
        <v/>
      </c>
      <c r="J64" s="2">
        <f>IF(OR($F64="",$G64="",$H64="",$I64=""),"",IF(AND($F64=$H64,$G64=$I64),3,IF(SIGN($F64-$G64)=SIGN($H64-$I64),1,0)))</f>
        <v/>
      </c>
      <c r="K64" s="2">
        <f>IF($J64="","",IF($J64=3,"Exact",IF($J64=1,"Correct","Miss")))</f>
        <v/>
      </c>
    </row>
    <row r="65">
      <c r="A65" t="n">
        <v>64</v>
      </c>
      <c r="D65" s="2">
        <f>IFERROR(VLOOKUP($C65,'Tabela de Jogos'!$A:$J,4,FALSE),"")</f>
        <v/>
      </c>
      <c r="E65" s="2">
        <f>IFERROR(VLOOKUP($C65,'Tabela de Jogos'!$A:$J,5,FALSE),"")</f>
        <v/>
      </c>
      <c r="F65" s="2" t="n"/>
      <c r="G65" s="2" t="n"/>
      <c r="H65">
        <f>IFERROR(VLOOKUP($C65,'Tabela de Jogos'!$A:$J,8,FALSE),"")</f>
        <v/>
      </c>
      <c r="I65">
        <f>IFERROR(VLOOKUP($C65,'Tabela de Jogos'!$A:$J,9,FALSE),"")</f>
        <v/>
      </c>
      <c r="J65" s="2">
        <f>IF(OR($F65="",$G65="",$H65="",$I65=""),"",IF(AND($F65=$H65,$G65=$I65),3,IF(SIGN($F65-$G65)=SIGN($H65-$I65),1,0)))</f>
        <v/>
      </c>
      <c r="K65" s="2">
        <f>IF($J65="","",IF($J65=3,"Exact",IF($J65=1,"Correct","Miss")))</f>
        <v/>
      </c>
    </row>
    <row r="66">
      <c r="A66" t="n">
        <v>65</v>
      </c>
      <c r="D66" s="2">
        <f>IFERROR(VLOOKUP($C66,'Tabela de Jogos'!$A:$J,4,FALSE),"")</f>
        <v/>
      </c>
      <c r="E66" s="2">
        <f>IFERROR(VLOOKUP($C66,'Tabela de Jogos'!$A:$J,5,FALSE),"")</f>
        <v/>
      </c>
      <c r="F66" s="2" t="n"/>
      <c r="G66" s="2" t="n"/>
      <c r="H66">
        <f>IFERROR(VLOOKUP($C66,'Tabela de Jogos'!$A:$J,8,FALSE),"")</f>
        <v/>
      </c>
      <c r="I66">
        <f>IFERROR(VLOOKUP($C66,'Tabela de Jogos'!$A:$J,9,FALSE),"")</f>
        <v/>
      </c>
      <c r="J66" s="2">
        <f>IF(OR($F66="",$G66="",$H66="",$I66=""),"",IF(AND($F66=$H66,$G66=$I66),3,IF(SIGN($F66-$G66)=SIGN($H66-$I66),1,0)))</f>
        <v/>
      </c>
      <c r="K66" s="2">
        <f>IF($J66="","",IF($J66=3,"Exact",IF($J66=1,"Correct","Miss")))</f>
        <v/>
      </c>
    </row>
    <row r="67">
      <c r="A67" t="n">
        <v>66</v>
      </c>
      <c r="D67" s="2">
        <f>IFERROR(VLOOKUP($C67,'Tabela de Jogos'!$A:$J,4,FALSE),"")</f>
        <v/>
      </c>
      <c r="E67" s="2">
        <f>IFERROR(VLOOKUP($C67,'Tabela de Jogos'!$A:$J,5,FALSE),"")</f>
        <v/>
      </c>
      <c r="F67" s="2" t="n"/>
      <c r="G67" s="2" t="n"/>
      <c r="H67">
        <f>IFERROR(VLOOKUP($C67,'Tabela de Jogos'!$A:$J,8,FALSE),"")</f>
        <v/>
      </c>
      <c r="I67">
        <f>IFERROR(VLOOKUP($C67,'Tabela de Jogos'!$A:$J,9,FALSE),"")</f>
        <v/>
      </c>
      <c r="J67" s="2">
        <f>IF(OR($F67="",$G67="",$H67="",$I67=""),"",IF(AND($F67=$H67,$G67=$I67),3,IF(SIGN($F67-$G67)=SIGN($H67-$I67),1,0)))</f>
        <v/>
      </c>
      <c r="K67" s="2">
        <f>IF($J67="","",IF($J67=3,"Exact",IF($J67=1,"Correct","Miss")))</f>
        <v/>
      </c>
    </row>
    <row r="68">
      <c r="A68" t="n">
        <v>67</v>
      </c>
      <c r="D68" s="2">
        <f>IFERROR(VLOOKUP($C68,'Tabela de Jogos'!$A:$J,4,FALSE),"")</f>
        <v/>
      </c>
      <c r="E68" s="2">
        <f>IFERROR(VLOOKUP($C68,'Tabela de Jogos'!$A:$J,5,FALSE),"")</f>
        <v/>
      </c>
      <c r="F68" s="2" t="n"/>
      <c r="G68" s="2" t="n"/>
      <c r="H68">
        <f>IFERROR(VLOOKUP($C68,'Tabela de Jogos'!$A:$J,8,FALSE),"")</f>
        <v/>
      </c>
      <c r="I68">
        <f>IFERROR(VLOOKUP($C68,'Tabela de Jogos'!$A:$J,9,FALSE),"")</f>
        <v/>
      </c>
      <c r="J68" s="2">
        <f>IF(OR($F68="",$G68="",$H68="",$I68=""),"",IF(AND($F68=$H68,$G68=$I68),3,IF(SIGN($F68-$G68)=SIGN($H68-$I68),1,0)))</f>
        <v/>
      </c>
      <c r="K68" s="2">
        <f>IF($J68="","",IF($J68=3,"Exact",IF($J68=1,"Correct","Miss")))</f>
        <v/>
      </c>
    </row>
    <row r="69">
      <c r="A69" t="n">
        <v>68</v>
      </c>
      <c r="D69" s="2">
        <f>IFERROR(VLOOKUP($C69,'Tabela de Jogos'!$A:$J,4,FALSE),"")</f>
        <v/>
      </c>
      <c r="E69" s="2">
        <f>IFERROR(VLOOKUP($C69,'Tabela de Jogos'!$A:$J,5,FALSE),"")</f>
        <v/>
      </c>
      <c r="F69" s="2" t="n"/>
      <c r="G69" s="2" t="n"/>
      <c r="H69">
        <f>IFERROR(VLOOKUP($C69,'Tabela de Jogos'!$A:$J,8,FALSE),"")</f>
        <v/>
      </c>
      <c r="I69">
        <f>IFERROR(VLOOKUP($C69,'Tabela de Jogos'!$A:$J,9,FALSE),"")</f>
        <v/>
      </c>
      <c r="J69" s="2">
        <f>IF(OR($F69="",$G69="",$H69="",$I69=""),"",IF(AND($F69=$H69,$G69=$I69),3,IF(SIGN($F69-$G69)=SIGN($H69-$I69),1,0)))</f>
        <v/>
      </c>
      <c r="K69" s="2">
        <f>IF($J69="","",IF($J69=3,"Exact",IF($J69=1,"Correct","Miss")))</f>
        <v/>
      </c>
    </row>
    <row r="70">
      <c r="A70" t="n">
        <v>69</v>
      </c>
      <c r="D70" s="2">
        <f>IFERROR(VLOOKUP($C70,'Tabela de Jogos'!$A:$J,4,FALSE),"")</f>
        <v/>
      </c>
      <c r="E70" s="2">
        <f>IFERROR(VLOOKUP($C70,'Tabela de Jogos'!$A:$J,5,FALSE),"")</f>
        <v/>
      </c>
      <c r="F70" s="2" t="n"/>
      <c r="G70" s="2" t="n"/>
      <c r="H70">
        <f>IFERROR(VLOOKUP($C70,'Tabela de Jogos'!$A:$J,8,FALSE),"")</f>
        <v/>
      </c>
      <c r="I70">
        <f>IFERROR(VLOOKUP($C70,'Tabela de Jogos'!$A:$J,9,FALSE),"")</f>
        <v/>
      </c>
      <c r="J70" s="2">
        <f>IF(OR($F70="",$G70="",$H70="",$I70=""),"",IF(AND($F70=$H70,$G70=$I70),3,IF(SIGN($F70-$G70)=SIGN($H70-$I70),1,0)))</f>
        <v/>
      </c>
      <c r="K70" s="2">
        <f>IF($J70="","",IF($J70=3,"Exact",IF($J70=1,"Correct","Miss")))</f>
        <v/>
      </c>
    </row>
    <row r="71">
      <c r="A71" t="n">
        <v>70</v>
      </c>
      <c r="D71" s="2">
        <f>IFERROR(VLOOKUP($C71,'Tabela de Jogos'!$A:$J,4,FALSE),"")</f>
        <v/>
      </c>
      <c r="E71" s="2">
        <f>IFERROR(VLOOKUP($C71,'Tabela de Jogos'!$A:$J,5,FALSE),"")</f>
        <v/>
      </c>
      <c r="F71" s="2" t="n"/>
      <c r="G71" s="2" t="n"/>
      <c r="H71">
        <f>IFERROR(VLOOKUP($C71,'Tabela de Jogos'!$A:$J,8,FALSE),"")</f>
        <v/>
      </c>
      <c r="I71">
        <f>IFERROR(VLOOKUP($C71,'Tabela de Jogos'!$A:$J,9,FALSE),"")</f>
        <v/>
      </c>
      <c r="J71" s="2">
        <f>IF(OR($F71="",$G71="",$H71="",$I71=""),"",IF(AND($F71=$H71,$G71=$I71),3,IF(SIGN($F71-$G71)=SIGN($H71-$I71),1,0)))</f>
        <v/>
      </c>
      <c r="K71" s="2">
        <f>IF($J71="","",IF($J71=3,"Exact",IF($J71=1,"Correct","Miss")))</f>
        <v/>
      </c>
    </row>
    <row r="72">
      <c r="A72" t="n">
        <v>71</v>
      </c>
      <c r="D72" s="2">
        <f>IFERROR(VLOOKUP($C72,'Tabela de Jogos'!$A:$J,4,FALSE),"")</f>
        <v/>
      </c>
      <c r="E72" s="2">
        <f>IFERROR(VLOOKUP($C72,'Tabela de Jogos'!$A:$J,5,FALSE),"")</f>
        <v/>
      </c>
      <c r="F72" s="2" t="n"/>
      <c r="G72" s="2" t="n"/>
      <c r="H72">
        <f>IFERROR(VLOOKUP($C72,'Tabela de Jogos'!$A:$J,8,FALSE),"")</f>
        <v/>
      </c>
      <c r="I72">
        <f>IFERROR(VLOOKUP($C72,'Tabela de Jogos'!$A:$J,9,FALSE),"")</f>
        <v/>
      </c>
      <c r="J72" s="2">
        <f>IF(OR($F72="",$G72="",$H72="",$I72=""),"",IF(AND($F72=$H72,$G72=$I72),3,IF(SIGN($F72-$G72)=SIGN($H72-$I72),1,0)))</f>
        <v/>
      </c>
      <c r="K72" s="2">
        <f>IF($J72="","",IF($J72=3,"Exact",IF($J72=1,"Correct","Miss")))</f>
        <v/>
      </c>
    </row>
    <row r="73">
      <c r="A73" t="n">
        <v>72</v>
      </c>
      <c r="D73" s="2">
        <f>IFERROR(VLOOKUP($C73,'Tabela de Jogos'!$A:$J,4,FALSE),"")</f>
        <v/>
      </c>
      <c r="E73" s="2">
        <f>IFERROR(VLOOKUP($C73,'Tabela de Jogos'!$A:$J,5,FALSE),"")</f>
        <v/>
      </c>
      <c r="F73" s="2" t="n"/>
      <c r="G73" s="2" t="n"/>
      <c r="H73">
        <f>IFERROR(VLOOKUP($C73,'Tabela de Jogos'!$A:$J,8,FALSE),"")</f>
        <v/>
      </c>
      <c r="I73">
        <f>IFERROR(VLOOKUP($C73,'Tabela de Jogos'!$A:$J,9,FALSE),"")</f>
        <v/>
      </c>
      <c r="J73" s="2">
        <f>IF(OR($F73="",$G73="",$H73="",$I73=""),"",IF(AND($F73=$H73,$G73=$I73),3,IF(SIGN($F73-$G73)=SIGN($H73-$I73),1,0)))</f>
        <v/>
      </c>
      <c r="K73" s="2">
        <f>IF($J73="","",IF($J73=3,"Exact",IF($J73=1,"Correct","Miss")))</f>
        <v/>
      </c>
    </row>
    <row r="74">
      <c r="A74" t="n">
        <v>73</v>
      </c>
      <c r="D74" s="2">
        <f>IFERROR(VLOOKUP($C74,'Tabela de Jogos'!$A:$J,4,FALSE),"")</f>
        <v/>
      </c>
      <c r="E74" s="2">
        <f>IFERROR(VLOOKUP($C74,'Tabela de Jogos'!$A:$J,5,FALSE),"")</f>
        <v/>
      </c>
      <c r="F74" s="2" t="n"/>
      <c r="G74" s="2" t="n"/>
      <c r="H74">
        <f>IFERROR(VLOOKUP($C74,'Tabela de Jogos'!$A:$J,8,FALSE),"")</f>
        <v/>
      </c>
      <c r="I74">
        <f>IFERROR(VLOOKUP($C74,'Tabela de Jogos'!$A:$J,9,FALSE),"")</f>
        <v/>
      </c>
      <c r="J74" s="2">
        <f>IF(OR($F74="",$G74="",$H74="",$I74=""),"",IF(AND($F74=$H74,$G74=$I74),3,IF(SIGN($F74-$G74)=SIGN($H74-$I74),1,0)))</f>
        <v/>
      </c>
      <c r="K74" s="2">
        <f>IF($J74="","",IF($J74=3,"Exact",IF($J74=1,"Correct","Miss")))</f>
        <v/>
      </c>
    </row>
    <row r="75">
      <c r="A75" t="n">
        <v>74</v>
      </c>
      <c r="D75" s="2">
        <f>IFERROR(VLOOKUP($C75,'Tabela de Jogos'!$A:$J,4,FALSE),"")</f>
        <v/>
      </c>
      <c r="E75" s="2">
        <f>IFERROR(VLOOKUP($C75,'Tabela de Jogos'!$A:$J,5,FALSE),"")</f>
        <v/>
      </c>
      <c r="F75" s="2" t="n"/>
      <c r="G75" s="2" t="n"/>
      <c r="H75">
        <f>IFERROR(VLOOKUP($C75,'Tabela de Jogos'!$A:$J,8,FALSE),"")</f>
        <v/>
      </c>
      <c r="I75">
        <f>IFERROR(VLOOKUP($C75,'Tabela de Jogos'!$A:$J,9,FALSE),"")</f>
        <v/>
      </c>
      <c r="J75" s="2">
        <f>IF(OR($F75="",$G75="",$H75="",$I75=""),"",IF(AND($F75=$H75,$G75=$I75),3,IF(SIGN($F75-$G75)=SIGN($H75-$I75),1,0)))</f>
        <v/>
      </c>
      <c r="K75" s="2">
        <f>IF($J75="","",IF($J75=3,"Exact",IF($J75=1,"Correct","Miss")))</f>
        <v/>
      </c>
    </row>
    <row r="76">
      <c r="A76" t="n">
        <v>75</v>
      </c>
      <c r="D76" s="2">
        <f>IFERROR(VLOOKUP($C76,'Tabela de Jogos'!$A:$J,4,FALSE),"")</f>
        <v/>
      </c>
      <c r="E76" s="2">
        <f>IFERROR(VLOOKUP($C76,'Tabela de Jogos'!$A:$J,5,FALSE),"")</f>
        <v/>
      </c>
      <c r="F76" s="2" t="n"/>
      <c r="G76" s="2" t="n"/>
      <c r="H76">
        <f>IFERROR(VLOOKUP($C76,'Tabela de Jogos'!$A:$J,8,FALSE),"")</f>
        <v/>
      </c>
      <c r="I76">
        <f>IFERROR(VLOOKUP($C76,'Tabela de Jogos'!$A:$J,9,FALSE),"")</f>
        <v/>
      </c>
      <c r="J76" s="2">
        <f>IF(OR($F76="",$G76="",$H76="",$I76=""),"",IF(AND($F76=$H76,$G76=$I76),3,IF(SIGN($F76-$G76)=SIGN($H76-$I76),1,0)))</f>
        <v/>
      </c>
      <c r="K76" s="2">
        <f>IF($J76="","",IF($J76=3,"Exact",IF($J76=1,"Correct","Miss")))</f>
        <v/>
      </c>
    </row>
    <row r="77">
      <c r="A77" t="n">
        <v>76</v>
      </c>
      <c r="D77" s="2">
        <f>IFERROR(VLOOKUP($C77,'Tabela de Jogos'!$A:$J,4,FALSE),"")</f>
        <v/>
      </c>
      <c r="E77" s="2">
        <f>IFERROR(VLOOKUP($C77,'Tabela de Jogos'!$A:$J,5,FALSE),"")</f>
        <v/>
      </c>
      <c r="F77" s="2" t="n"/>
      <c r="G77" s="2" t="n"/>
      <c r="H77">
        <f>IFERROR(VLOOKUP($C77,'Tabela de Jogos'!$A:$J,8,FALSE),"")</f>
        <v/>
      </c>
      <c r="I77">
        <f>IFERROR(VLOOKUP($C77,'Tabela de Jogos'!$A:$J,9,FALSE),"")</f>
        <v/>
      </c>
      <c r="J77" s="2">
        <f>IF(OR($F77="",$G77="",$H77="",$I77=""),"",IF(AND($F77=$H77,$G77=$I77),3,IF(SIGN($F77-$G77)=SIGN($H77-$I77),1,0)))</f>
        <v/>
      </c>
      <c r="K77" s="2">
        <f>IF($J77="","",IF($J77=3,"Exact",IF($J77=1,"Correct","Miss")))</f>
        <v/>
      </c>
    </row>
    <row r="78">
      <c r="A78" t="n">
        <v>77</v>
      </c>
      <c r="D78" s="2">
        <f>IFERROR(VLOOKUP($C78,'Tabela de Jogos'!$A:$J,4,FALSE),"")</f>
        <v/>
      </c>
      <c r="E78" s="2">
        <f>IFERROR(VLOOKUP($C78,'Tabela de Jogos'!$A:$J,5,FALSE),"")</f>
        <v/>
      </c>
      <c r="F78" s="2" t="n"/>
      <c r="G78" s="2" t="n"/>
      <c r="H78">
        <f>IFERROR(VLOOKUP($C78,'Tabela de Jogos'!$A:$J,8,FALSE),"")</f>
        <v/>
      </c>
      <c r="I78">
        <f>IFERROR(VLOOKUP($C78,'Tabela de Jogos'!$A:$J,9,FALSE),"")</f>
        <v/>
      </c>
      <c r="J78" s="2">
        <f>IF(OR($F78="",$G78="",$H78="",$I78=""),"",IF(AND($F78=$H78,$G78=$I78),3,IF(SIGN($F78-$G78)=SIGN($H78-$I78),1,0)))</f>
        <v/>
      </c>
      <c r="K78" s="2">
        <f>IF($J78="","",IF($J78=3,"Exact",IF($J78=1,"Correct","Miss")))</f>
        <v/>
      </c>
    </row>
    <row r="79">
      <c r="A79" t="n">
        <v>78</v>
      </c>
      <c r="D79" s="2">
        <f>IFERROR(VLOOKUP($C79,'Tabela de Jogos'!$A:$J,4,FALSE),"")</f>
        <v/>
      </c>
      <c r="E79" s="2">
        <f>IFERROR(VLOOKUP($C79,'Tabela de Jogos'!$A:$J,5,FALSE),"")</f>
        <v/>
      </c>
      <c r="F79" s="2" t="n"/>
      <c r="G79" s="2" t="n"/>
      <c r="H79">
        <f>IFERROR(VLOOKUP($C79,'Tabela de Jogos'!$A:$J,8,FALSE),"")</f>
        <v/>
      </c>
      <c r="I79">
        <f>IFERROR(VLOOKUP($C79,'Tabela de Jogos'!$A:$J,9,FALSE),"")</f>
        <v/>
      </c>
      <c r="J79" s="2">
        <f>IF(OR($F79="",$G79="",$H79="",$I79=""),"",IF(AND($F79=$H79,$G79=$I79),3,IF(SIGN($F79-$G79)=SIGN($H79-$I79),1,0)))</f>
        <v/>
      </c>
      <c r="K79" s="2">
        <f>IF($J79="","",IF($J79=3,"Exact",IF($J79=1,"Correct","Miss")))</f>
        <v/>
      </c>
    </row>
    <row r="80">
      <c r="A80" t="n">
        <v>79</v>
      </c>
      <c r="D80" s="2">
        <f>IFERROR(VLOOKUP($C80,'Tabela de Jogos'!$A:$J,4,FALSE),"")</f>
        <v/>
      </c>
      <c r="E80" s="2">
        <f>IFERROR(VLOOKUP($C80,'Tabela de Jogos'!$A:$J,5,FALSE),"")</f>
        <v/>
      </c>
      <c r="F80" s="2" t="n"/>
      <c r="G80" s="2" t="n"/>
      <c r="H80">
        <f>IFERROR(VLOOKUP($C80,'Tabela de Jogos'!$A:$J,8,FALSE),"")</f>
        <v/>
      </c>
      <c r="I80">
        <f>IFERROR(VLOOKUP($C80,'Tabela de Jogos'!$A:$J,9,FALSE),"")</f>
        <v/>
      </c>
      <c r="J80" s="2">
        <f>IF(OR($F80="",$G80="",$H80="",$I80=""),"",IF(AND($F80=$H80,$G80=$I80),3,IF(SIGN($F80-$G80)=SIGN($H80-$I80),1,0)))</f>
        <v/>
      </c>
      <c r="K80" s="2">
        <f>IF($J80="","",IF($J80=3,"Exact",IF($J80=1,"Correct","Miss")))</f>
        <v/>
      </c>
    </row>
    <row r="81">
      <c r="A81" t="n">
        <v>80</v>
      </c>
      <c r="D81" s="2">
        <f>IFERROR(VLOOKUP($C81,'Tabela de Jogos'!$A:$J,4,FALSE),"")</f>
        <v/>
      </c>
      <c r="E81" s="2">
        <f>IFERROR(VLOOKUP($C81,'Tabela de Jogos'!$A:$J,5,FALSE),"")</f>
        <v/>
      </c>
      <c r="F81" s="2" t="n"/>
      <c r="G81" s="2" t="n"/>
      <c r="H81">
        <f>IFERROR(VLOOKUP($C81,'Tabela de Jogos'!$A:$J,8,FALSE),"")</f>
        <v/>
      </c>
      <c r="I81">
        <f>IFERROR(VLOOKUP($C81,'Tabela de Jogos'!$A:$J,9,FALSE),"")</f>
        <v/>
      </c>
      <c r="J81" s="2">
        <f>IF(OR($F81="",$G81="",$H81="",$I81=""),"",IF(AND($F81=$H81,$G81=$I81),3,IF(SIGN($F81-$G81)=SIGN($H81-$I81),1,0)))</f>
        <v/>
      </c>
      <c r="K81" s="2">
        <f>IF($J81="","",IF($J81=3,"Exact",IF($J81=1,"Correct","Miss")))</f>
        <v/>
      </c>
    </row>
    <row r="82">
      <c r="A82" t="n">
        <v>81</v>
      </c>
      <c r="D82" s="2">
        <f>IFERROR(VLOOKUP($C82,'Tabela de Jogos'!$A:$J,4,FALSE),"")</f>
        <v/>
      </c>
      <c r="E82" s="2">
        <f>IFERROR(VLOOKUP($C82,'Tabela de Jogos'!$A:$J,5,FALSE),"")</f>
        <v/>
      </c>
      <c r="F82" s="2" t="n"/>
      <c r="G82" s="2" t="n"/>
      <c r="H82">
        <f>IFERROR(VLOOKUP($C82,'Tabela de Jogos'!$A:$J,8,FALSE),"")</f>
        <v/>
      </c>
      <c r="I82">
        <f>IFERROR(VLOOKUP($C82,'Tabela de Jogos'!$A:$J,9,FALSE),"")</f>
        <v/>
      </c>
      <c r="J82" s="2">
        <f>IF(OR($F82="",$G82="",$H82="",$I82=""),"",IF(AND($F82=$H82,$G82=$I82),3,IF(SIGN($F82-$G82)=SIGN($H82-$I82),1,0)))</f>
        <v/>
      </c>
      <c r="K82" s="2">
        <f>IF($J82="","",IF($J82=3,"Exact",IF($J82=1,"Correct","Miss")))</f>
        <v/>
      </c>
    </row>
    <row r="83">
      <c r="A83" t="n">
        <v>82</v>
      </c>
      <c r="D83" s="2">
        <f>IFERROR(VLOOKUP($C83,'Tabela de Jogos'!$A:$J,4,FALSE),"")</f>
        <v/>
      </c>
      <c r="E83" s="2">
        <f>IFERROR(VLOOKUP($C83,'Tabela de Jogos'!$A:$J,5,FALSE),"")</f>
        <v/>
      </c>
      <c r="F83" s="2" t="n"/>
      <c r="G83" s="2" t="n"/>
      <c r="H83">
        <f>IFERROR(VLOOKUP($C83,'Tabela de Jogos'!$A:$J,8,FALSE),"")</f>
        <v/>
      </c>
      <c r="I83">
        <f>IFERROR(VLOOKUP($C83,'Tabela de Jogos'!$A:$J,9,FALSE),"")</f>
        <v/>
      </c>
      <c r="J83" s="2">
        <f>IF(OR($F83="",$G83="",$H83="",$I83=""),"",IF(AND($F83=$H83,$G83=$I83),3,IF(SIGN($F83-$G83)=SIGN($H83-$I83),1,0)))</f>
        <v/>
      </c>
      <c r="K83" s="2">
        <f>IF($J83="","",IF($J83=3,"Exact",IF($J83=1,"Correct","Miss")))</f>
        <v/>
      </c>
    </row>
    <row r="84">
      <c r="A84" t="n">
        <v>83</v>
      </c>
      <c r="D84" s="2">
        <f>IFERROR(VLOOKUP($C84,'Tabela de Jogos'!$A:$J,4,FALSE),"")</f>
        <v/>
      </c>
      <c r="E84" s="2">
        <f>IFERROR(VLOOKUP($C84,'Tabela de Jogos'!$A:$J,5,FALSE),"")</f>
        <v/>
      </c>
      <c r="F84" s="2" t="n"/>
      <c r="G84" s="2" t="n"/>
      <c r="H84">
        <f>IFERROR(VLOOKUP($C84,'Tabela de Jogos'!$A:$J,8,FALSE),"")</f>
        <v/>
      </c>
      <c r="I84">
        <f>IFERROR(VLOOKUP($C84,'Tabela de Jogos'!$A:$J,9,FALSE),"")</f>
        <v/>
      </c>
      <c r="J84" s="2">
        <f>IF(OR($F84="",$G84="",$H84="",$I84=""),"",IF(AND($F84=$H84,$G84=$I84),3,IF(SIGN($F84-$G84)=SIGN($H84-$I84),1,0)))</f>
        <v/>
      </c>
      <c r="K84" s="2">
        <f>IF($J84="","",IF($J84=3,"Exact",IF($J84=1,"Correct","Miss")))</f>
        <v/>
      </c>
    </row>
    <row r="85">
      <c r="A85" t="n">
        <v>84</v>
      </c>
      <c r="D85" s="2">
        <f>IFERROR(VLOOKUP($C85,'Tabela de Jogos'!$A:$J,4,FALSE),"")</f>
        <v/>
      </c>
      <c r="E85" s="2">
        <f>IFERROR(VLOOKUP($C85,'Tabela de Jogos'!$A:$J,5,FALSE),"")</f>
        <v/>
      </c>
      <c r="F85" s="2" t="n"/>
      <c r="G85" s="2" t="n"/>
      <c r="H85">
        <f>IFERROR(VLOOKUP($C85,'Tabela de Jogos'!$A:$J,8,FALSE),"")</f>
        <v/>
      </c>
      <c r="I85">
        <f>IFERROR(VLOOKUP($C85,'Tabela de Jogos'!$A:$J,9,FALSE),"")</f>
        <v/>
      </c>
      <c r="J85" s="2">
        <f>IF(OR($F85="",$G85="",$H85="",$I85=""),"",IF(AND($F85=$H85,$G85=$I85),3,IF(SIGN($F85-$G85)=SIGN($H85-$I85),1,0)))</f>
        <v/>
      </c>
      <c r="K85" s="2">
        <f>IF($J85="","",IF($J85=3,"Exact",IF($J85=1,"Correct","Miss")))</f>
        <v/>
      </c>
    </row>
    <row r="86">
      <c r="A86" t="n">
        <v>85</v>
      </c>
      <c r="D86" s="2">
        <f>IFERROR(VLOOKUP($C86,'Tabela de Jogos'!$A:$J,4,FALSE),"")</f>
        <v/>
      </c>
      <c r="E86" s="2">
        <f>IFERROR(VLOOKUP($C86,'Tabela de Jogos'!$A:$J,5,FALSE),"")</f>
        <v/>
      </c>
      <c r="F86" s="2" t="n"/>
      <c r="G86" s="2" t="n"/>
      <c r="H86">
        <f>IFERROR(VLOOKUP($C86,'Tabela de Jogos'!$A:$J,8,FALSE),"")</f>
        <v/>
      </c>
      <c r="I86">
        <f>IFERROR(VLOOKUP($C86,'Tabela de Jogos'!$A:$J,9,FALSE),"")</f>
        <v/>
      </c>
      <c r="J86" s="2">
        <f>IF(OR($F86="",$G86="",$H86="",$I86=""),"",IF(AND($F86=$H86,$G86=$I86),3,IF(SIGN($F86-$G86)=SIGN($H86-$I86),1,0)))</f>
        <v/>
      </c>
      <c r="K86" s="2">
        <f>IF($J86="","",IF($J86=3,"Exact",IF($J86=1,"Correct","Miss")))</f>
        <v/>
      </c>
    </row>
    <row r="87">
      <c r="A87" t="n">
        <v>86</v>
      </c>
      <c r="D87" s="2">
        <f>IFERROR(VLOOKUP($C87,'Tabela de Jogos'!$A:$J,4,FALSE),"")</f>
        <v/>
      </c>
      <c r="E87" s="2">
        <f>IFERROR(VLOOKUP($C87,'Tabela de Jogos'!$A:$J,5,FALSE),"")</f>
        <v/>
      </c>
      <c r="F87" s="2" t="n"/>
      <c r="G87" s="2" t="n"/>
      <c r="H87">
        <f>IFERROR(VLOOKUP($C87,'Tabela de Jogos'!$A:$J,8,FALSE),"")</f>
        <v/>
      </c>
      <c r="I87">
        <f>IFERROR(VLOOKUP($C87,'Tabela de Jogos'!$A:$J,9,FALSE),"")</f>
        <v/>
      </c>
      <c r="J87" s="2">
        <f>IF(OR($F87="",$G87="",$H87="",$I87=""),"",IF(AND($F87=$H87,$G87=$I87),3,IF(SIGN($F87-$G87)=SIGN($H87-$I87),1,0)))</f>
        <v/>
      </c>
      <c r="K87" s="2">
        <f>IF($J87="","",IF($J87=3,"Exact",IF($J87=1,"Correct","Miss")))</f>
        <v/>
      </c>
    </row>
    <row r="88">
      <c r="A88" t="n">
        <v>87</v>
      </c>
      <c r="D88" s="2">
        <f>IFERROR(VLOOKUP($C88,'Tabela de Jogos'!$A:$J,4,FALSE),"")</f>
        <v/>
      </c>
      <c r="E88" s="2">
        <f>IFERROR(VLOOKUP($C88,'Tabela de Jogos'!$A:$J,5,FALSE),"")</f>
        <v/>
      </c>
      <c r="F88" s="2" t="n"/>
      <c r="G88" s="2" t="n"/>
      <c r="H88">
        <f>IFERROR(VLOOKUP($C88,'Tabela de Jogos'!$A:$J,8,FALSE),"")</f>
        <v/>
      </c>
      <c r="I88">
        <f>IFERROR(VLOOKUP($C88,'Tabela de Jogos'!$A:$J,9,FALSE),"")</f>
        <v/>
      </c>
      <c r="J88" s="2">
        <f>IF(OR($F88="",$G88="",$H88="",$I88=""),"",IF(AND($F88=$H88,$G88=$I88),3,IF(SIGN($F88-$G88)=SIGN($H88-$I88),1,0)))</f>
        <v/>
      </c>
      <c r="K88" s="2">
        <f>IF($J88="","",IF($J88=3,"Exact",IF($J88=1,"Correct","Miss")))</f>
        <v/>
      </c>
    </row>
    <row r="89">
      <c r="A89" t="n">
        <v>88</v>
      </c>
      <c r="D89" s="2">
        <f>IFERROR(VLOOKUP($C89,'Tabela de Jogos'!$A:$J,4,FALSE),"")</f>
        <v/>
      </c>
      <c r="E89" s="2">
        <f>IFERROR(VLOOKUP($C89,'Tabela de Jogos'!$A:$J,5,FALSE),"")</f>
        <v/>
      </c>
      <c r="F89" s="2" t="n"/>
      <c r="G89" s="2" t="n"/>
      <c r="H89">
        <f>IFERROR(VLOOKUP($C89,'Tabela de Jogos'!$A:$J,8,FALSE),"")</f>
        <v/>
      </c>
      <c r="I89">
        <f>IFERROR(VLOOKUP($C89,'Tabela de Jogos'!$A:$J,9,FALSE),"")</f>
        <v/>
      </c>
      <c r="J89" s="2">
        <f>IF(OR($F89="",$G89="",$H89="",$I89=""),"",IF(AND($F89=$H89,$G89=$I89),3,IF(SIGN($F89-$G89)=SIGN($H89-$I89),1,0)))</f>
        <v/>
      </c>
      <c r="K89" s="2">
        <f>IF($J89="","",IF($J89=3,"Exact",IF($J89=1,"Correct","Miss")))</f>
        <v/>
      </c>
    </row>
    <row r="90">
      <c r="A90" t="n">
        <v>89</v>
      </c>
      <c r="D90" s="2">
        <f>IFERROR(VLOOKUP($C90,'Tabela de Jogos'!$A:$J,4,FALSE),"")</f>
        <v/>
      </c>
      <c r="E90" s="2">
        <f>IFERROR(VLOOKUP($C90,'Tabela de Jogos'!$A:$J,5,FALSE),"")</f>
        <v/>
      </c>
      <c r="F90" s="2" t="n"/>
      <c r="G90" s="2" t="n"/>
      <c r="H90">
        <f>IFERROR(VLOOKUP($C90,'Tabela de Jogos'!$A:$J,8,FALSE),"")</f>
        <v/>
      </c>
      <c r="I90">
        <f>IFERROR(VLOOKUP($C90,'Tabela de Jogos'!$A:$J,9,FALSE),"")</f>
        <v/>
      </c>
      <c r="J90" s="2">
        <f>IF(OR($F90="",$G90="",$H90="",$I90=""),"",IF(AND($F90=$H90,$G90=$I90),3,IF(SIGN($F90-$G90)=SIGN($H90-$I90),1,0)))</f>
        <v/>
      </c>
      <c r="K90" s="2">
        <f>IF($J90="","",IF($J90=3,"Exact",IF($J90=1,"Correct","Miss")))</f>
        <v/>
      </c>
    </row>
    <row r="91">
      <c r="A91" t="n">
        <v>90</v>
      </c>
      <c r="D91" s="2">
        <f>IFERROR(VLOOKUP($C91,'Tabela de Jogos'!$A:$J,4,FALSE),"")</f>
        <v/>
      </c>
      <c r="E91" s="2">
        <f>IFERROR(VLOOKUP($C91,'Tabela de Jogos'!$A:$J,5,FALSE),"")</f>
        <v/>
      </c>
      <c r="F91" s="2" t="n"/>
      <c r="G91" s="2" t="n"/>
      <c r="H91">
        <f>IFERROR(VLOOKUP($C91,'Tabela de Jogos'!$A:$J,8,FALSE),"")</f>
        <v/>
      </c>
      <c r="I91">
        <f>IFERROR(VLOOKUP($C91,'Tabela de Jogos'!$A:$J,9,FALSE),"")</f>
        <v/>
      </c>
      <c r="J91" s="2">
        <f>IF(OR($F91="",$G91="",$H91="",$I91=""),"",IF(AND($F91=$H91,$G91=$I91),3,IF(SIGN($F91-$G91)=SIGN($H91-$I91),1,0)))</f>
        <v/>
      </c>
      <c r="K91" s="2">
        <f>IF($J91="","",IF($J91=3,"Exact",IF($J91=1,"Correct","Miss")))</f>
        <v/>
      </c>
    </row>
    <row r="92">
      <c r="A92" t="n">
        <v>91</v>
      </c>
      <c r="D92" s="2">
        <f>IFERROR(VLOOKUP($C92,'Tabela de Jogos'!$A:$J,4,FALSE),"")</f>
        <v/>
      </c>
      <c r="E92" s="2">
        <f>IFERROR(VLOOKUP($C92,'Tabela de Jogos'!$A:$J,5,FALSE),"")</f>
        <v/>
      </c>
      <c r="F92" s="2" t="n"/>
      <c r="G92" s="2" t="n"/>
      <c r="H92">
        <f>IFERROR(VLOOKUP($C92,'Tabela de Jogos'!$A:$J,8,FALSE),"")</f>
        <v/>
      </c>
      <c r="I92">
        <f>IFERROR(VLOOKUP($C92,'Tabela de Jogos'!$A:$J,9,FALSE),"")</f>
        <v/>
      </c>
      <c r="J92" s="2">
        <f>IF(OR($F92="",$G92="",$H92="",$I92=""),"",IF(AND($F92=$H92,$G92=$I92),3,IF(SIGN($F92-$G92)=SIGN($H92-$I92),1,0)))</f>
        <v/>
      </c>
      <c r="K92" s="2">
        <f>IF($J92="","",IF($J92=3,"Exact",IF($J92=1,"Correct","Miss")))</f>
        <v/>
      </c>
    </row>
    <row r="93">
      <c r="A93" t="n">
        <v>92</v>
      </c>
      <c r="D93" s="2">
        <f>IFERROR(VLOOKUP($C93,'Tabela de Jogos'!$A:$J,4,FALSE),"")</f>
        <v/>
      </c>
      <c r="E93" s="2">
        <f>IFERROR(VLOOKUP($C93,'Tabela de Jogos'!$A:$J,5,FALSE),"")</f>
        <v/>
      </c>
      <c r="F93" s="2" t="n"/>
      <c r="G93" s="2" t="n"/>
      <c r="H93">
        <f>IFERROR(VLOOKUP($C93,'Tabela de Jogos'!$A:$J,8,FALSE),"")</f>
        <v/>
      </c>
      <c r="I93">
        <f>IFERROR(VLOOKUP($C93,'Tabela de Jogos'!$A:$J,9,FALSE),"")</f>
        <v/>
      </c>
      <c r="J93" s="2">
        <f>IF(OR($F93="",$G93="",$H93="",$I93=""),"",IF(AND($F93=$H93,$G93=$I93),3,IF(SIGN($F93-$G93)=SIGN($H93-$I93),1,0)))</f>
        <v/>
      </c>
      <c r="K93" s="2">
        <f>IF($J93="","",IF($J93=3,"Exact",IF($J93=1,"Correct","Miss")))</f>
        <v/>
      </c>
    </row>
    <row r="94">
      <c r="A94" t="n">
        <v>93</v>
      </c>
      <c r="D94" s="2">
        <f>IFERROR(VLOOKUP($C94,'Tabela de Jogos'!$A:$J,4,FALSE),"")</f>
        <v/>
      </c>
      <c r="E94" s="2">
        <f>IFERROR(VLOOKUP($C94,'Tabela de Jogos'!$A:$J,5,FALSE),"")</f>
        <v/>
      </c>
      <c r="F94" s="2" t="n"/>
      <c r="G94" s="2" t="n"/>
      <c r="H94">
        <f>IFERROR(VLOOKUP($C94,'Tabela de Jogos'!$A:$J,8,FALSE),"")</f>
        <v/>
      </c>
      <c r="I94">
        <f>IFERROR(VLOOKUP($C94,'Tabela de Jogos'!$A:$J,9,FALSE),"")</f>
        <v/>
      </c>
      <c r="J94" s="2">
        <f>IF(OR($F94="",$G94="",$H94="",$I94=""),"",IF(AND($F94=$H94,$G94=$I94),3,IF(SIGN($F94-$G94)=SIGN($H94-$I94),1,0)))</f>
        <v/>
      </c>
      <c r="K94" s="2">
        <f>IF($J94="","",IF($J94=3,"Exact",IF($J94=1,"Correct","Miss")))</f>
        <v/>
      </c>
    </row>
    <row r="95">
      <c r="A95" t="n">
        <v>94</v>
      </c>
      <c r="D95" s="2">
        <f>IFERROR(VLOOKUP($C95,'Tabela de Jogos'!$A:$J,4,FALSE),"")</f>
        <v/>
      </c>
      <c r="E95" s="2">
        <f>IFERROR(VLOOKUP($C95,'Tabela de Jogos'!$A:$J,5,FALSE),"")</f>
        <v/>
      </c>
      <c r="F95" s="2" t="n"/>
      <c r="G95" s="2" t="n"/>
      <c r="H95">
        <f>IFERROR(VLOOKUP($C95,'Tabela de Jogos'!$A:$J,8,FALSE),"")</f>
        <v/>
      </c>
      <c r="I95">
        <f>IFERROR(VLOOKUP($C95,'Tabela de Jogos'!$A:$J,9,FALSE),"")</f>
        <v/>
      </c>
      <c r="J95" s="2">
        <f>IF(OR($F95="",$G95="",$H95="",$I95=""),"",IF(AND($F95=$H95,$G95=$I95),3,IF(SIGN($F95-$G95)=SIGN($H95-$I95),1,0)))</f>
        <v/>
      </c>
      <c r="K95" s="2">
        <f>IF($J95="","",IF($J95=3,"Exact",IF($J95=1,"Correct","Miss")))</f>
        <v/>
      </c>
    </row>
    <row r="96">
      <c r="A96" t="n">
        <v>95</v>
      </c>
      <c r="D96" s="2">
        <f>IFERROR(VLOOKUP($C96,'Tabela de Jogos'!$A:$J,4,FALSE),"")</f>
        <v/>
      </c>
      <c r="E96" s="2">
        <f>IFERROR(VLOOKUP($C96,'Tabela de Jogos'!$A:$J,5,FALSE),"")</f>
        <v/>
      </c>
      <c r="F96" s="2" t="n"/>
      <c r="G96" s="2" t="n"/>
      <c r="H96">
        <f>IFERROR(VLOOKUP($C96,'Tabela de Jogos'!$A:$J,8,FALSE),"")</f>
        <v/>
      </c>
      <c r="I96">
        <f>IFERROR(VLOOKUP($C96,'Tabela de Jogos'!$A:$J,9,FALSE),"")</f>
        <v/>
      </c>
      <c r="J96" s="2">
        <f>IF(OR($F96="",$G96="",$H96="",$I96=""),"",IF(AND($F96=$H96,$G96=$I96),3,IF(SIGN($F96-$G96)=SIGN($H96-$I96),1,0)))</f>
        <v/>
      </c>
      <c r="K96" s="2">
        <f>IF($J96="","",IF($J96=3,"Exact",IF($J96=1,"Correct","Miss")))</f>
        <v/>
      </c>
    </row>
    <row r="97">
      <c r="A97" t="n">
        <v>96</v>
      </c>
      <c r="D97" s="2">
        <f>IFERROR(VLOOKUP($C97,'Tabela de Jogos'!$A:$J,4,FALSE),"")</f>
        <v/>
      </c>
      <c r="E97" s="2">
        <f>IFERROR(VLOOKUP($C97,'Tabela de Jogos'!$A:$J,5,FALSE),"")</f>
        <v/>
      </c>
      <c r="F97" s="2" t="n"/>
      <c r="G97" s="2" t="n"/>
      <c r="H97">
        <f>IFERROR(VLOOKUP($C97,'Tabela de Jogos'!$A:$J,8,FALSE),"")</f>
        <v/>
      </c>
      <c r="I97">
        <f>IFERROR(VLOOKUP($C97,'Tabela de Jogos'!$A:$J,9,FALSE),"")</f>
        <v/>
      </c>
      <c r="J97" s="2">
        <f>IF(OR($F97="",$G97="",$H97="",$I97=""),"",IF(AND($F97=$H97,$G97=$I97),3,IF(SIGN($F97-$G97)=SIGN($H97-$I97),1,0)))</f>
        <v/>
      </c>
      <c r="K97" s="2">
        <f>IF($J97="","",IF($J97=3,"Exact",IF($J97=1,"Correct","Miss")))</f>
        <v/>
      </c>
    </row>
    <row r="98">
      <c r="A98" t="n">
        <v>97</v>
      </c>
      <c r="D98" s="2">
        <f>IFERROR(VLOOKUP($C98,'Tabela de Jogos'!$A:$J,4,FALSE),"")</f>
        <v/>
      </c>
      <c r="E98" s="2">
        <f>IFERROR(VLOOKUP($C98,'Tabela de Jogos'!$A:$J,5,FALSE),"")</f>
        <v/>
      </c>
      <c r="F98" s="2" t="n"/>
      <c r="G98" s="2" t="n"/>
      <c r="H98">
        <f>IFERROR(VLOOKUP($C98,'Tabela de Jogos'!$A:$J,8,FALSE),"")</f>
        <v/>
      </c>
      <c r="I98">
        <f>IFERROR(VLOOKUP($C98,'Tabela de Jogos'!$A:$J,9,FALSE),"")</f>
        <v/>
      </c>
      <c r="J98" s="2">
        <f>IF(OR($F98="",$G98="",$H98="",$I98=""),"",IF(AND($F98=$H98,$G98=$I98),3,IF(SIGN($F98-$G98)=SIGN($H98-$I98),1,0)))</f>
        <v/>
      </c>
      <c r="K98" s="2">
        <f>IF($J98="","",IF($J98=3,"Exact",IF($J98=1,"Correct","Miss")))</f>
        <v/>
      </c>
    </row>
    <row r="99">
      <c r="A99" t="n">
        <v>98</v>
      </c>
      <c r="D99" s="2">
        <f>IFERROR(VLOOKUP($C99,'Tabela de Jogos'!$A:$J,4,FALSE),"")</f>
        <v/>
      </c>
      <c r="E99" s="2">
        <f>IFERROR(VLOOKUP($C99,'Tabela de Jogos'!$A:$J,5,FALSE),"")</f>
        <v/>
      </c>
      <c r="F99" s="2" t="n"/>
      <c r="G99" s="2" t="n"/>
      <c r="H99">
        <f>IFERROR(VLOOKUP($C99,'Tabela de Jogos'!$A:$J,8,FALSE),"")</f>
        <v/>
      </c>
      <c r="I99">
        <f>IFERROR(VLOOKUP($C99,'Tabela de Jogos'!$A:$J,9,FALSE),"")</f>
        <v/>
      </c>
      <c r="J99" s="2">
        <f>IF(OR($F99="",$G99="",$H99="",$I99=""),"",IF(AND($F99=$H99,$G99=$I99),3,IF(SIGN($F99-$G99)=SIGN($H99-$I99),1,0)))</f>
        <v/>
      </c>
      <c r="K99" s="2">
        <f>IF($J99="","",IF($J99=3,"Exact",IF($J99=1,"Correct","Miss")))</f>
        <v/>
      </c>
    </row>
    <row r="100">
      <c r="A100" t="n">
        <v>99</v>
      </c>
      <c r="D100" s="2">
        <f>IFERROR(VLOOKUP($C100,'Tabela de Jogos'!$A:$J,4,FALSE),"")</f>
        <v/>
      </c>
      <c r="E100" s="2">
        <f>IFERROR(VLOOKUP($C100,'Tabela de Jogos'!$A:$J,5,FALSE),"")</f>
        <v/>
      </c>
      <c r="F100" s="2" t="n"/>
      <c r="G100" s="2" t="n"/>
      <c r="H100">
        <f>IFERROR(VLOOKUP($C100,'Tabela de Jogos'!$A:$J,8,FALSE),"")</f>
        <v/>
      </c>
      <c r="I100">
        <f>IFERROR(VLOOKUP($C100,'Tabela de Jogos'!$A:$J,9,FALSE),"")</f>
        <v/>
      </c>
      <c r="J100" s="2">
        <f>IF(OR($F100="",$G100="",$H100="",$I100=""),"",IF(AND($F100=$H100,$G100=$I100),3,IF(SIGN($F100-$G100)=SIGN($H100-$I100),1,0)))</f>
        <v/>
      </c>
      <c r="K100" s="2">
        <f>IF($J100="","",IF($J100=3,"Exact",IF($J100=1,"Correct","Miss")))</f>
        <v/>
      </c>
    </row>
    <row r="101">
      <c r="A101" t="n">
        <v>100</v>
      </c>
      <c r="D101" s="2">
        <f>IFERROR(VLOOKUP($C101,'Tabela de Jogos'!$A:$J,4,FALSE),"")</f>
        <v/>
      </c>
      <c r="E101" s="2">
        <f>IFERROR(VLOOKUP($C101,'Tabela de Jogos'!$A:$J,5,FALSE),"")</f>
        <v/>
      </c>
      <c r="F101" s="2" t="n"/>
      <c r="G101" s="2" t="n"/>
      <c r="H101">
        <f>IFERROR(VLOOKUP($C101,'Tabela de Jogos'!$A:$J,8,FALSE),"")</f>
        <v/>
      </c>
      <c r="I101">
        <f>IFERROR(VLOOKUP($C101,'Tabela de Jogos'!$A:$J,9,FALSE),"")</f>
        <v/>
      </c>
      <c r="J101" s="2">
        <f>IF(OR($F101="",$G101="",$H101="",$I101=""),"",IF(AND($F101=$H101,$G101=$I101),3,IF(SIGN($F101-$G101)=SIGN($H101-$I101),1,0)))</f>
        <v/>
      </c>
      <c r="K101" s="2">
        <f>IF($J101="","",IF($J101=3,"Exact",IF($J101=1,"Correct","Miss")))</f>
        <v/>
      </c>
    </row>
    <row r="102">
      <c r="A102" t="n">
        <v>101</v>
      </c>
      <c r="D102" s="2">
        <f>IFERROR(VLOOKUP($C102,'Tabela de Jogos'!$A:$J,4,FALSE),"")</f>
        <v/>
      </c>
      <c r="E102" s="2">
        <f>IFERROR(VLOOKUP($C102,'Tabela de Jogos'!$A:$J,5,FALSE),"")</f>
        <v/>
      </c>
      <c r="F102" s="2" t="n"/>
      <c r="G102" s="2" t="n"/>
      <c r="H102">
        <f>IFERROR(VLOOKUP($C102,'Tabela de Jogos'!$A:$J,8,FALSE),"")</f>
        <v/>
      </c>
      <c r="I102">
        <f>IFERROR(VLOOKUP($C102,'Tabela de Jogos'!$A:$J,9,FALSE),"")</f>
        <v/>
      </c>
      <c r="J102" s="2">
        <f>IF(OR($F102="",$G102="",$H102="",$I102=""),"",IF(AND($F102=$H102,$G102=$I102),3,IF(SIGN($F102-$G102)=SIGN($H102-$I102),1,0)))</f>
        <v/>
      </c>
      <c r="K102" s="2">
        <f>IF($J102="","",IF($J102=3,"Exact",IF($J102=1,"Correct","Miss")))</f>
        <v/>
      </c>
    </row>
    <row r="103">
      <c r="A103" t="n">
        <v>102</v>
      </c>
      <c r="D103" s="2">
        <f>IFERROR(VLOOKUP($C103,'Tabela de Jogos'!$A:$J,4,FALSE),"")</f>
        <v/>
      </c>
      <c r="E103" s="2">
        <f>IFERROR(VLOOKUP($C103,'Tabela de Jogos'!$A:$J,5,FALSE),"")</f>
        <v/>
      </c>
      <c r="F103" s="2" t="n"/>
      <c r="G103" s="2" t="n"/>
      <c r="H103">
        <f>IFERROR(VLOOKUP($C103,'Tabela de Jogos'!$A:$J,8,FALSE),"")</f>
        <v/>
      </c>
      <c r="I103">
        <f>IFERROR(VLOOKUP($C103,'Tabela de Jogos'!$A:$J,9,FALSE),"")</f>
        <v/>
      </c>
      <c r="J103" s="2">
        <f>IF(OR($F103="",$G103="",$H103="",$I103=""),"",IF(AND($F103=$H103,$G103=$I103),3,IF(SIGN($F103-$G103)=SIGN($H103-$I103),1,0)))</f>
        <v/>
      </c>
      <c r="K103" s="2">
        <f>IF($J103="","",IF($J103=3,"Exact",IF($J103=1,"Correct","Miss")))</f>
        <v/>
      </c>
    </row>
    <row r="104">
      <c r="A104" t="n">
        <v>103</v>
      </c>
      <c r="D104" s="2">
        <f>IFERROR(VLOOKUP($C104,'Tabela de Jogos'!$A:$J,4,FALSE),"")</f>
        <v/>
      </c>
      <c r="E104" s="2">
        <f>IFERROR(VLOOKUP($C104,'Tabela de Jogos'!$A:$J,5,FALSE),"")</f>
        <v/>
      </c>
      <c r="F104" s="2" t="n"/>
      <c r="G104" s="2" t="n"/>
      <c r="H104">
        <f>IFERROR(VLOOKUP($C104,'Tabela de Jogos'!$A:$J,8,FALSE),"")</f>
        <v/>
      </c>
      <c r="I104">
        <f>IFERROR(VLOOKUP($C104,'Tabela de Jogos'!$A:$J,9,FALSE),"")</f>
        <v/>
      </c>
      <c r="J104" s="2">
        <f>IF(OR($F104="",$G104="",$H104="",$I104=""),"",IF(AND($F104=$H104,$G104=$I104),3,IF(SIGN($F104-$G104)=SIGN($H104-$I104),1,0)))</f>
        <v/>
      </c>
      <c r="K104" s="2">
        <f>IF($J104="","",IF($J104=3,"Exact",IF($J104=1,"Correct","Miss")))</f>
        <v/>
      </c>
    </row>
    <row r="105">
      <c r="A105" t="n">
        <v>104</v>
      </c>
      <c r="D105" s="2">
        <f>IFERROR(VLOOKUP($C105,'Tabela de Jogos'!$A:$J,4,FALSE),"")</f>
        <v/>
      </c>
      <c r="E105" s="2">
        <f>IFERROR(VLOOKUP($C105,'Tabela de Jogos'!$A:$J,5,FALSE),"")</f>
        <v/>
      </c>
      <c r="F105" s="2" t="n"/>
      <c r="G105" s="2" t="n"/>
      <c r="H105">
        <f>IFERROR(VLOOKUP($C105,'Tabela de Jogos'!$A:$J,8,FALSE),"")</f>
        <v/>
      </c>
      <c r="I105">
        <f>IFERROR(VLOOKUP($C105,'Tabela de Jogos'!$A:$J,9,FALSE),"")</f>
        <v/>
      </c>
      <c r="J105" s="2">
        <f>IF(OR($F105="",$G105="",$H105="",$I105=""),"",IF(AND($F105=$H105,$G105=$I105),3,IF(SIGN($F105-$G105)=SIGN($H105-$I105),1,0)))</f>
        <v/>
      </c>
      <c r="K105" s="2">
        <f>IF($J105="","",IF($J105=3,"Exact",IF($J105=1,"Correct","Miss")))</f>
        <v/>
      </c>
    </row>
    <row r="106">
      <c r="A106" t="n">
        <v>105</v>
      </c>
      <c r="D106" s="2">
        <f>IFERROR(VLOOKUP($C106,'Tabela de Jogos'!$A:$J,4,FALSE),"")</f>
        <v/>
      </c>
      <c r="E106" s="2">
        <f>IFERROR(VLOOKUP($C106,'Tabela de Jogos'!$A:$J,5,FALSE),"")</f>
        <v/>
      </c>
      <c r="F106" s="2" t="n"/>
      <c r="G106" s="2" t="n"/>
      <c r="H106">
        <f>IFERROR(VLOOKUP($C106,'Tabela de Jogos'!$A:$J,8,FALSE),"")</f>
        <v/>
      </c>
      <c r="I106">
        <f>IFERROR(VLOOKUP($C106,'Tabela de Jogos'!$A:$J,9,FALSE),"")</f>
        <v/>
      </c>
      <c r="J106" s="2">
        <f>IF(OR($F106="",$G106="",$H106="",$I106=""),"",IF(AND($F106=$H106,$G106=$I106),3,IF(SIGN($F106-$G106)=SIGN($H106-$I106),1,0)))</f>
        <v/>
      </c>
      <c r="K106" s="2">
        <f>IF($J106="","",IF($J106=3,"Exact",IF($J106=1,"Correct","Miss")))</f>
        <v/>
      </c>
    </row>
    <row r="107">
      <c r="A107" t="n">
        <v>106</v>
      </c>
      <c r="D107" s="2">
        <f>IFERROR(VLOOKUP($C107,'Tabela de Jogos'!$A:$J,4,FALSE),"")</f>
        <v/>
      </c>
      <c r="E107" s="2">
        <f>IFERROR(VLOOKUP($C107,'Tabela de Jogos'!$A:$J,5,FALSE),"")</f>
        <v/>
      </c>
      <c r="F107" s="2" t="n"/>
      <c r="G107" s="2" t="n"/>
      <c r="H107">
        <f>IFERROR(VLOOKUP($C107,'Tabela de Jogos'!$A:$J,8,FALSE),"")</f>
        <v/>
      </c>
      <c r="I107">
        <f>IFERROR(VLOOKUP($C107,'Tabela de Jogos'!$A:$J,9,FALSE),"")</f>
        <v/>
      </c>
      <c r="J107" s="2">
        <f>IF(OR($F107="",$G107="",$H107="",$I107=""),"",IF(AND($F107=$H107,$G107=$I107),3,IF(SIGN($F107-$G107)=SIGN($H107-$I107),1,0)))</f>
        <v/>
      </c>
      <c r="K107" s="2">
        <f>IF($J107="","",IF($J107=3,"Exact",IF($J107=1,"Correct","Miss")))</f>
        <v/>
      </c>
    </row>
    <row r="108">
      <c r="A108" t="n">
        <v>107</v>
      </c>
      <c r="D108" s="2">
        <f>IFERROR(VLOOKUP($C108,'Tabela de Jogos'!$A:$J,4,FALSE),"")</f>
        <v/>
      </c>
      <c r="E108" s="2">
        <f>IFERROR(VLOOKUP($C108,'Tabela de Jogos'!$A:$J,5,FALSE),"")</f>
        <v/>
      </c>
      <c r="F108" s="2" t="n"/>
      <c r="G108" s="2" t="n"/>
      <c r="H108">
        <f>IFERROR(VLOOKUP($C108,'Tabela de Jogos'!$A:$J,8,FALSE),"")</f>
        <v/>
      </c>
      <c r="I108">
        <f>IFERROR(VLOOKUP($C108,'Tabela de Jogos'!$A:$J,9,FALSE),"")</f>
        <v/>
      </c>
      <c r="J108" s="2">
        <f>IF(OR($F108="",$G108="",$H108="",$I108=""),"",IF(AND($F108=$H108,$G108=$I108),3,IF(SIGN($F108-$G108)=SIGN($H108-$I108),1,0)))</f>
        <v/>
      </c>
      <c r="K108" s="2">
        <f>IF($J108="","",IF($J108=3,"Exact",IF($J108=1,"Correct","Miss")))</f>
        <v/>
      </c>
    </row>
    <row r="109">
      <c r="A109" t="n">
        <v>108</v>
      </c>
      <c r="D109" s="2">
        <f>IFERROR(VLOOKUP($C109,'Tabela de Jogos'!$A:$J,4,FALSE),"")</f>
        <v/>
      </c>
      <c r="E109" s="2">
        <f>IFERROR(VLOOKUP($C109,'Tabela de Jogos'!$A:$J,5,FALSE),"")</f>
        <v/>
      </c>
      <c r="F109" s="2" t="n"/>
      <c r="G109" s="2" t="n"/>
      <c r="H109">
        <f>IFERROR(VLOOKUP($C109,'Tabela de Jogos'!$A:$J,8,FALSE),"")</f>
        <v/>
      </c>
      <c r="I109">
        <f>IFERROR(VLOOKUP($C109,'Tabela de Jogos'!$A:$J,9,FALSE),"")</f>
        <v/>
      </c>
      <c r="J109" s="2">
        <f>IF(OR($F109="",$G109="",$H109="",$I109=""),"",IF(AND($F109=$H109,$G109=$I109),3,IF(SIGN($F109-$G109)=SIGN($H109-$I109),1,0)))</f>
        <v/>
      </c>
      <c r="K109" s="2">
        <f>IF($J109="","",IF($J109=3,"Exact",IF($J109=1,"Correct","Miss")))</f>
        <v/>
      </c>
    </row>
    <row r="110">
      <c r="A110" t="n">
        <v>109</v>
      </c>
      <c r="D110" s="2">
        <f>IFERROR(VLOOKUP($C110,'Tabela de Jogos'!$A:$J,4,FALSE),"")</f>
        <v/>
      </c>
      <c r="E110" s="2">
        <f>IFERROR(VLOOKUP($C110,'Tabela de Jogos'!$A:$J,5,FALSE),"")</f>
        <v/>
      </c>
      <c r="F110" s="2" t="n"/>
      <c r="G110" s="2" t="n"/>
      <c r="H110">
        <f>IFERROR(VLOOKUP($C110,'Tabela de Jogos'!$A:$J,8,FALSE),"")</f>
        <v/>
      </c>
      <c r="I110">
        <f>IFERROR(VLOOKUP($C110,'Tabela de Jogos'!$A:$J,9,FALSE),"")</f>
        <v/>
      </c>
      <c r="J110" s="2">
        <f>IF(OR($F110="",$G110="",$H110="",$I110=""),"",IF(AND($F110=$H110,$G110=$I110),3,IF(SIGN($F110-$G110)=SIGN($H110-$I110),1,0)))</f>
        <v/>
      </c>
      <c r="K110" s="2">
        <f>IF($J110="","",IF($J110=3,"Exact",IF($J110=1,"Correct","Miss")))</f>
        <v/>
      </c>
    </row>
    <row r="111">
      <c r="A111" t="n">
        <v>110</v>
      </c>
      <c r="D111" s="2">
        <f>IFERROR(VLOOKUP($C111,'Tabela de Jogos'!$A:$J,4,FALSE),"")</f>
        <v/>
      </c>
      <c r="E111" s="2">
        <f>IFERROR(VLOOKUP($C111,'Tabela de Jogos'!$A:$J,5,FALSE),"")</f>
        <v/>
      </c>
      <c r="F111" s="2" t="n"/>
      <c r="G111" s="2" t="n"/>
      <c r="H111">
        <f>IFERROR(VLOOKUP($C111,'Tabela de Jogos'!$A:$J,8,FALSE),"")</f>
        <v/>
      </c>
      <c r="I111">
        <f>IFERROR(VLOOKUP($C111,'Tabela de Jogos'!$A:$J,9,FALSE),"")</f>
        <v/>
      </c>
      <c r="J111" s="2">
        <f>IF(OR($F111="",$G111="",$H111="",$I111=""),"",IF(AND($F111=$H111,$G111=$I111),3,IF(SIGN($F111-$G111)=SIGN($H111-$I111),1,0)))</f>
        <v/>
      </c>
      <c r="K111" s="2">
        <f>IF($J111="","",IF($J111=3,"Exact",IF($J111=1,"Correct","Miss")))</f>
        <v/>
      </c>
    </row>
    <row r="112">
      <c r="A112" t="n">
        <v>111</v>
      </c>
      <c r="D112" s="2">
        <f>IFERROR(VLOOKUP($C112,'Tabela de Jogos'!$A:$J,4,FALSE),"")</f>
        <v/>
      </c>
      <c r="E112" s="2">
        <f>IFERROR(VLOOKUP($C112,'Tabela de Jogos'!$A:$J,5,FALSE),"")</f>
        <v/>
      </c>
      <c r="F112" s="2" t="n"/>
      <c r="G112" s="2" t="n"/>
      <c r="H112">
        <f>IFERROR(VLOOKUP($C112,'Tabela de Jogos'!$A:$J,8,FALSE),"")</f>
        <v/>
      </c>
      <c r="I112">
        <f>IFERROR(VLOOKUP($C112,'Tabela de Jogos'!$A:$J,9,FALSE),"")</f>
        <v/>
      </c>
      <c r="J112" s="2">
        <f>IF(OR($F112="",$G112="",$H112="",$I112=""),"",IF(AND($F112=$H112,$G112=$I112),3,IF(SIGN($F112-$G112)=SIGN($H112-$I112),1,0)))</f>
        <v/>
      </c>
      <c r="K112" s="2">
        <f>IF($J112="","",IF($J112=3,"Exact",IF($J112=1,"Correct","Miss")))</f>
        <v/>
      </c>
    </row>
    <row r="113">
      <c r="A113" t="n">
        <v>112</v>
      </c>
      <c r="D113" s="2">
        <f>IFERROR(VLOOKUP($C113,'Tabela de Jogos'!$A:$J,4,FALSE),"")</f>
        <v/>
      </c>
      <c r="E113" s="2">
        <f>IFERROR(VLOOKUP($C113,'Tabela de Jogos'!$A:$J,5,FALSE),"")</f>
        <v/>
      </c>
      <c r="F113" s="2" t="n"/>
      <c r="G113" s="2" t="n"/>
      <c r="H113">
        <f>IFERROR(VLOOKUP($C113,'Tabela de Jogos'!$A:$J,8,FALSE),"")</f>
        <v/>
      </c>
      <c r="I113">
        <f>IFERROR(VLOOKUP($C113,'Tabela de Jogos'!$A:$J,9,FALSE),"")</f>
        <v/>
      </c>
      <c r="J113" s="2">
        <f>IF(OR($F113="",$G113="",$H113="",$I113=""),"",IF(AND($F113=$H113,$G113=$I113),3,IF(SIGN($F113-$G113)=SIGN($H113-$I113),1,0)))</f>
        <v/>
      </c>
      <c r="K113" s="2">
        <f>IF($J113="","",IF($J113=3,"Exact",IF($J113=1,"Correct","Miss")))</f>
        <v/>
      </c>
    </row>
    <row r="114">
      <c r="A114" t="n">
        <v>113</v>
      </c>
      <c r="D114" s="2">
        <f>IFERROR(VLOOKUP($C114,'Tabela de Jogos'!$A:$J,4,FALSE),"")</f>
        <v/>
      </c>
      <c r="E114" s="2">
        <f>IFERROR(VLOOKUP($C114,'Tabela de Jogos'!$A:$J,5,FALSE),"")</f>
        <v/>
      </c>
      <c r="F114" s="2" t="n"/>
      <c r="G114" s="2" t="n"/>
      <c r="H114">
        <f>IFERROR(VLOOKUP($C114,'Tabela de Jogos'!$A:$J,8,FALSE),"")</f>
        <v/>
      </c>
      <c r="I114">
        <f>IFERROR(VLOOKUP($C114,'Tabela de Jogos'!$A:$J,9,FALSE),"")</f>
        <v/>
      </c>
      <c r="J114" s="2">
        <f>IF(OR($F114="",$G114="",$H114="",$I114=""),"",IF(AND($F114=$H114,$G114=$I114),3,IF(SIGN($F114-$G114)=SIGN($H114-$I114),1,0)))</f>
        <v/>
      </c>
      <c r="K114" s="2">
        <f>IF($J114="","",IF($J114=3,"Exact",IF($J114=1,"Correct","Miss")))</f>
        <v/>
      </c>
    </row>
    <row r="115">
      <c r="A115" t="n">
        <v>114</v>
      </c>
      <c r="D115" s="2">
        <f>IFERROR(VLOOKUP($C115,'Tabela de Jogos'!$A:$J,4,FALSE),"")</f>
        <v/>
      </c>
      <c r="E115" s="2">
        <f>IFERROR(VLOOKUP($C115,'Tabela de Jogos'!$A:$J,5,FALSE),"")</f>
        <v/>
      </c>
      <c r="F115" s="2" t="n"/>
      <c r="G115" s="2" t="n"/>
      <c r="H115">
        <f>IFERROR(VLOOKUP($C115,'Tabela de Jogos'!$A:$J,8,FALSE),"")</f>
        <v/>
      </c>
      <c r="I115">
        <f>IFERROR(VLOOKUP($C115,'Tabela de Jogos'!$A:$J,9,FALSE),"")</f>
        <v/>
      </c>
      <c r="J115" s="2">
        <f>IF(OR($F115="",$G115="",$H115="",$I115=""),"",IF(AND($F115=$H115,$G115=$I115),3,IF(SIGN($F115-$G115)=SIGN($H115-$I115),1,0)))</f>
        <v/>
      </c>
      <c r="K115" s="2">
        <f>IF($J115="","",IF($J115=3,"Exact",IF($J115=1,"Correct","Miss")))</f>
        <v/>
      </c>
    </row>
    <row r="116">
      <c r="A116" t="n">
        <v>115</v>
      </c>
      <c r="D116" s="2">
        <f>IFERROR(VLOOKUP($C116,'Tabela de Jogos'!$A:$J,4,FALSE),"")</f>
        <v/>
      </c>
      <c r="E116" s="2">
        <f>IFERROR(VLOOKUP($C116,'Tabela de Jogos'!$A:$J,5,FALSE),"")</f>
        <v/>
      </c>
      <c r="F116" s="2" t="n"/>
      <c r="G116" s="2" t="n"/>
      <c r="H116">
        <f>IFERROR(VLOOKUP($C116,'Tabela de Jogos'!$A:$J,8,FALSE),"")</f>
        <v/>
      </c>
      <c r="I116">
        <f>IFERROR(VLOOKUP($C116,'Tabela de Jogos'!$A:$J,9,FALSE),"")</f>
        <v/>
      </c>
      <c r="J116" s="2">
        <f>IF(OR($F116="",$G116="",$H116="",$I116=""),"",IF(AND($F116=$H116,$G116=$I116),3,IF(SIGN($F116-$G116)=SIGN($H116-$I116),1,0)))</f>
        <v/>
      </c>
      <c r="K116" s="2">
        <f>IF($J116="","",IF($J116=3,"Exact",IF($J116=1,"Correct","Miss")))</f>
        <v/>
      </c>
    </row>
    <row r="117">
      <c r="A117" t="n">
        <v>116</v>
      </c>
      <c r="D117" s="2">
        <f>IFERROR(VLOOKUP($C117,'Tabela de Jogos'!$A:$J,4,FALSE),"")</f>
        <v/>
      </c>
      <c r="E117" s="2">
        <f>IFERROR(VLOOKUP($C117,'Tabela de Jogos'!$A:$J,5,FALSE),"")</f>
        <v/>
      </c>
      <c r="F117" s="2" t="n"/>
      <c r="G117" s="2" t="n"/>
      <c r="H117">
        <f>IFERROR(VLOOKUP($C117,'Tabela de Jogos'!$A:$J,8,FALSE),"")</f>
        <v/>
      </c>
      <c r="I117">
        <f>IFERROR(VLOOKUP($C117,'Tabela de Jogos'!$A:$J,9,FALSE),"")</f>
        <v/>
      </c>
      <c r="J117" s="2">
        <f>IF(OR($F117="",$G117="",$H117="",$I117=""),"",IF(AND($F117=$H117,$G117=$I117),3,IF(SIGN($F117-$G117)=SIGN($H117-$I117),1,0)))</f>
        <v/>
      </c>
      <c r="K117" s="2">
        <f>IF($J117="","",IF($J117=3,"Exact",IF($J117=1,"Correct","Miss")))</f>
        <v/>
      </c>
    </row>
    <row r="118">
      <c r="A118" t="n">
        <v>117</v>
      </c>
      <c r="D118" s="2">
        <f>IFERROR(VLOOKUP($C118,'Tabela de Jogos'!$A:$J,4,FALSE),"")</f>
        <v/>
      </c>
      <c r="E118" s="2">
        <f>IFERROR(VLOOKUP($C118,'Tabela de Jogos'!$A:$J,5,FALSE),"")</f>
        <v/>
      </c>
      <c r="F118" s="2" t="n"/>
      <c r="G118" s="2" t="n"/>
      <c r="H118">
        <f>IFERROR(VLOOKUP($C118,'Tabela de Jogos'!$A:$J,8,FALSE),"")</f>
        <v/>
      </c>
      <c r="I118">
        <f>IFERROR(VLOOKUP($C118,'Tabela de Jogos'!$A:$J,9,FALSE),"")</f>
        <v/>
      </c>
      <c r="J118" s="2">
        <f>IF(OR($F118="",$G118="",$H118="",$I118=""),"",IF(AND($F118=$H118,$G118=$I118),3,IF(SIGN($F118-$G118)=SIGN($H118-$I118),1,0)))</f>
        <v/>
      </c>
      <c r="K118" s="2">
        <f>IF($J118="","",IF($J118=3,"Exact",IF($J118=1,"Correct","Miss")))</f>
        <v/>
      </c>
    </row>
    <row r="119">
      <c r="A119" t="n">
        <v>118</v>
      </c>
      <c r="D119" s="2">
        <f>IFERROR(VLOOKUP($C119,'Tabela de Jogos'!$A:$J,4,FALSE),"")</f>
        <v/>
      </c>
      <c r="E119" s="2">
        <f>IFERROR(VLOOKUP($C119,'Tabela de Jogos'!$A:$J,5,FALSE),"")</f>
        <v/>
      </c>
      <c r="F119" s="2" t="n"/>
      <c r="G119" s="2" t="n"/>
      <c r="H119">
        <f>IFERROR(VLOOKUP($C119,'Tabela de Jogos'!$A:$J,8,FALSE),"")</f>
        <v/>
      </c>
      <c r="I119">
        <f>IFERROR(VLOOKUP($C119,'Tabela de Jogos'!$A:$J,9,FALSE),"")</f>
        <v/>
      </c>
      <c r="J119" s="2">
        <f>IF(OR($F119="",$G119="",$H119="",$I119=""),"",IF(AND($F119=$H119,$G119=$I119),3,IF(SIGN($F119-$G119)=SIGN($H119-$I119),1,0)))</f>
        <v/>
      </c>
      <c r="K119" s="2">
        <f>IF($J119="","",IF($J119=3,"Exact",IF($J119=1,"Correct","Miss")))</f>
        <v/>
      </c>
    </row>
    <row r="120">
      <c r="A120" t="n">
        <v>119</v>
      </c>
      <c r="D120" s="2">
        <f>IFERROR(VLOOKUP($C120,'Tabela de Jogos'!$A:$J,4,FALSE),"")</f>
        <v/>
      </c>
      <c r="E120" s="2">
        <f>IFERROR(VLOOKUP($C120,'Tabela de Jogos'!$A:$J,5,FALSE),"")</f>
        <v/>
      </c>
      <c r="F120" s="2" t="n"/>
      <c r="G120" s="2" t="n"/>
      <c r="H120">
        <f>IFERROR(VLOOKUP($C120,'Tabela de Jogos'!$A:$J,8,FALSE),"")</f>
        <v/>
      </c>
      <c r="I120">
        <f>IFERROR(VLOOKUP($C120,'Tabela de Jogos'!$A:$J,9,FALSE),"")</f>
        <v/>
      </c>
      <c r="J120" s="2">
        <f>IF(OR($F120="",$G120="",$H120="",$I120=""),"",IF(AND($F120=$H120,$G120=$I120),3,IF(SIGN($F120-$G120)=SIGN($H120-$I120),1,0)))</f>
        <v/>
      </c>
      <c r="K120" s="2">
        <f>IF($J120="","",IF($J120=3,"Exact",IF($J120=1,"Correct","Miss")))</f>
        <v/>
      </c>
    </row>
    <row r="121">
      <c r="A121" t="n">
        <v>120</v>
      </c>
      <c r="D121" s="2">
        <f>IFERROR(VLOOKUP($C121,'Tabela de Jogos'!$A:$J,4,FALSE),"")</f>
        <v/>
      </c>
      <c r="E121" s="2">
        <f>IFERROR(VLOOKUP($C121,'Tabela de Jogos'!$A:$J,5,FALSE),"")</f>
        <v/>
      </c>
      <c r="F121" s="2" t="n"/>
      <c r="G121" s="2" t="n"/>
      <c r="H121">
        <f>IFERROR(VLOOKUP($C121,'Tabela de Jogos'!$A:$J,8,FALSE),"")</f>
        <v/>
      </c>
      <c r="I121">
        <f>IFERROR(VLOOKUP($C121,'Tabela de Jogos'!$A:$J,9,FALSE),"")</f>
        <v/>
      </c>
      <c r="J121" s="2">
        <f>IF(OR($F121="",$G121="",$H121="",$I121=""),"",IF(AND($F121=$H121,$G121=$I121),3,IF(SIGN($F121-$G121)=SIGN($H121-$I121),1,0)))</f>
        <v/>
      </c>
      <c r="K121" s="2">
        <f>IF($J121="","",IF($J121=3,"Exact",IF($J121=1,"Correct","Miss")))</f>
        <v/>
      </c>
    </row>
    <row r="122">
      <c r="A122" t="n">
        <v>121</v>
      </c>
      <c r="D122" s="2">
        <f>IFERROR(VLOOKUP($C122,'Tabela de Jogos'!$A:$J,4,FALSE),"")</f>
        <v/>
      </c>
      <c r="E122" s="2">
        <f>IFERROR(VLOOKUP($C122,'Tabela de Jogos'!$A:$J,5,FALSE),"")</f>
        <v/>
      </c>
      <c r="F122" s="2" t="n"/>
      <c r="G122" s="2" t="n"/>
      <c r="H122">
        <f>IFERROR(VLOOKUP($C122,'Tabela de Jogos'!$A:$J,8,FALSE),"")</f>
        <v/>
      </c>
      <c r="I122">
        <f>IFERROR(VLOOKUP($C122,'Tabela de Jogos'!$A:$J,9,FALSE),"")</f>
        <v/>
      </c>
      <c r="J122" s="2">
        <f>IF(OR($F122="",$G122="",$H122="",$I122=""),"",IF(AND($F122=$H122,$G122=$I122),3,IF(SIGN($F122-$G122)=SIGN($H122-$I122),1,0)))</f>
        <v/>
      </c>
      <c r="K122" s="2">
        <f>IF($J122="","",IF($J122=3,"Exact",IF($J122=1,"Correct","Miss")))</f>
        <v/>
      </c>
    </row>
    <row r="123">
      <c r="A123" t="n">
        <v>122</v>
      </c>
      <c r="D123" s="2">
        <f>IFERROR(VLOOKUP($C123,'Tabela de Jogos'!$A:$J,4,FALSE),"")</f>
        <v/>
      </c>
      <c r="E123" s="2">
        <f>IFERROR(VLOOKUP($C123,'Tabela de Jogos'!$A:$J,5,FALSE),"")</f>
        <v/>
      </c>
      <c r="F123" s="2" t="n"/>
      <c r="G123" s="2" t="n"/>
      <c r="H123">
        <f>IFERROR(VLOOKUP($C123,'Tabela de Jogos'!$A:$J,8,FALSE),"")</f>
        <v/>
      </c>
      <c r="I123">
        <f>IFERROR(VLOOKUP($C123,'Tabela de Jogos'!$A:$J,9,FALSE),"")</f>
        <v/>
      </c>
      <c r="J123" s="2">
        <f>IF(OR($F123="",$G123="",$H123="",$I123=""),"",IF(AND($F123=$H123,$G123=$I123),3,IF(SIGN($F123-$G123)=SIGN($H123-$I123),1,0)))</f>
        <v/>
      </c>
      <c r="K123" s="2">
        <f>IF($J123="","",IF($J123=3,"Exact",IF($J123=1,"Correct","Miss")))</f>
        <v/>
      </c>
    </row>
    <row r="124">
      <c r="A124" t="n">
        <v>123</v>
      </c>
      <c r="D124" s="2">
        <f>IFERROR(VLOOKUP($C124,'Tabela de Jogos'!$A:$J,4,FALSE),"")</f>
        <v/>
      </c>
      <c r="E124" s="2">
        <f>IFERROR(VLOOKUP($C124,'Tabela de Jogos'!$A:$J,5,FALSE),"")</f>
        <v/>
      </c>
      <c r="F124" s="2" t="n"/>
      <c r="G124" s="2" t="n"/>
      <c r="H124">
        <f>IFERROR(VLOOKUP($C124,'Tabela de Jogos'!$A:$J,8,FALSE),"")</f>
        <v/>
      </c>
      <c r="I124">
        <f>IFERROR(VLOOKUP($C124,'Tabela de Jogos'!$A:$J,9,FALSE),"")</f>
        <v/>
      </c>
      <c r="J124" s="2">
        <f>IF(OR($F124="",$G124="",$H124="",$I124=""),"",IF(AND($F124=$H124,$G124=$I124),3,IF(SIGN($F124-$G124)=SIGN($H124-$I124),1,0)))</f>
        <v/>
      </c>
      <c r="K124" s="2">
        <f>IF($J124="","",IF($J124=3,"Exact",IF($J124=1,"Correct","Miss")))</f>
        <v/>
      </c>
    </row>
    <row r="125">
      <c r="A125" t="n">
        <v>124</v>
      </c>
      <c r="D125" s="2">
        <f>IFERROR(VLOOKUP($C125,'Tabela de Jogos'!$A:$J,4,FALSE),"")</f>
        <v/>
      </c>
      <c r="E125" s="2">
        <f>IFERROR(VLOOKUP($C125,'Tabela de Jogos'!$A:$J,5,FALSE),"")</f>
        <v/>
      </c>
      <c r="F125" s="2" t="n"/>
      <c r="G125" s="2" t="n"/>
      <c r="H125">
        <f>IFERROR(VLOOKUP($C125,'Tabela de Jogos'!$A:$J,8,FALSE),"")</f>
        <v/>
      </c>
      <c r="I125">
        <f>IFERROR(VLOOKUP($C125,'Tabela de Jogos'!$A:$J,9,FALSE),"")</f>
        <v/>
      </c>
      <c r="J125" s="2">
        <f>IF(OR($F125="",$G125="",$H125="",$I125=""),"",IF(AND($F125=$H125,$G125=$I125),3,IF(SIGN($F125-$G125)=SIGN($H125-$I125),1,0)))</f>
        <v/>
      </c>
      <c r="K125" s="2">
        <f>IF($J125="","",IF($J125=3,"Exact",IF($J125=1,"Correct","Miss")))</f>
        <v/>
      </c>
    </row>
    <row r="126">
      <c r="A126" t="n">
        <v>125</v>
      </c>
      <c r="D126" s="2">
        <f>IFERROR(VLOOKUP($C126,'Tabela de Jogos'!$A:$J,4,FALSE),"")</f>
        <v/>
      </c>
      <c r="E126" s="2">
        <f>IFERROR(VLOOKUP($C126,'Tabela de Jogos'!$A:$J,5,FALSE),"")</f>
        <v/>
      </c>
      <c r="F126" s="2" t="n"/>
      <c r="G126" s="2" t="n"/>
      <c r="H126">
        <f>IFERROR(VLOOKUP($C126,'Tabela de Jogos'!$A:$J,8,FALSE),"")</f>
        <v/>
      </c>
      <c r="I126">
        <f>IFERROR(VLOOKUP($C126,'Tabela de Jogos'!$A:$J,9,FALSE),"")</f>
        <v/>
      </c>
      <c r="J126" s="2">
        <f>IF(OR($F126="",$G126="",$H126="",$I126=""),"",IF(AND($F126=$H126,$G126=$I126),3,IF(SIGN($F126-$G126)=SIGN($H126-$I126),1,0)))</f>
        <v/>
      </c>
      <c r="K126" s="2">
        <f>IF($J126="","",IF($J126=3,"Exact",IF($J126=1,"Correct","Miss")))</f>
        <v/>
      </c>
    </row>
    <row r="127">
      <c r="A127" t="n">
        <v>126</v>
      </c>
      <c r="D127" s="2">
        <f>IFERROR(VLOOKUP($C127,'Tabela de Jogos'!$A:$J,4,FALSE),"")</f>
        <v/>
      </c>
      <c r="E127" s="2">
        <f>IFERROR(VLOOKUP($C127,'Tabela de Jogos'!$A:$J,5,FALSE),"")</f>
        <v/>
      </c>
      <c r="F127" s="2" t="n"/>
      <c r="G127" s="2" t="n"/>
      <c r="H127">
        <f>IFERROR(VLOOKUP($C127,'Tabela de Jogos'!$A:$J,8,FALSE),"")</f>
        <v/>
      </c>
      <c r="I127">
        <f>IFERROR(VLOOKUP($C127,'Tabela de Jogos'!$A:$J,9,FALSE),"")</f>
        <v/>
      </c>
      <c r="J127" s="2">
        <f>IF(OR($F127="",$G127="",$H127="",$I127=""),"",IF(AND($F127=$H127,$G127=$I127),3,IF(SIGN($F127-$G127)=SIGN($H127-$I127),1,0)))</f>
        <v/>
      </c>
      <c r="K127" s="2">
        <f>IF($J127="","",IF($J127=3,"Exact",IF($J127=1,"Correct","Miss")))</f>
        <v/>
      </c>
    </row>
    <row r="128">
      <c r="A128" t="n">
        <v>127</v>
      </c>
      <c r="D128" s="2">
        <f>IFERROR(VLOOKUP($C128,'Tabela de Jogos'!$A:$J,4,FALSE),"")</f>
        <v/>
      </c>
      <c r="E128" s="2">
        <f>IFERROR(VLOOKUP($C128,'Tabela de Jogos'!$A:$J,5,FALSE),"")</f>
        <v/>
      </c>
      <c r="F128" s="2" t="n"/>
      <c r="G128" s="2" t="n"/>
      <c r="H128">
        <f>IFERROR(VLOOKUP($C128,'Tabela de Jogos'!$A:$J,8,FALSE),"")</f>
        <v/>
      </c>
      <c r="I128">
        <f>IFERROR(VLOOKUP($C128,'Tabela de Jogos'!$A:$J,9,FALSE),"")</f>
        <v/>
      </c>
      <c r="J128" s="2">
        <f>IF(OR($F128="",$G128="",$H128="",$I128=""),"",IF(AND($F128=$H128,$G128=$I128),3,IF(SIGN($F128-$G128)=SIGN($H128-$I128),1,0)))</f>
        <v/>
      </c>
      <c r="K128" s="2">
        <f>IF($J128="","",IF($J128=3,"Exact",IF($J128=1,"Correct","Miss")))</f>
        <v/>
      </c>
    </row>
    <row r="129">
      <c r="A129" t="n">
        <v>128</v>
      </c>
      <c r="D129" s="2">
        <f>IFERROR(VLOOKUP($C129,'Tabela de Jogos'!$A:$J,4,FALSE),"")</f>
        <v/>
      </c>
      <c r="E129" s="2">
        <f>IFERROR(VLOOKUP($C129,'Tabela de Jogos'!$A:$J,5,FALSE),"")</f>
        <v/>
      </c>
      <c r="F129" s="2" t="n"/>
      <c r="G129" s="2" t="n"/>
      <c r="H129">
        <f>IFERROR(VLOOKUP($C129,'Tabela de Jogos'!$A:$J,8,FALSE),"")</f>
        <v/>
      </c>
      <c r="I129">
        <f>IFERROR(VLOOKUP($C129,'Tabela de Jogos'!$A:$J,9,FALSE),"")</f>
        <v/>
      </c>
      <c r="J129" s="2">
        <f>IF(OR($F129="",$G129="",$H129="",$I129=""),"",IF(AND($F129=$H129,$G129=$I129),3,IF(SIGN($F129-$G129)=SIGN($H129-$I129),1,0)))</f>
        <v/>
      </c>
      <c r="K129" s="2">
        <f>IF($J129="","",IF($J129=3,"Exact",IF($J129=1,"Correct","Miss")))</f>
        <v/>
      </c>
    </row>
    <row r="130">
      <c r="A130" t="n">
        <v>129</v>
      </c>
      <c r="D130" s="2">
        <f>IFERROR(VLOOKUP($C130,'Tabela de Jogos'!$A:$J,4,FALSE),"")</f>
        <v/>
      </c>
      <c r="E130" s="2">
        <f>IFERROR(VLOOKUP($C130,'Tabela de Jogos'!$A:$J,5,FALSE),"")</f>
        <v/>
      </c>
      <c r="F130" s="2" t="n"/>
      <c r="G130" s="2" t="n"/>
      <c r="H130">
        <f>IFERROR(VLOOKUP($C130,'Tabela de Jogos'!$A:$J,8,FALSE),"")</f>
        <v/>
      </c>
      <c r="I130">
        <f>IFERROR(VLOOKUP($C130,'Tabela de Jogos'!$A:$J,9,FALSE),"")</f>
        <v/>
      </c>
      <c r="J130" s="2">
        <f>IF(OR($F130="",$G130="",$H130="",$I130=""),"",IF(AND($F130=$H130,$G130=$I130),3,IF(SIGN($F130-$G130)=SIGN($H130-$I130),1,0)))</f>
        <v/>
      </c>
      <c r="K130" s="2">
        <f>IF($J130="","",IF($J130=3,"Exact",IF($J130=1,"Correct","Miss")))</f>
        <v/>
      </c>
    </row>
    <row r="131">
      <c r="A131" t="n">
        <v>130</v>
      </c>
      <c r="D131" s="2">
        <f>IFERROR(VLOOKUP($C131,'Tabela de Jogos'!$A:$J,4,FALSE),"")</f>
        <v/>
      </c>
      <c r="E131" s="2">
        <f>IFERROR(VLOOKUP($C131,'Tabela de Jogos'!$A:$J,5,FALSE),"")</f>
        <v/>
      </c>
      <c r="F131" s="2" t="n"/>
      <c r="G131" s="2" t="n"/>
      <c r="H131">
        <f>IFERROR(VLOOKUP($C131,'Tabela de Jogos'!$A:$J,8,FALSE),"")</f>
        <v/>
      </c>
      <c r="I131">
        <f>IFERROR(VLOOKUP($C131,'Tabela de Jogos'!$A:$J,9,FALSE),"")</f>
        <v/>
      </c>
      <c r="J131" s="2">
        <f>IF(OR($F131="",$G131="",$H131="",$I131=""),"",IF(AND($F131=$H131,$G131=$I131),3,IF(SIGN($F131-$G131)=SIGN($H131-$I131),1,0)))</f>
        <v/>
      </c>
      <c r="K131" s="2">
        <f>IF($J131="","",IF($J131=3,"Exact",IF($J131=1,"Correct","Miss")))</f>
        <v/>
      </c>
    </row>
    <row r="132">
      <c r="A132" t="n">
        <v>131</v>
      </c>
      <c r="D132" s="2">
        <f>IFERROR(VLOOKUP($C132,'Tabela de Jogos'!$A:$J,4,FALSE),"")</f>
        <v/>
      </c>
      <c r="E132" s="2">
        <f>IFERROR(VLOOKUP($C132,'Tabela de Jogos'!$A:$J,5,FALSE),"")</f>
        <v/>
      </c>
      <c r="F132" s="2" t="n"/>
      <c r="G132" s="2" t="n"/>
      <c r="H132">
        <f>IFERROR(VLOOKUP($C132,'Tabela de Jogos'!$A:$J,8,FALSE),"")</f>
        <v/>
      </c>
      <c r="I132">
        <f>IFERROR(VLOOKUP($C132,'Tabela de Jogos'!$A:$J,9,FALSE),"")</f>
        <v/>
      </c>
      <c r="J132" s="2">
        <f>IF(OR($F132="",$G132="",$H132="",$I132=""),"",IF(AND($F132=$H132,$G132=$I132),3,IF(SIGN($F132-$G132)=SIGN($H132-$I132),1,0)))</f>
        <v/>
      </c>
      <c r="K132" s="2">
        <f>IF($J132="","",IF($J132=3,"Exact",IF($J132=1,"Correct","Miss")))</f>
        <v/>
      </c>
    </row>
    <row r="133">
      <c r="A133" t="n">
        <v>132</v>
      </c>
      <c r="D133" s="2">
        <f>IFERROR(VLOOKUP($C133,'Tabela de Jogos'!$A:$J,4,FALSE),"")</f>
        <v/>
      </c>
      <c r="E133" s="2">
        <f>IFERROR(VLOOKUP($C133,'Tabela de Jogos'!$A:$J,5,FALSE),"")</f>
        <v/>
      </c>
      <c r="F133" s="2" t="n"/>
      <c r="G133" s="2" t="n"/>
      <c r="H133">
        <f>IFERROR(VLOOKUP($C133,'Tabela de Jogos'!$A:$J,8,FALSE),"")</f>
        <v/>
      </c>
      <c r="I133">
        <f>IFERROR(VLOOKUP($C133,'Tabela de Jogos'!$A:$J,9,FALSE),"")</f>
        <v/>
      </c>
      <c r="J133" s="2">
        <f>IF(OR($F133="",$G133="",$H133="",$I133=""),"",IF(AND($F133=$H133,$G133=$I133),3,IF(SIGN($F133-$G133)=SIGN($H133-$I133),1,0)))</f>
        <v/>
      </c>
      <c r="K133" s="2">
        <f>IF($J133="","",IF($J133=3,"Exact",IF($J133=1,"Correct","Miss")))</f>
        <v/>
      </c>
    </row>
    <row r="134">
      <c r="A134" t="n">
        <v>133</v>
      </c>
      <c r="D134" s="2">
        <f>IFERROR(VLOOKUP($C134,'Tabela de Jogos'!$A:$J,4,FALSE),"")</f>
        <v/>
      </c>
      <c r="E134" s="2">
        <f>IFERROR(VLOOKUP($C134,'Tabela de Jogos'!$A:$J,5,FALSE),"")</f>
        <v/>
      </c>
      <c r="F134" s="2" t="n"/>
      <c r="G134" s="2" t="n"/>
      <c r="H134">
        <f>IFERROR(VLOOKUP($C134,'Tabela de Jogos'!$A:$J,8,FALSE),"")</f>
        <v/>
      </c>
      <c r="I134">
        <f>IFERROR(VLOOKUP($C134,'Tabela de Jogos'!$A:$J,9,FALSE),"")</f>
        <v/>
      </c>
      <c r="J134" s="2">
        <f>IF(OR($F134="",$G134="",$H134="",$I134=""),"",IF(AND($F134=$H134,$G134=$I134),3,IF(SIGN($F134-$G134)=SIGN($H134-$I134),1,0)))</f>
        <v/>
      </c>
      <c r="K134" s="2">
        <f>IF($J134="","",IF($J134=3,"Exact",IF($J134=1,"Correct","Miss")))</f>
        <v/>
      </c>
    </row>
    <row r="135">
      <c r="A135" t="n">
        <v>134</v>
      </c>
      <c r="D135" s="2">
        <f>IFERROR(VLOOKUP($C135,'Tabela de Jogos'!$A:$J,4,FALSE),"")</f>
        <v/>
      </c>
      <c r="E135" s="2">
        <f>IFERROR(VLOOKUP($C135,'Tabela de Jogos'!$A:$J,5,FALSE),"")</f>
        <v/>
      </c>
      <c r="F135" s="2" t="n"/>
      <c r="G135" s="2" t="n"/>
      <c r="H135">
        <f>IFERROR(VLOOKUP($C135,'Tabela de Jogos'!$A:$J,8,FALSE),"")</f>
        <v/>
      </c>
      <c r="I135">
        <f>IFERROR(VLOOKUP($C135,'Tabela de Jogos'!$A:$J,9,FALSE),"")</f>
        <v/>
      </c>
      <c r="J135" s="2">
        <f>IF(OR($F135="",$G135="",$H135="",$I135=""),"",IF(AND($F135=$H135,$G135=$I135),3,IF(SIGN($F135-$G135)=SIGN($H135-$I135),1,0)))</f>
        <v/>
      </c>
      <c r="K135" s="2">
        <f>IF($J135="","",IF($J135=3,"Exact",IF($J135=1,"Correct","Miss")))</f>
        <v/>
      </c>
    </row>
    <row r="136">
      <c r="A136" t="n">
        <v>135</v>
      </c>
      <c r="D136" s="2">
        <f>IFERROR(VLOOKUP($C136,'Tabela de Jogos'!$A:$J,4,FALSE),"")</f>
        <v/>
      </c>
      <c r="E136" s="2">
        <f>IFERROR(VLOOKUP($C136,'Tabela de Jogos'!$A:$J,5,FALSE),"")</f>
        <v/>
      </c>
      <c r="F136" s="2" t="n"/>
      <c r="G136" s="2" t="n"/>
      <c r="H136">
        <f>IFERROR(VLOOKUP($C136,'Tabela de Jogos'!$A:$J,8,FALSE),"")</f>
        <v/>
      </c>
      <c r="I136">
        <f>IFERROR(VLOOKUP($C136,'Tabela de Jogos'!$A:$J,9,FALSE),"")</f>
        <v/>
      </c>
      <c r="J136" s="2">
        <f>IF(OR($F136="",$G136="",$H136="",$I136=""),"",IF(AND($F136=$H136,$G136=$I136),3,IF(SIGN($F136-$G136)=SIGN($H136-$I136),1,0)))</f>
        <v/>
      </c>
      <c r="K136" s="2">
        <f>IF($J136="","",IF($J136=3,"Exact",IF($J136=1,"Correct","Miss")))</f>
        <v/>
      </c>
    </row>
    <row r="137">
      <c r="A137" t="n">
        <v>136</v>
      </c>
      <c r="D137" s="2">
        <f>IFERROR(VLOOKUP($C137,'Tabela de Jogos'!$A:$J,4,FALSE),"")</f>
        <v/>
      </c>
      <c r="E137" s="2">
        <f>IFERROR(VLOOKUP($C137,'Tabela de Jogos'!$A:$J,5,FALSE),"")</f>
        <v/>
      </c>
      <c r="F137" s="2" t="n"/>
      <c r="G137" s="2" t="n"/>
      <c r="H137">
        <f>IFERROR(VLOOKUP($C137,'Tabela de Jogos'!$A:$J,8,FALSE),"")</f>
        <v/>
      </c>
      <c r="I137">
        <f>IFERROR(VLOOKUP($C137,'Tabela de Jogos'!$A:$J,9,FALSE),"")</f>
        <v/>
      </c>
      <c r="J137" s="2">
        <f>IF(OR($F137="",$G137="",$H137="",$I137=""),"",IF(AND($F137=$H137,$G137=$I137),3,IF(SIGN($F137-$G137)=SIGN($H137-$I137),1,0)))</f>
        <v/>
      </c>
      <c r="K137" s="2">
        <f>IF($J137="","",IF($J137=3,"Exact",IF($J137=1,"Correct","Miss")))</f>
        <v/>
      </c>
    </row>
    <row r="138">
      <c r="A138" t="n">
        <v>137</v>
      </c>
      <c r="D138" s="2">
        <f>IFERROR(VLOOKUP($C138,'Tabela de Jogos'!$A:$J,4,FALSE),"")</f>
        <v/>
      </c>
      <c r="E138" s="2">
        <f>IFERROR(VLOOKUP($C138,'Tabela de Jogos'!$A:$J,5,FALSE),"")</f>
        <v/>
      </c>
      <c r="F138" s="2" t="n"/>
      <c r="G138" s="2" t="n"/>
      <c r="H138">
        <f>IFERROR(VLOOKUP($C138,'Tabela de Jogos'!$A:$J,8,FALSE),"")</f>
        <v/>
      </c>
      <c r="I138">
        <f>IFERROR(VLOOKUP($C138,'Tabela de Jogos'!$A:$J,9,FALSE),"")</f>
        <v/>
      </c>
      <c r="J138" s="2">
        <f>IF(OR($F138="",$G138="",$H138="",$I138=""),"",IF(AND($F138=$H138,$G138=$I138),3,IF(SIGN($F138-$G138)=SIGN($H138-$I138),1,0)))</f>
        <v/>
      </c>
      <c r="K138" s="2">
        <f>IF($J138="","",IF($J138=3,"Exact",IF($J138=1,"Correct","Miss")))</f>
        <v/>
      </c>
    </row>
    <row r="139">
      <c r="A139" t="n">
        <v>138</v>
      </c>
      <c r="D139" s="2">
        <f>IFERROR(VLOOKUP($C139,'Tabela de Jogos'!$A:$J,4,FALSE),"")</f>
        <v/>
      </c>
      <c r="E139" s="2">
        <f>IFERROR(VLOOKUP($C139,'Tabela de Jogos'!$A:$J,5,FALSE),"")</f>
        <v/>
      </c>
      <c r="F139" s="2" t="n"/>
      <c r="G139" s="2" t="n"/>
      <c r="H139">
        <f>IFERROR(VLOOKUP($C139,'Tabela de Jogos'!$A:$J,8,FALSE),"")</f>
        <v/>
      </c>
      <c r="I139">
        <f>IFERROR(VLOOKUP($C139,'Tabela de Jogos'!$A:$J,9,FALSE),"")</f>
        <v/>
      </c>
      <c r="J139" s="2">
        <f>IF(OR($F139="",$G139="",$H139="",$I139=""),"",IF(AND($F139=$H139,$G139=$I139),3,IF(SIGN($F139-$G139)=SIGN($H139-$I139),1,0)))</f>
        <v/>
      </c>
      <c r="K139" s="2">
        <f>IF($J139="","",IF($J139=3,"Exact",IF($J139=1,"Correct","Miss")))</f>
        <v/>
      </c>
    </row>
    <row r="140">
      <c r="A140" t="n">
        <v>139</v>
      </c>
      <c r="D140" s="2">
        <f>IFERROR(VLOOKUP($C140,'Tabela de Jogos'!$A:$J,4,FALSE),"")</f>
        <v/>
      </c>
      <c r="E140" s="2">
        <f>IFERROR(VLOOKUP($C140,'Tabela de Jogos'!$A:$J,5,FALSE),"")</f>
        <v/>
      </c>
      <c r="F140" s="2" t="n"/>
      <c r="G140" s="2" t="n"/>
      <c r="H140">
        <f>IFERROR(VLOOKUP($C140,'Tabela de Jogos'!$A:$J,8,FALSE),"")</f>
        <v/>
      </c>
      <c r="I140">
        <f>IFERROR(VLOOKUP($C140,'Tabela de Jogos'!$A:$J,9,FALSE),"")</f>
        <v/>
      </c>
      <c r="J140" s="2">
        <f>IF(OR($F140="",$G140="",$H140="",$I140=""),"",IF(AND($F140=$H140,$G140=$I140),3,IF(SIGN($F140-$G140)=SIGN($H140-$I140),1,0)))</f>
        <v/>
      </c>
      <c r="K140" s="2">
        <f>IF($J140="","",IF($J140=3,"Exact",IF($J140=1,"Correct","Miss")))</f>
        <v/>
      </c>
    </row>
    <row r="141">
      <c r="A141" t="n">
        <v>140</v>
      </c>
      <c r="D141" s="2">
        <f>IFERROR(VLOOKUP($C141,'Tabela de Jogos'!$A:$J,4,FALSE),"")</f>
        <v/>
      </c>
      <c r="E141" s="2">
        <f>IFERROR(VLOOKUP($C141,'Tabela de Jogos'!$A:$J,5,FALSE),"")</f>
        <v/>
      </c>
      <c r="F141" s="2" t="n"/>
      <c r="G141" s="2" t="n"/>
      <c r="H141">
        <f>IFERROR(VLOOKUP($C141,'Tabela de Jogos'!$A:$J,8,FALSE),"")</f>
        <v/>
      </c>
      <c r="I141">
        <f>IFERROR(VLOOKUP($C141,'Tabela de Jogos'!$A:$J,9,FALSE),"")</f>
        <v/>
      </c>
      <c r="J141" s="2">
        <f>IF(OR($F141="",$G141="",$H141="",$I141=""),"",IF(AND($F141=$H141,$G141=$I141),3,IF(SIGN($F141-$G141)=SIGN($H141-$I141),1,0)))</f>
        <v/>
      </c>
      <c r="K141" s="2">
        <f>IF($J141="","",IF($J141=3,"Exact",IF($J141=1,"Correct","Miss")))</f>
        <v/>
      </c>
    </row>
    <row r="142">
      <c r="A142" t="n">
        <v>141</v>
      </c>
      <c r="D142" s="2">
        <f>IFERROR(VLOOKUP($C142,'Tabela de Jogos'!$A:$J,4,FALSE),"")</f>
        <v/>
      </c>
      <c r="E142" s="2">
        <f>IFERROR(VLOOKUP($C142,'Tabela de Jogos'!$A:$J,5,FALSE),"")</f>
        <v/>
      </c>
      <c r="F142" s="2" t="n"/>
      <c r="G142" s="2" t="n"/>
      <c r="H142">
        <f>IFERROR(VLOOKUP($C142,'Tabela de Jogos'!$A:$J,8,FALSE),"")</f>
        <v/>
      </c>
      <c r="I142">
        <f>IFERROR(VLOOKUP($C142,'Tabela de Jogos'!$A:$J,9,FALSE),"")</f>
        <v/>
      </c>
      <c r="J142" s="2">
        <f>IF(OR($F142="",$G142="",$H142="",$I142=""),"",IF(AND($F142=$H142,$G142=$I142),3,IF(SIGN($F142-$G142)=SIGN($H142-$I142),1,0)))</f>
        <v/>
      </c>
      <c r="K142" s="2">
        <f>IF($J142="","",IF($J142=3,"Exact",IF($J142=1,"Correct","Miss")))</f>
        <v/>
      </c>
    </row>
    <row r="143">
      <c r="A143" t="n">
        <v>142</v>
      </c>
      <c r="D143" s="2">
        <f>IFERROR(VLOOKUP($C143,'Tabela de Jogos'!$A:$J,4,FALSE),"")</f>
        <v/>
      </c>
      <c r="E143" s="2">
        <f>IFERROR(VLOOKUP($C143,'Tabela de Jogos'!$A:$J,5,FALSE),"")</f>
        <v/>
      </c>
      <c r="F143" s="2" t="n"/>
      <c r="G143" s="2" t="n"/>
      <c r="H143">
        <f>IFERROR(VLOOKUP($C143,'Tabela de Jogos'!$A:$J,8,FALSE),"")</f>
        <v/>
      </c>
      <c r="I143">
        <f>IFERROR(VLOOKUP($C143,'Tabela de Jogos'!$A:$J,9,FALSE),"")</f>
        <v/>
      </c>
      <c r="J143" s="2">
        <f>IF(OR($F143="",$G143="",$H143="",$I143=""),"",IF(AND($F143=$H143,$G143=$I143),3,IF(SIGN($F143-$G143)=SIGN($H143-$I143),1,0)))</f>
        <v/>
      </c>
      <c r="K143" s="2">
        <f>IF($J143="","",IF($J143=3,"Exact",IF($J143=1,"Correct","Miss")))</f>
        <v/>
      </c>
    </row>
    <row r="144">
      <c r="A144" t="n">
        <v>143</v>
      </c>
      <c r="D144" s="2">
        <f>IFERROR(VLOOKUP($C144,'Tabela de Jogos'!$A:$J,4,FALSE),"")</f>
        <v/>
      </c>
      <c r="E144" s="2">
        <f>IFERROR(VLOOKUP($C144,'Tabela de Jogos'!$A:$J,5,FALSE),"")</f>
        <v/>
      </c>
      <c r="F144" s="2" t="n"/>
      <c r="G144" s="2" t="n"/>
      <c r="H144">
        <f>IFERROR(VLOOKUP($C144,'Tabela de Jogos'!$A:$J,8,FALSE),"")</f>
        <v/>
      </c>
      <c r="I144">
        <f>IFERROR(VLOOKUP($C144,'Tabela de Jogos'!$A:$J,9,FALSE),"")</f>
        <v/>
      </c>
      <c r="J144" s="2">
        <f>IF(OR($F144="",$G144="",$H144="",$I144=""),"",IF(AND($F144=$H144,$G144=$I144),3,IF(SIGN($F144-$G144)=SIGN($H144-$I144),1,0)))</f>
        <v/>
      </c>
      <c r="K144" s="2">
        <f>IF($J144="","",IF($J144=3,"Exact",IF($J144=1,"Correct","Miss")))</f>
        <v/>
      </c>
    </row>
    <row r="145">
      <c r="A145" t="n">
        <v>144</v>
      </c>
      <c r="D145" s="2">
        <f>IFERROR(VLOOKUP($C145,'Tabela de Jogos'!$A:$J,4,FALSE),"")</f>
        <v/>
      </c>
      <c r="E145" s="2">
        <f>IFERROR(VLOOKUP($C145,'Tabela de Jogos'!$A:$J,5,FALSE),"")</f>
        <v/>
      </c>
      <c r="F145" s="2" t="n"/>
      <c r="G145" s="2" t="n"/>
      <c r="H145">
        <f>IFERROR(VLOOKUP($C145,'Tabela de Jogos'!$A:$J,8,FALSE),"")</f>
        <v/>
      </c>
      <c r="I145">
        <f>IFERROR(VLOOKUP($C145,'Tabela de Jogos'!$A:$J,9,FALSE),"")</f>
        <v/>
      </c>
      <c r="J145" s="2">
        <f>IF(OR($F145="",$G145="",$H145="",$I145=""),"",IF(AND($F145=$H145,$G145=$I145),3,IF(SIGN($F145-$G145)=SIGN($H145-$I145),1,0)))</f>
        <v/>
      </c>
      <c r="K145" s="2">
        <f>IF($J145="","",IF($J145=3,"Exact",IF($J145=1,"Correct","Miss")))</f>
        <v/>
      </c>
    </row>
    <row r="146">
      <c r="A146" t="n">
        <v>145</v>
      </c>
      <c r="D146" s="2">
        <f>IFERROR(VLOOKUP($C146,'Tabela de Jogos'!$A:$J,4,FALSE),"")</f>
        <v/>
      </c>
      <c r="E146" s="2">
        <f>IFERROR(VLOOKUP($C146,'Tabela de Jogos'!$A:$J,5,FALSE),"")</f>
        <v/>
      </c>
      <c r="F146" s="2" t="n"/>
      <c r="G146" s="2" t="n"/>
      <c r="H146">
        <f>IFERROR(VLOOKUP($C146,'Tabela de Jogos'!$A:$J,8,FALSE),"")</f>
        <v/>
      </c>
      <c r="I146">
        <f>IFERROR(VLOOKUP($C146,'Tabela de Jogos'!$A:$J,9,FALSE),"")</f>
        <v/>
      </c>
      <c r="J146" s="2">
        <f>IF(OR($F146="",$G146="",$H146="",$I146=""),"",IF(AND($F146=$H146,$G146=$I146),3,IF(SIGN($F146-$G146)=SIGN($H146-$I146),1,0)))</f>
        <v/>
      </c>
      <c r="K146" s="2">
        <f>IF($J146="","",IF($J146=3,"Exact",IF($J146=1,"Correct","Miss")))</f>
        <v/>
      </c>
    </row>
    <row r="147">
      <c r="A147" t="n">
        <v>146</v>
      </c>
      <c r="D147" s="2">
        <f>IFERROR(VLOOKUP($C147,'Tabela de Jogos'!$A:$J,4,FALSE),"")</f>
        <v/>
      </c>
      <c r="E147" s="2">
        <f>IFERROR(VLOOKUP($C147,'Tabela de Jogos'!$A:$J,5,FALSE),"")</f>
        <v/>
      </c>
      <c r="F147" s="2" t="n"/>
      <c r="G147" s="2" t="n"/>
      <c r="H147">
        <f>IFERROR(VLOOKUP($C147,'Tabela de Jogos'!$A:$J,8,FALSE),"")</f>
        <v/>
      </c>
      <c r="I147">
        <f>IFERROR(VLOOKUP($C147,'Tabela de Jogos'!$A:$J,9,FALSE),"")</f>
        <v/>
      </c>
      <c r="J147" s="2">
        <f>IF(OR($F147="",$G147="",$H147="",$I147=""),"",IF(AND($F147=$H147,$G147=$I147),3,IF(SIGN($F147-$G147)=SIGN($H147-$I147),1,0)))</f>
        <v/>
      </c>
      <c r="K147" s="2">
        <f>IF($J147="","",IF($J147=3,"Exact",IF($J147=1,"Correct","Miss")))</f>
        <v/>
      </c>
    </row>
    <row r="148">
      <c r="A148" t="n">
        <v>147</v>
      </c>
      <c r="D148" s="2">
        <f>IFERROR(VLOOKUP($C148,'Tabela de Jogos'!$A:$J,4,FALSE),"")</f>
        <v/>
      </c>
      <c r="E148" s="2">
        <f>IFERROR(VLOOKUP($C148,'Tabela de Jogos'!$A:$J,5,FALSE),"")</f>
        <v/>
      </c>
      <c r="F148" s="2" t="n"/>
      <c r="G148" s="2" t="n"/>
      <c r="H148">
        <f>IFERROR(VLOOKUP($C148,'Tabela de Jogos'!$A:$J,8,FALSE),"")</f>
        <v/>
      </c>
      <c r="I148">
        <f>IFERROR(VLOOKUP($C148,'Tabela de Jogos'!$A:$J,9,FALSE),"")</f>
        <v/>
      </c>
      <c r="J148" s="2">
        <f>IF(OR($F148="",$G148="",$H148="",$I148=""),"",IF(AND($F148=$H148,$G148=$I148),3,IF(SIGN($F148-$G148)=SIGN($H148-$I148),1,0)))</f>
        <v/>
      </c>
      <c r="K148" s="2">
        <f>IF($J148="","",IF($J148=3,"Exact",IF($J148=1,"Correct","Miss")))</f>
        <v/>
      </c>
    </row>
    <row r="149">
      <c r="A149" t="n">
        <v>148</v>
      </c>
      <c r="D149" s="2">
        <f>IFERROR(VLOOKUP($C149,'Tabela de Jogos'!$A:$J,4,FALSE),"")</f>
        <v/>
      </c>
      <c r="E149" s="2">
        <f>IFERROR(VLOOKUP($C149,'Tabela de Jogos'!$A:$J,5,FALSE),"")</f>
        <v/>
      </c>
      <c r="F149" s="2" t="n"/>
      <c r="G149" s="2" t="n"/>
      <c r="H149">
        <f>IFERROR(VLOOKUP($C149,'Tabela de Jogos'!$A:$J,8,FALSE),"")</f>
        <v/>
      </c>
      <c r="I149">
        <f>IFERROR(VLOOKUP($C149,'Tabela de Jogos'!$A:$J,9,FALSE),"")</f>
        <v/>
      </c>
      <c r="J149" s="2">
        <f>IF(OR($F149="",$G149="",$H149="",$I149=""),"",IF(AND($F149=$H149,$G149=$I149),3,IF(SIGN($F149-$G149)=SIGN($H149-$I149),1,0)))</f>
        <v/>
      </c>
      <c r="K149" s="2">
        <f>IF($J149="","",IF($J149=3,"Exact",IF($J149=1,"Correct","Miss")))</f>
        <v/>
      </c>
    </row>
    <row r="150">
      <c r="A150" t="n">
        <v>149</v>
      </c>
      <c r="D150" s="2">
        <f>IFERROR(VLOOKUP($C150,'Tabela de Jogos'!$A:$J,4,FALSE),"")</f>
        <v/>
      </c>
      <c r="E150" s="2">
        <f>IFERROR(VLOOKUP($C150,'Tabela de Jogos'!$A:$J,5,FALSE),"")</f>
        <v/>
      </c>
      <c r="F150" s="2" t="n"/>
      <c r="G150" s="2" t="n"/>
      <c r="H150">
        <f>IFERROR(VLOOKUP($C150,'Tabela de Jogos'!$A:$J,8,FALSE),"")</f>
        <v/>
      </c>
      <c r="I150">
        <f>IFERROR(VLOOKUP($C150,'Tabela de Jogos'!$A:$J,9,FALSE),"")</f>
        <v/>
      </c>
      <c r="J150" s="2">
        <f>IF(OR($F150="",$G150="",$H150="",$I150=""),"",IF(AND($F150=$H150,$G150=$I150),3,IF(SIGN($F150-$G150)=SIGN($H150-$I150),1,0)))</f>
        <v/>
      </c>
      <c r="K150" s="2">
        <f>IF($J150="","",IF($J150=3,"Exact",IF($J150=1,"Correct","Miss")))</f>
        <v/>
      </c>
    </row>
    <row r="151">
      <c r="A151" t="n">
        <v>150</v>
      </c>
      <c r="D151" s="2">
        <f>IFERROR(VLOOKUP($C151,'Tabela de Jogos'!$A:$J,4,FALSE),"")</f>
        <v/>
      </c>
      <c r="E151" s="2">
        <f>IFERROR(VLOOKUP($C151,'Tabela de Jogos'!$A:$J,5,FALSE),"")</f>
        <v/>
      </c>
      <c r="F151" s="2" t="n"/>
      <c r="G151" s="2" t="n"/>
      <c r="H151">
        <f>IFERROR(VLOOKUP($C151,'Tabela de Jogos'!$A:$J,8,FALSE),"")</f>
        <v/>
      </c>
      <c r="I151">
        <f>IFERROR(VLOOKUP($C151,'Tabela de Jogos'!$A:$J,9,FALSE),"")</f>
        <v/>
      </c>
      <c r="J151" s="2">
        <f>IF(OR($F151="",$G151="",$H151="",$I151=""),"",IF(AND($F151=$H151,$G151=$I151),3,IF(SIGN($F151-$G151)=SIGN($H151-$I151),1,0)))</f>
        <v/>
      </c>
      <c r="K151" s="2">
        <f>IF($J151="","",IF($J151=3,"Exact",IF($J151=1,"Correct","Miss")))</f>
        <v/>
      </c>
    </row>
    <row r="152">
      <c r="A152" t="n">
        <v>151</v>
      </c>
      <c r="D152" s="2">
        <f>IFERROR(VLOOKUP($C152,'Tabela de Jogos'!$A:$J,4,FALSE),"")</f>
        <v/>
      </c>
      <c r="E152" s="2">
        <f>IFERROR(VLOOKUP($C152,'Tabela de Jogos'!$A:$J,5,FALSE),"")</f>
        <v/>
      </c>
      <c r="F152" s="2" t="n"/>
      <c r="G152" s="2" t="n"/>
      <c r="H152">
        <f>IFERROR(VLOOKUP($C152,'Tabela de Jogos'!$A:$J,8,FALSE),"")</f>
        <v/>
      </c>
      <c r="I152">
        <f>IFERROR(VLOOKUP($C152,'Tabela de Jogos'!$A:$J,9,FALSE),"")</f>
        <v/>
      </c>
      <c r="J152" s="2">
        <f>IF(OR($F152="",$G152="",$H152="",$I152=""),"",IF(AND($F152=$H152,$G152=$I152),3,IF(SIGN($F152-$G152)=SIGN($H152-$I152),1,0)))</f>
        <v/>
      </c>
      <c r="K152" s="2">
        <f>IF($J152="","",IF($J152=3,"Exact",IF($J152=1,"Correct","Miss")))</f>
        <v/>
      </c>
    </row>
    <row r="153">
      <c r="A153" t="n">
        <v>152</v>
      </c>
      <c r="D153" s="2">
        <f>IFERROR(VLOOKUP($C153,'Tabela de Jogos'!$A:$J,4,FALSE),"")</f>
        <v/>
      </c>
      <c r="E153" s="2">
        <f>IFERROR(VLOOKUP($C153,'Tabela de Jogos'!$A:$J,5,FALSE),"")</f>
        <v/>
      </c>
      <c r="F153" s="2" t="n"/>
      <c r="G153" s="2" t="n"/>
      <c r="H153">
        <f>IFERROR(VLOOKUP($C153,'Tabela de Jogos'!$A:$J,8,FALSE),"")</f>
        <v/>
      </c>
      <c r="I153">
        <f>IFERROR(VLOOKUP($C153,'Tabela de Jogos'!$A:$J,9,FALSE),"")</f>
        <v/>
      </c>
      <c r="J153" s="2">
        <f>IF(OR($F153="",$G153="",$H153="",$I153=""),"",IF(AND($F153=$H153,$G153=$I153),3,IF(SIGN($F153-$G153)=SIGN($H153-$I153),1,0)))</f>
        <v/>
      </c>
      <c r="K153" s="2">
        <f>IF($J153="","",IF($J153=3,"Exact",IF($J153=1,"Correct","Miss")))</f>
        <v/>
      </c>
    </row>
    <row r="154">
      <c r="A154" t="n">
        <v>153</v>
      </c>
      <c r="D154" s="2">
        <f>IFERROR(VLOOKUP($C154,'Tabela de Jogos'!$A:$J,4,FALSE),"")</f>
        <v/>
      </c>
      <c r="E154" s="2">
        <f>IFERROR(VLOOKUP($C154,'Tabela de Jogos'!$A:$J,5,FALSE),"")</f>
        <v/>
      </c>
      <c r="F154" s="2" t="n"/>
      <c r="G154" s="2" t="n"/>
      <c r="H154">
        <f>IFERROR(VLOOKUP($C154,'Tabela de Jogos'!$A:$J,8,FALSE),"")</f>
        <v/>
      </c>
      <c r="I154">
        <f>IFERROR(VLOOKUP($C154,'Tabela de Jogos'!$A:$J,9,FALSE),"")</f>
        <v/>
      </c>
      <c r="J154" s="2">
        <f>IF(OR($F154="",$G154="",$H154="",$I154=""),"",IF(AND($F154=$H154,$G154=$I154),3,IF(SIGN($F154-$G154)=SIGN($H154-$I154),1,0)))</f>
        <v/>
      </c>
      <c r="K154" s="2">
        <f>IF($J154="","",IF($J154=3,"Exact",IF($J154=1,"Correct","Miss")))</f>
        <v/>
      </c>
    </row>
    <row r="155">
      <c r="A155" t="n">
        <v>154</v>
      </c>
      <c r="D155" s="2">
        <f>IFERROR(VLOOKUP($C155,'Tabela de Jogos'!$A:$J,4,FALSE),"")</f>
        <v/>
      </c>
      <c r="E155" s="2">
        <f>IFERROR(VLOOKUP($C155,'Tabela de Jogos'!$A:$J,5,FALSE),"")</f>
        <v/>
      </c>
      <c r="F155" s="2" t="n"/>
      <c r="G155" s="2" t="n"/>
      <c r="H155">
        <f>IFERROR(VLOOKUP($C155,'Tabela de Jogos'!$A:$J,8,FALSE),"")</f>
        <v/>
      </c>
      <c r="I155">
        <f>IFERROR(VLOOKUP($C155,'Tabela de Jogos'!$A:$J,9,FALSE),"")</f>
        <v/>
      </c>
      <c r="J155" s="2">
        <f>IF(OR($F155="",$G155="",$H155="",$I155=""),"",IF(AND($F155=$H155,$G155=$I155),3,IF(SIGN($F155-$G155)=SIGN($H155-$I155),1,0)))</f>
        <v/>
      </c>
      <c r="K155" s="2">
        <f>IF($J155="","",IF($J155=3,"Exact",IF($J155=1,"Correct","Miss")))</f>
        <v/>
      </c>
    </row>
    <row r="156">
      <c r="A156" t="n">
        <v>155</v>
      </c>
      <c r="D156" s="2">
        <f>IFERROR(VLOOKUP($C156,'Tabela de Jogos'!$A:$J,4,FALSE),"")</f>
        <v/>
      </c>
      <c r="E156" s="2">
        <f>IFERROR(VLOOKUP($C156,'Tabela de Jogos'!$A:$J,5,FALSE),"")</f>
        <v/>
      </c>
      <c r="F156" s="2" t="n"/>
      <c r="G156" s="2" t="n"/>
      <c r="H156">
        <f>IFERROR(VLOOKUP($C156,'Tabela de Jogos'!$A:$J,8,FALSE),"")</f>
        <v/>
      </c>
      <c r="I156">
        <f>IFERROR(VLOOKUP($C156,'Tabela de Jogos'!$A:$J,9,FALSE),"")</f>
        <v/>
      </c>
      <c r="J156" s="2">
        <f>IF(OR($F156="",$G156="",$H156="",$I156=""),"",IF(AND($F156=$H156,$G156=$I156),3,IF(SIGN($F156-$G156)=SIGN($H156-$I156),1,0)))</f>
        <v/>
      </c>
      <c r="K156" s="2">
        <f>IF($J156="","",IF($J156=3,"Exact",IF($J156=1,"Correct","Miss")))</f>
        <v/>
      </c>
    </row>
    <row r="157">
      <c r="A157" t="n">
        <v>156</v>
      </c>
      <c r="D157" s="2">
        <f>IFERROR(VLOOKUP($C157,'Tabela de Jogos'!$A:$J,4,FALSE),"")</f>
        <v/>
      </c>
      <c r="E157" s="2">
        <f>IFERROR(VLOOKUP($C157,'Tabela de Jogos'!$A:$J,5,FALSE),"")</f>
        <v/>
      </c>
      <c r="F157" s="2" t="n"/>
      <c r="G157" s="2" t="n"/>
      <c r="H157">
        <f>IFERROR(VLOOKUP($C157,'Tabela de Jogos'!$A:$J,8,FALSE),"")</f>
        <v/>
      </c>
      <c r="I157">
        <f>IFERROR(VLOOKUP($C157,'Tabela de Jogos'!$A:$J,9,FALSE),"")</f>
        <v/>
      </c>
      <c r="J157" s="2">
        <f>IF(OR($F157="",$G157="",$H157="",$I157=""),"",IF(AND($F157=$H157,$G157=$I157),3,IF(SIGN($F157-$G157)=SIGN($H157-$I157),1,0)))</f>
        <v/>
      </c>
      <c r="K157" s="2">
        <f>IF($J157="","",IF($J157=3,"Exact",IF($J157=1,"Correct","Miss")))</f>
        <v/>
      </c>
    </row>
    <row r="158">
      <c r="A158" t="n">
        <v>157</v>
      </c>
      <c r="D158" s="2">
        <f>IFERROR(VLOOKUP($C158,'Tabela de Jogos'!$A:$J,4,FALSE),"")</f>
        <v/>
      </c>
      <c r="E158" s="2">
        <f>IFERROR(VLOOKUP($C158,'Tabela de Jogos'!$A:$J,5,FALSE),"")</f>
        <v/>
      </c>
      <c r="F158" s="2" t="n"/>
      <c r="G158" s="2" t="n"/>
      <c r="H158">
        <f>IFERROR(VLOOKUP($C158,'Tabela de Jogos'!$A:$J,8,FALSE),"")</f>
        <v/>
      </c>
      <c r="I158">
        <f>IFERROR(VLOOKUP($C158,'Tabela de Jogos'!$A:$J,9,FALSE),"")</f>
        <v/>
      </c>
      <c r="J158" s="2">
        <f>IF(OR($F158="",$G158="",$H158="",$I158=""),"",IF(AND($F158=$H158,$G158=$I158),3,IF(SIGN($F158-$G158)=SIGN($H158-$I158),1,0)))</f>
        <v/>
      </c>
      <c r="K158" s="2">
        <f>IF($J158="","",IF($J158=3,"Exact",IF($J158=1,"Correct","Miss")))</f>
        <v/>
      </c>
    </row>
    <row r="159">
      <c r="A159" t="n">
        <v>158</v>
      </c>
      <c r="D159" s="2">
        <f>IFERROR(VLOOKUP($C159,'Tabela de Jogos'!$A:$J,4,FALSE),"")</f>
        <v/>
      </c>
      <c r="E159" s="2">
        <f>IFERROR(VLOOKUP($C159,'Tabela de Jogos'!$A:$J,5,FALSE),"")</f>
        <v/>
      </c>
      <c r="F159" s="2" t="n"/>
      <c r="G159" s="2" t="n"/>
      <c r="H159">
        <f>IFERROR(VLOOKUP($C159,'Tabela de Jogos'!$A:$J,8,FALSE),"")</f>
        <v/>
      </c>
      <c r="I159">
        <f>IFERROR(VLOOKUP($C159,'Tabela de Jogos'!$A:$J,9,FALSE),"")</f>
        <v/>
      </c>
      <c r="J159" s="2">
        <f>IF(OR($F159="",$G159="",$H159="",$I159=""),"",IF(AND($F159=$H159,$G159=$I159),3,IF(SIGN($F159-$G159)=SIGN($H159-$I159),1,0)))</f>
        <v/>
      </c>
      <c r="K159" s="2">
        <f>IF($J159="","",IF($J159=3,"Exact",IF($J159=1,"Correct","Miss")))</f>
        <v/>
      </c>
    </row>
    <row r="160">
      <c r="A160" t="n">
        <v>159</v>
      </c>
      <c r="D160" s="2">
        <f>IFERROR(VLOOKUP($C160,'Tabela de Jogos'!$A:$J,4,FALSE),"")</f>
        <v/>
      </c>
      <c r="E160" s="2">
        <f>IFERROR(VLOOKUP($C160,'Tabela de Jogos'!$A:$J,5,FALSE),"")</f>
        <v/>
      </c>
      <c r="F160" s="2" t="n"/>
      <c r="G160" s="2" t="n"/>
      <c r="H160">
        <f>IFERROR(VLOOKUP($C160,'Tabela de Jogos'!$A:$J,8,FALSE),"")</f>
        <v/>
      </c>
      <c r="I160">
        <f>IFERROR(VLOOKUP($C160,'Tabela de Jogos'!$A:$J,9,FALSE),"")</f>
        <v/>
      </c>
      <c r="J160" s="2">
        <f>IF(OR($F160="",$G160="",$H160="",$I160=""),"",IF(AND($F160=$H160,$G160=$I160),3,IF(SIGN($F160-$G160)=SIGN($H160-$I160),1,0)))</f>
        <v/>
      </c>
      <c r="K160" s="2">
        <f>IF($J160="","",IF($J160=3,"Exact",IF($J160=1,"Correct","Miss")))</f>
        <v/>
      </c>
    </row>
    <row r="161">
      <c r="A161" t="n">
        <v>160</v>
      </c>
      <c r="D161" s="2">
        <f>IFERROR(VLOOKUP($C161,'Tabela de Jogos'!$A:$J,4,FALSE),"")</f>
        <v/>
      </c>
      <c r="E161" s="2">
        <f>IFERROR(VLOOKUP($C161,'Tabela de Jogos'!$A:$J,5,FALSE),"")</f>
        <v/>
      </c>
      <c r="F161" s="2" t="n"/>
      <c r="G161" s="2" t="n"/>
      <c r="H161">
        <f>IFERROR(VLOOKUP($C161,'Tabela de Jogos'!$A:$J,8,FALSE),"")</f>
        <v/>
      </c>
      <c r="I161">
        <f>IFERROR(VLOOKUP($C161,'Tabela de Jogos'!$A:$J,9,FALSE),"")</f>
        <v/>
      </c>
      <c r="J161" s="2">
        <f>IF(OR($F161="",$G161="",$H161="",$I161=""),"",IF(AND($F161=$H161,$G161=$I161),3,IF(SIGN($F161-$G161)=SIGN($H161-$I161),1,0)))</f>
        <v/>
      </c>
      <c r="K161" s="2">
        <f>IF($J161="","",IF($J161=3,"Exact",IF($J161=1,"Correct","Miss")))</f>
        <v/>
      </c>
    </row>
    <row r="162">
      <c r="A162" t="n">
        <v>161</v>
      </c>
      <c r="D162" s="2">
        <f>IFERROR(VLOOKUP($C162,'Tabela de Jogos'!$A:$J,4,FALSE),"")</f>
        <v/>
      </c>
      <c r="E162" s="2">
        <f>IFERROR(VLOOKUP($C162,'Tabela de Jogos'!$A:$J,5,FALSE),"")</f>
        <v/>
      </c>
      <c r="F162" s="2" t="n"/>
      <c r="G162" s="2" t="n"/>
      <c r="H162">
        <f>IFERROR(VLOOKUP($C162,'Tabela de Jogos'!$A:$J,8,FALSE),"")</f>
        <v/>
      </c>
      <c r="I162">
        <f>IFERROR(VLOOKUP($C162,'Tabela de Jogos'!$A:$J,9,FALSE),"")</f>
        <v/>
      </c>
      <c r="J162" s="2">
        <f>IF(OR($F162="",$G162="",$H162="",$I162=""),"",IF(AND($F162=$H162,$G162=$I162),3,IF(SIGN($F162-$G162)=SIGN($H162-$I162),1,0)))</f>
        <v/>
      </c>
      <c r="K162" s="2">
        <f>IF($J162="","",IF($J162=3,"Exact",IF($J162=1,"Correct","Miss")))</f>
        <v/>
      </c>
    </row>
    <row r="163">
      <c r="A163" t="n">
        <v>162</v>
      </c>
      <c r="D163" s="2">
        <f>IFERROR(VLOOKUP($C163,'Tabela de Jogos'!$A:$J,4,FALSE),"")</f>
        <v/>
      </c>
      <c r="E163" s="2">
        <f>IFERROR(VLOOKUP($C163,'Tabela de Jogos'!$A:$J,5,FALSE),"")</f>
        <v/>
      </c>
      <c r="F163" s="2" t="n"/>
      <c r="G163" s="2" t="n"/>
      <c r="H163">
        <f>IFERROR(VLOOKUP($C163,'Tabela de Jogos'!$A:$J,8,FALSE),"")</f>
        <v/>
      </c>
      <c r="I163">
        <f>IFERROR(VLOOKUP($C163,'Tabela de Jogos'!$A:$J,9,FALSE),"")</f>
        <v/>
      </c>
      <c r="J163" s="2">
        <f>IF(OR($F163="",$G163="",$H163="",$I163=""),"",IF(AND($F163=$H163,$G163=$I163),3,IF(SIGN($F163-$G163)=SIGN($H163-$I163),1,0)))</f>
        <v/>
      </c>
      <c r="K163" s="2">
        <f>IF($J163="","",IF($J163=3,"Exact",IF($J163=1,"Correct","Miss")))</f>
        <v/>
      </c>
    </row>
    <row r="164">
      <c r="A164" t="n">
        <v>163</v>
      </c>
      <c r="D164" s="2">
        <f>IFERROR(VLOOKUP($C164,'Tabela de Jogos'!$A:$J,4,FALSE),"")</f>
        <v/>
      </c>
      <c r="E164" s="2">
        <f>IFERROR(VLOOKUP($C164,'Tabela de Jogos'!$A:$J,5,FALSE),"")</f>
        <v/>
      </c>
      <c r="F164" s="2" t="n"/>
      <c r="G164" s="2" t="n"/>
      <c r="H164">
        <f>IFERROR(VLOOKUP($C164,'Tabela de Jogos'!$A:$J,8,FALSE),"")</f>
        <v/>
      </c>
      <c r="I164">
        <f>IFERROR(VLOOKUP($C164,'Tabela de Jogos'!$A:$J,9,FALSE),"")</f>
        <v/>
      </c>
      <c r="J164" s="2">
        <f>IF(OR($F164="",$G164="",$H164="",$I164=""),"",IF(AND($F164=$H164,$G164=$I164),3,IF(SIGN($F164-$G164)=SIGN($H164-$I164),1,0)))</f>
        <v/>
      </c>
      <c r="K164" s="2">
        <f>IF($J164="","",IF($J164=3,"Exact",IF($J164=1,"Correct","Miss")))</f>
        <v/>
      </c>
    </row>
    <row r="165">
      <c r="A165" t="n">
        <v>164</v>
      </c>
      <c r="D165" s="2">
        <f>IFERROR(VLOOKUP($C165,'Tabela de Jogos'!$A:$J,4,FALSE),"")</f>
        <v/>
      </c>
      <c r="E165" s="2">
        <f>IFERROR(VLOOKUP($C165,'Tabela de Jogos'!$A:$J,5,FALSE),"")</f>
        <v/>
      </c>
      <c r="F165" s="2" t="n"/>
      <c r="G165" s="2" t="n"/>
      <c r="H165">
        <f>IFERROR(VLOOKUP($C165,'Tabela de Jogos'!$A:$J,8,FALSE),"")</f>
        <v/>
      </c>
      <c r="I165">
        <f>IFERROR(VLOOKUP($C165,'Tabela de Jogos'!$A:$J,9,FALSE),"")</f>
        <v/>
      </c>
      <c r="J165" s="2">
        <f>IF(OR($F165="",$G165="",$H165="",$I165=""),"",IF(AND($F165=$H165,$G165=$I165),3,IF(SIGN($F165-$G165)=SIGN($H165-$I165),1,0)))</f>
        <v/>
      </c>
      <c r="K165" s="2">
        <f>IF($J165="","",IF($J165=3,"Exact",IF($J165=1,"Correct","Miss")))</f>
        <v/>
      </c>
    </row>
    <row r="166">
      <c r="A166" t="n">
        <v>165</v>
      </c>
      <c r="D166" s="2">
        <f>IFERROR(VLOOKUP($C166,'Tabela de Jogos'!$A:$J,4,FALSE),"")</f>
        <v/>
      </c>
      <c r="E166" s="2">
        <f>IFERROR(VLOOKUP($C166,'Tabela de Jogos'!$A:$J,5,FALSE),"")</f>
        <v/>
      </c>
      <c r="F166" s="2" t="n"/>
      <c r="G166" s="2" t="n"/>
      <c r="H166">
        <f>IFERROR(VLOOKUP($C166,'Tabela de Jogos'!$A:$J,8,FALSE),"")</f>
        <v/>
      </c>
      <c r="I166">
        <f>IFERROR(VLOOKUP($C166,'Tabela de Jogos'!$A:$J,9,FALSE),"")</f>
        <v/>
      </c>
      <c r="J166" s="2">
        <f>IF(OR($F166="",$G166="",$H166="",$I166=""),"",IF(AND($F166=$H166,$G166=$I166),3,IF(SIGN($F166-$G166)=SIGN($H166-$I166),1,0)))</f>
        <v/>
      </c>
      <c r="K166" s="2">
        <f>IF($J166="","",IF($J166=3,"Exact",IF($J166=1,"Correct","Miss")))</f>
        <v/>
      </c>
    </row>
    <row r="167">
      <c r="A167" t="n">
        <v>166</v>
      </c>
      <c r="D167" s="2">
        <f>IFERROR(VLOOKUP($C167,'Tabela de Jogos'!$A:$J,4,FALSE),"")</f>
        <v/>
      </c>
      <c r="E167" s="2">
        <f>IFERROR(VLOOKUP($C167,'Tabela de Jogos'!$A:$J,5,FALSE),"")</f>
        <v/>
      </c>
      <c r="F167" s="2" t="n"/>
      <c r="G167" s="2" t="n"/>
      <c r="H167">
        <f>IFERROR(VLOOKUP($C167,'Tabela de Jogos'!$A:$J,8,FALSE),"")</f>
        <v/>
      </c>
      <c r="I167">
        <f>IFERROR(VLOOKUP($C167,'Tabela de Jogos'!$A:$J,9,FALSE),"")</f>
        <v/>
      </c>
      <c r="J167" s="2">
        <f>IF(OR($F167="",$G167="",$H167="",$I167=""),"",IF(AND($F167=$H167,$G167=$I167),3,IF(SIGN($F167-$G167)=SIGN($H167-$I167),1,0)))</f>
        <v/>
      </c>
      <c r="K167" s="2">
        <f>IF($J167="","",IF($J167=3,"Exact",IF($J167=1,"Correct","Miss")))</f>
        <v/>
      </c>
    </row>
    <row r="168">
      <c r="A168" t="n">
        <v>167</v>
      </c>
      <c r="D168" s="2">
        <f>IFERROR(VLOOKUP($C168,'Tabela de Jogos'!$A:$J,4,FALSE),"")</f>
        <v/>
      </c>
      <c r="E168" s="2">
        <f>IFERROR(VLOOKUP($C168,'Tabela de Jogos'!$A:$J,5,FALSE),"")</f>
        <v/>
      </c>
      <c r="F168" s="2" t="n"/>
      <c r="G168" s="2" t="n"/>
      <c r="H168">
        <f>IFERROR(VLOOKUP($C168,'Tabela de Jogos'!$A:$J,8,FALSE),"")</f>
        <v/>
      </c>
      <c r="I168">
        <f>IFERROR(VLOOKUP($C168,'Tabela de Jogos'!$A:$J,9,FALSE),"")</f>
        <v/>
      </c>
      <c r="J168" s="2">
        <f>IF(OR($F168="",$G168="",$H168="",$I168=""),"",IF(AND($F168=$H168,$G168=$I168),3,IF(SIGN($F168-$G168)=SIGN($H168-$I168),1,0)))</f>
        <v/>
      </c>
      <c r="K168" s="2">
        <f>IF($J168="","",IF($J168=3,"Exact",IF($J168=1,"Correct","Miss")))</f>
        <v/>
      </c>
    </row>
    <row r="169">
      <c r="A169" t="n">
        <v>168</v>
      </c>
      <c r="D169" s="2">
        <f>IFERROR(VLOOKUP($C169,'Tabela de Jogos'!$A:$J,4,FALSE),"")</f>
        <v/>
      </c>
      <c r="E169" s="2">
        <f>IFERROR(VLOOKUP($C169,'Tabela de Jogos'!$A:$J,5,FALSE),"")</f>
        <v/>
      </c>
      <c r="F169" s="2" t="n"/>
      <c r="G169" s="2" t="n"/>
      <c r="H169">
        <f>IFERROR(VLOOKUP($C169,'Tabela de Jogos'!$A:$J,8,FALSE),"")</f>
        <v/>
      </c>
      <c r="I169">
        <f>IFERROR(VLOOKUP($C169,'Tabela de Jogos'!$A:$J,9,FALSE),"")</f>
        <v/>
      </c>
      <c r="J169" s="2">
        <f>IF(OR($F169="",$G169="",$H169="",$I169=""),"",IF(AND($F169=$H169,$G169=$I169),3,IF(SIGN($F169-$G169)=SIGN($H169-$I169),1,0)))</f>
        <v/>
      </c>
      <c r="K169" s="2">
        <f>IF($J169="","",IF($J169=3,"Exact",IF($J169=1,"Correct","Miss")))</f>
        <v/>
      </c>
    </row>
    <row r="170">
      <c r="A170" t="n">
        <v>169</v>
      </c>
      <c r="D170" s="2">
        <f>IFERROR(VLOOKUP($C170,'Tabela de Jogos'!$A:$J,4,FALSE),"")</f>
        <v/>
      </c>
      <c r="E170" s="2">
        <f>IFERROR(VLOOKUP($C170,'Tabela de Jogos'!$A:$J,5,FALSE),"")</f>
        <v/>
      </c>
      <c r="F170" s="2" t="n"/>
      <c r="G170" s="2" t="n"/>
      <c r="H170">
        <f>IFERROR(VLOOKUP($C170,'Tabela de Jogos'!$A:$J,8,FALSE),"")</f>
        <v/>
      </c>
      <c r="I170">
        <f>IFERROR(VLOOKUP($C170,'Tabela de Jogos'!$A:$J,9,FALSE),"")</f>
        <v/>
      </c>
      <c r="J170" s="2">
        <f>IF(OR($F170="",$G170="",$H170="",$I170=""),"",IF(AND($F170=$H170,$G170=$I170),3,IF(SIGN($F170-$G170)=SIGN($H170-$I170),1,0)))</f>
        <v/>
      </c>
      <c r="K170" s="2">
        <f>IF($J170="","",IF($J170=3,"Exact",IF($J170=1,"Correct","Miss")))</f>
        <v/>
      </c>
    </row>
    <row r="171">
      <c r="A171" t="n">
        <v>170</v>
      </c>
      <c r="D171" s="2">
        <f>IFERROR(VLOOKUP($C171,'Tabela de Jogos'!$A:$J,4,FALSE),"")</f>
        <v/>
      </c>
      <c r="E171" s="2">
        <f>IFERROR(VLOOKUP($C171,'Tabela de Jogos'!$A:$J,5,FALSE),"")</f>
        <v/>
      </c>
      <c r="F171" s="2" t="n"/>
      <c r="G171" s="2" t="n"/>
      <c r="H171">
        <f>IFERROR(VLOOKUP($C171,'Tabela de Jogos'!$A:$J,8,FALSE),"")</f>
        <v/>
      </c>
      <c r="I171">
        <f>IFERROR(VLOOKUP($C171,'Tabela de Jogos'!$A:$J,9,FALSE),"")</f>
        <v/>
      </c>
      <c r="J171" s="2">
        <f>IF(OR($F171="",$G171="",$H171="",$I171=""),"",IF(AND($F171=$H171,$G171=$I171),3,IF(SIGN($F171-$G171)=SIGN($H171-$I171),1,0)))</f>
        <v/>
      </c>
      <c r="K171" s="2">
        <f>IF($J171="","",IF($J171=3,"Exact",IF($J171=1,"Correct","Miss")))</f>
        <v/>
      </c>
    </row>
    <row r="172">
      <c r="A172" t="n">
        <v>171</v>
      </c>
      <c r="D172" s="2">
        <f>IFERROR(VLOOKUP($C172,'Tabela de Jogos'!$A:$J,4,FALSE),"")</f>
        <v/>
      </c>
      <c r="E172" s="2">
        <f>IFERROR(VLOOKUP($C172,'Tabela de Jogos'!$A:$J,5,FALSE),"")</f>
        <v/>
      </c>
      <c r="F172" s="2" t="n"/>
      <c r="G172" s="2" t="n"/>
      <c r="H172">
        <f>IFERROR(VLOOKUP($C172,'Tabela de Jogos'!$A:$J,8,FALSE),"")</f>
        <v/>
      </c>
      <c r="I172">
        <f>IFERROR(VLOOKUP($C172,'Tabela de Jogos'!$A:$J,9,FALSE),"")</f>
        <v/>
      </c>
      <c r="J172" s="2">
        <f>IF(OR($F172="",$G172="",$H172="",$I172=""),"",IF(AND($F172=$H172,$G172=$I172),3,IF(SIGN($F172-$G172)=SIGN($H172-$I172),1,0)))</f>
        <v/>
      </c>
      <c r="K172" s="2">
        <f>IF($J172="","",IF($J172=3,"Exact",IF($J172=1,"Correct","Miss")))</f>
        <v/>
      </c>
    </row>
    <row r="173">
      <c r="A173" t="n">
        <v>172</v>
      </c>
      <c r="D173" s="2">
        <f>IFERROR(VLOOKUP($C173,'Tabela de Jogos'!$A:$J,4,FALSE),"")</f>
        <v/>
      </c>
      <c r="E173" s="2">
        <f>IFERROR(VLOOKUP($C173,'Tabela de Jogos'!$A:$J,5,FALSE),"")</f>
        <v/>
      </c>
      <c r="F173" s="2" t="n"/>
      <c r="G173" s="2" t="n"/>
      <c r="H173">
        <f>IFERROR(VLOOKUP($C173,'Tabela de Jogos'!$A:$J,8,FALSE),"")</f>
        <v/>
      </c>
      <c r="I173">
        <f>IFERROR(VLOOKUP($C173,'Tabela de Jogos'!$A:$J,9,FALSE),"")</f>
        <v/>
      </c>
      <c r="J173" s="2">
        <f>IF(OR($F173="",$G173="",$H173="",$I173=""),"",IF(AND($F173=$H173,$G173=$I173),3,IF(SIGN($F173-$G173)=SIGN($H173-$I173),1,0)))</f>
        <v/>
      </c>
      <c r="K173" s="2">
        <f>IF($J173="","",IF($J173=3,"Exact",IF($J173=1,"Correct","Miss")))</f>
        <v/>
      </c>
    </row>
    <row r="174">
      <c r="A174" t="n">
        <v>173</v>
      </c>
      <c r="D174" s="2">
        <f>IFERROR(VLOOKUP($C174,'Tabela de Jogos'!$A:$J,4,FALSE),"")</f>
        <v/>
      </c>
      <c r="E174" s="2">
        <f>IFERROR(VLOOKUP($C174,'Tabela de Jogos'!$A:$J,5,FALSE),"")</f>
        <v/>
      </c>
      <c r="F174" s="2" t="n"/>
      <c r="G174" s="2" t="n"/>
      <c r="H174">
        <f>IFERROR(VLOOKUP($C174,'Tabela de Jogos'!$A:$J,8,FALSE),"")</f>
        <v/>
      </c>
      <c r="I174">
        <f>IFERROR(VLOOKUP($C174,'Tabela de Jogos'!$A:$J,9,FALSE),"")</f>
        <v/>
      </c>
      <c r="J174" s="2">
        <f>IF(OR($F174="",$G174="",$H174="",$I174=""),"",IF(AND($F174=$H174,$G174=$I174),3,IF(SIGN($F174-$G174)=SIGN($H174-$I174),1,0)))</f>
        <v/>
      </c>
      <c r="K174" s="2">
        <f>IF($J174="","",IF($J174=3,"Exact",IF($J174=1,"Correct","Miss")))</f>
        <v/>
      </c>
    </row>
    <row r="175">
      <c r="A175" t="n">
        <v>174</v>
      </c>
      <c r="D175" s="2">
        <f>IFERROR(VLOOKUP($C175,'Tabela de Jogos'!$A:$J,4,FALSE),"")</f>
        <v/>
      </c>
      <c r="E175" s="2">
        <f>IFERROR(VLOOKUP($C175,'Tabela de Jogos'!$A:$J,5,FALSE),"")</f>
        <v/>
      </c>
      <c r="F175" s="2" t="n"/>
      <c r="G175" s="2" t="n"/>
      <c r="H175">
        <f>IFERROR(VLOOKUP($C175,'Tabela de Jogos'!$A:$J,8,FALSE),"")</f>
        <v/>
      </c>
      <c r="I175">
        <f>IFERROR(VLOOKUP($C175,'Tabela de Jogos'!$A:$J,9,FALSE),"")</f>
        <v/>
      </c>
      <c r="J175" s="2">
        <f>IF(OR($F175="",$G175="",$H175="",$I175=""),"",IF(AND($F175=$H175,$G175=$I175),3,IF(SIGN($F175-$G175)=SIGN($H175-$I175),1,0)))</f>
        <v/>
      </c>
      <c r="K175" s="2">
        <f>IF($J175="","",IF($J175=3,"Exact",IF($J175=1,"Correct","Miss")))</f>
        <v/>
      </c>
    </row>
    <row r="176">
      <c r="A176" t="n">
        <v>175</v>
      </c>
      <c r="D176" s="2">
        <f>IFERROR(VLOOKUP($C176,'Tabela de Jogos'!$A:$J,4,FALSE),"")</f>
        <v/>
      </c>
      <c r="E176" s="2">
        <f>IFERROR(VLOOKUP($C176,'Tabela de Jogos'!$A:$J,5,FALSE),"")</f>
        <v/>
      </c>
      <c r="F176" s="2" t="n"/>
      <c r="G176" s="2" t="n"/>
      <c r="H176">
        <f>IFERROR(VLOOKUP($C176,'Tabela de Jogos'!$A:$J,8,FALSE),"")</f>
        <v/>
      </c>
      <c r="I176">
        <f>IFERROR(VLOOKUP($C176,'Tabela de Jogos'!$A:$J,9,FALSE),"")</f>
        <v/>
      </c>
      <c r="J176" s="2">
        <f>IF(OR($F176="",$G176="",$H176="",$I176=""),"",IF(AND($F176=$H176,$G176=$I176),3,IF(SIGN($F176-$G176)=SIGN($H176-$I176),1,0)))</f>
        <v/>
      </c>
      <c r="K176" s="2">
        <f>IF($J176="","",IF($J176=3,"Exact",IF($J176=1,"Correct","Miss")))</f>
        <v/>
      </c>
    </row>
    <row r="177">
      <c r="A177" t="n">
        <v>176</v>
      </c>
      <c r="D177" s="2">
        <f>IFERROR(VLOOKUP($C177,'Tabela de Jogos'!$A:$J,4,FALSE),"")</f>
        <v/>
      </c>
      <c r="E177" s="2">
        <f>IFERROR(VLOOKUP($C177,'Tabela de Jogos'!$A:$J,5,FALSE),"")</f>
        <v/>
      </c>
      <c r="F177" s="2" t="n"/>
      <c r="G177" s="2" t="n"/>
      <c r="H177">
        <f>IFERROR(VLOOKUP($C177,'Tabela de Jogos'!$A:$J,8,FALSE),"")</f>
        <v/>
      </c>
      <c r="I177">
        <f>IFERROR(VLOOKUP($C177,'Tabela de Jogos'!$A:$J,9,FALSE),"")</f>
        <v/>
      </c>
      <c r="J177" s="2">
        <f>IF(OR($F177="",$G177="",$H177="",$I177=""),"",IF(AND($F177=$H177,$G177=$I177),3,IF(SIGN($F177-$G177)=SIGN($H177-$I177),1,0)))</f>
        <v/>
      </c>
      <c r="K177" s="2">
        <f>IF($J177="","",IF($J177=3,"Exact",IF($J177=1,"Correct","Miss")))</f>
        <v/>
      </c>
    </row>
    <row r="178">
      <c r="A178" t="n">
        <v>177</v>
      </c>
      <c r="D178" s="2">
        <f>IFERROR(VLOOKUP($C178,'Tabela de Jogos'!$A:$J,4,FALSE),"")</f>
        <v/>
      </c>
      <c r="E178" s="2">
        <f>IFERROR(VLOOKUP($C178,'Tabela de Jogos'!$A:$J,5,FALSE),"")</f>
        <v/>
      </c>
      <c r="F178" s="2" t="n"/>
      <c r="G178" s="2" t="n"/>
      <c r="H178">
        <f>IFERROR(VLOOKUP($C178,'Tabela de Jogos'!$A:$J,8,FALSE),"")</f>
        <v/>
      </c>
      <c r="I178">
        <f>IFERROR(VLOOKUP($C178,'Tabela de Jogos'!$A:$J,9,FALSE),"")</f>
        <v/>
      </c>
      <c r="J178" s="2">
        <f>IF(OR($F178="",$G178="",$H178="",$I178=""),"",IF(AND($F178=$H178,$G178=$I178),3,IF(SIGN($F178-$G178)=SIGN($H178-$I178),1,0)))</f>
        <v/>
      </c>
      <c r="K178" s="2">
        <f>IF($J178="","",IF($J178=3,"Exact",IF($J178=1,"Correct","Miss")))</f>
        <v/>
      </c>
    </row>
    <row r="179">
      <c r="A179" t="n">
        <v>178</v>
      </c>
      <c r="D179" s="2">
        <f>IFERROR(VLOOKUP($C179,'Tabela de Jogos'!$A:$J,4,FALSE),"")</f>
        <v/>
      </c>
      <c r="E179" s="2">
        <f>IFERROR(VLOOKUP($C179,'Tabela de Jogos'!$A:$J,5,FALSE),"")</f>
        <v/>
      </c>
      <c r="F179" s="2" t="n"/>
      <c r="G179" s="2" t="n"/>
      <c r="H179">
        <f>IFERROR(VLOOKUP($C179,'Tabela de Jogos'!$A:$J,8,FALSE),"")</f>
        <v/>
      </c>
      <c r="I179">
        <f>IFERROR(VLOOKUP($C179,'Tabela de Jogos'!$A:$J,9,FALSE),"")</f>
        <v/>
      </c>
      <c r="J179" s="2">
        <f>IF(OR($F179="",$G179="",$H179="",$I179=""),"",IF(AND($F179=$H179,$G179=$I179),3,IF(SIGN($F179-$G179)=SIGN($H179-$I179),1,0)))</f>
        <v/>
      </c>
      <c r="K179" s="2">
        <f>IF($J179="","",IF($J179=3,"Exact",IF($J179=1,"Correct","Miss")))</f>
        <v/>
      </c>
    </row>
    <row r="180">
      <c r="A180" t="n">
        <v>179</v>
      </c>
      <c r="D180" s="2">
        <f>IFERROR(VLOOKUP($C180,'Tabela de Jogos'!$A:$J,4,FALSE),"")</f>
        <v/>
      </c>
      <c r="E180" s="2">
        <f>IFERROR(VLOOKUP($C180,'Tabela de Jogos'!$A:$J,5,FALSE),"")</f>
        <v/>
      </c>
      <c r="F180" s="2" t="n"/>
      <c r="G180" s="2" t="n"/>
      <c r="H180">
        <f>IFERROR(VLOOKUP($C180,'Tabela de Jogos'!$A:$J,8,FALSE),"")</f>
        <v/>
      </c>
      <c r="I180">
        <f>IFERROR(VLOOKUP($C180,'Tabela de Jogos'!$A:$J,9,FALSE),"")</f>
        <v/>
      </c>
      <c r="J180" s="2">
        <f>IF(OR($F180="",$G180="",$H180="",$I180=""),"",IF(AND($F180=$H180,$G180=$I180),3,IF(SIGN($F180-$G180)=SIGN($H180-$I180),1,0)))</f>
        <v/>
      </c>
      <c r="K180" s="2">
        <f>IF($J180="","",IF($J180=3,"Exact",IF($J180=1,"Correct","Miss")))</f>
        <v/>
      </c>
    </row>
    <row r="181">
      <c r="A181" t="n">
        <v>180</v>
      </c>
      <c r="D181" s="2">
        <f>IFERROR(VLOOKUP($C181,'Tabela de Jogos'!$A:$J,4,FALSE),"")</f>
        <v/>
      </c>
      <c r="E181" s="2">
        <f>IFERROR(VLOOKUP($C181,'Tabela de Jogos'!$A:$J,5,FALSE),"")</f>
        <v/>
      </c>
      <c r="F181" s="2" t="n"/>
      <c r="G181" s="2" t="n"/>
      <c r="H181">
        <f>IFERROR(VLOOKUP($C181,'Tabela de Jogos'!$A:$J,8,FALSE),"")</f>
        <v/>
      </c>
      <c r="I181">
        <f>IFERROR(VLOOKUP($C181,'Tabela de Jogos'!$A:$J,9,FALSE),"")</f>
        <v/>
      </c>
      <c r="J181" s="2">
        <f>IF(OR($F181="",$G181="",$H181="",$I181=""),"",IF(AND($F181=$H181,$G181=$I181),3,IF(SIGN($F181-$G181)=SIGN($H181-$I181),1,0)))</f>
        <v/>
      </c>
      <c r="K181" s="2">
        <f>IF($J181="","",IF($J181=3,"Exact",IF($J181=1,"Correct","Miss")))</f>
        <v/>
      </c>
    </row>
    <row r="182">
      <c r="A182" t="n">
        <v>181</v>
      </c>
      <c r="D182" s="2">
        <f>IFERROR(VLOOKUP($C182,'Tabela de Jogos'!$A:$J,4,FALSE),"")</f>
        <v/>
      </c>
      <c r="E182" s="2">
        <f>IFERROR(VLOOKUP($C182,'Tabela de Jogos'!$A:$J,5,FALSE),"")</f>
        <v/>
      </c>
      <c r="F182" s="2" t="n"/>
      <c r="G182" s="2" t="n"/>
      <c r="H182">
        <f>IFERROR(VLOOKUP($C182,'Tabela de Jogos'!$A:$J,8,FALSE),"")</f>
        <v/>
      </c>
      <c r="I182">
        <f>IFERROR(VLOOKUP($C182,'Tabela de Jogos'!$A:$J,9,FALSE),"")</f>
        <v/>
      </c>
      <c r="J182" s="2">
        <f>IF(OR($F182="",$G182="",$H182="",$I182=""),"",IF(AND($F182=$H182,$G182=$I182),3,IF(SIGN($F182-$G182)=SIGN($H182-$I182),1,0)))</f>
        <v/>
      </c>
      <c r="K182" s="2">
        <f>IF($J182="","",IF($J182=3,"Exact",IF($J182=1,"Correct","Miss")))</f>
        <v/>
      </c>
    </row>
    <row r="183">
      <c r="A183" t="n">
        <v>182</v>
      </c>
      <c r="D183" s="2">
        <f>IFERROR(VLOOKUP($C183,'Tabela de Jogos'!$A:$J,4,FALSE),"")</f>
        <v/>
      </c>
      <c r="E183" s="2">
        <f>IFERROR(VLOOKUP($C183,'Tabela de Jogos'!$A:$J,5,FALSE),"")</f>
        <v/>
      </c>
      <c r="F183" s="2" t="n"/>
      <c r="G183" s="2" t="n"/>
      <c r="H183">
        <f>IFERROR(VLOOKUP($C183,'Tabela de Jogos'!$A:$J,8,FALSE),"")</f>
        <v/>
      </c>
      <c r="I183">
        <f>IFERROR(VLOOKUP($C183,'Tabela de Jogos'!$A:$J,9,FALSE),"")</f>
        <v/>
      </c>
      <c r="J183" s="2">
        <f>IF(OR($F183="",$G183="",$H183="",$I183=""),"",IF(AND($F183=$H183,$G183=$I183),3,IF(SIGN($F183-$G183)=SIGN($H183-$I183),1,0)))</f>
        <v/>
      </c>
      <c r="K183" s="2">
        <f>IF($J183="","",IF($J183=3,"Exact",IF($J183=1,"Correct","Miss")))</f>
        <v/>
      </c>
    </row>
    <row r="184">
      <c r="A184" t="n">
        <v>183</v>
      </c>
      <c r="D184" s="2">
        <f>IFERROR(VLOOKUP($C184,'Tabela de Jogos'!$A:$J,4,FALSE),"")</f>
        <v/>
      </c>
      <c r="E184" s="2">
        <f>IFERROR(VLOOKUP($C184,'Tabela de Jogos'!$A:$J,5,FALSE),"")</f>
        <v/>
      </c>
      <c r="F184" s="2" t="n"/>
      <c r="G184" s="2" t="n"/>
      <c r="H184">
        <f>IFERROR(VLOOKUP($C184,'Tabela de Jogos'!$A:$J,8,FALSE),"")</f>
        <v/>
      </c>
      <c r="I184">
        <f>IFERROR(VLOOKUP($C184,'Tabela de Jogos'!$A:$J,9,FALSE),"")</f>
        <v/>
      </c>
      <c r="J184" s="2">
        <f>IF(OR($F184="",$G184="",$H184="",$I184=""),"",IF(AND($F184=$H184,$G184=$I184),3,IF(SIGN($F184-$G184)=SIGN($H184-$I184),1,0)))</f>
        <v/>
      </c>
      <c r="K184" s="2">
        <f>IF($J184="","",IF($J184=3,"Exact",IF($J184=1,"Correct","Miss")))</f>
        <v/>
      </c>
    </row>
    <row r="185">
      <c r="A185" t="n">
        <v>184</v>
      </c>
      <c r="D185" s="2">
        <f>IFERROR(VLOOKUP($C185,'Tabela de Jogos'!$A:$J,4,FALSE),"")</f>
        <v/>
      </c>
      <c r="E185" s="2">
        <f>IFERROR(VLOOKUP($C185,'Tabela de Jogos'!$A:$J,5,FALSE),"")</f>
        <v/>
      </c>
      <c r="F185" s="2" t="n"/>
      <c r="G185" s="2" t="n"/>
      <c r="H185">
        <f>IFERROR(VLOOKUP($C185,'Tabela de Jogos'!$A:$J,8,FALSE),"")</f>
        <v/>
      </c>
      <c r="I185">
        <f>IFERROR(VLOOKUP($C185,'Tabela de Jogos'!$A:$J,9,FALSE),"")</f>
        <v/>
      </c>
      <c r="J185" s="2">
        <f>IF(OR($F185="",$G185="",$H185="",$I185=""),"",IF(AND($F185=$H185,$G185=$I185),3,IF(SIGN($F185-$G185)=SIGN($H185-$I185),1,0)))</f>
        <v/>
      </c>
      <c r="K185" s="2">
        <f>IF($J185="","",IF($J185=3,"Exact",IF($J185=1,"Correct","Miss")))</f>
        <v/>
      </c>
    </row>
    <row r="186">
      <c r="A186" t="n">
        <v>185</v>
      </c>
      <c r="D186" s="2">
        <f>IFERROR(VLOOKUP($C186,'Tabela de Jogos'!$A:$J,4,FALSE),"")</f>
        <v/>
      </c>
      <c r="E186" s="2">
        <f>IFERROR(VLOOKUP($C186,'Tabela de Jogos'!$A:$J,5,FALSE),"")</f>
        <v/>
      </c>
      <c r="F186" s="2" t="n"/>
      <c r="G186" s="2" t="n"/>
      <c r="H186">
        <f>IFERROR(VLOOKUP($C186,'Tabela de Jogos'!$A:$J,8,FALSE),"")</f>
        <v/>
      </c>
      <c r="I186">
        <f>IFERROR(VLOOKUP($C186,'Tabela de Jogos'!$A:$J,9,FALSE),"")</f>
        <v/>
      </c>
      <c r="J186" s="2">
        <f>IF(OR($F186="",$G186="",$H186="",$I186=""),"",IF(AND($F186=$H186,$G186=$I186),3,IF(SIGN($F186-$G186)=SIGN($H186-$I186),1,0)))</f>
        <v/>
      </c>
      <c r="K186" s="2">
        <f>IF($J186="","",IF($J186=3,"Exact",IF($J186=1,"Correct","Miss")))</f>
        <v/>
      </c>
    </row>
    <row r="187">
      <c r="A187" t="n">
        <v>186</v>
      </c>
      <c r="D187" s="2">
        <f>IFERROR(VLOOKUP($C187,'Tabela de Jogos'!$A:$J,4,FALSE),"")</f>
        <v/>
      </c>
      <c r="E187" s="2">
        <f>IFERROR(VLOOKUP($C187,'Tabela de Jogos'!$A:$J,5,FALSE),"")</f>
        <v/>
      </c>
      <c r="F187" s="2" t="n"/>
      <c r="G187" s="2" t="n"/>
      <c r="H187">
        <f>IFERROR(VLOOKUP($C187,'Tabela de Jogos'!$A:$J,8,FALSE),"")</f>
        <v/>
      </c>
      <c r="I187">
        <f>IFERROR(VLOOKUP($C187,'Tabela de Jogos'!$A:$J,9,FALSE),"")</f>
        <v/>
      </c>
      <c r="J187" s="2">
        <f>IF(OR($F187="",$G187="",$H187="",$I187=""),"",IF(AND($F187=$H187,$G187=$I187),3,IF(SIGN($F187-$G187)=SIGN($H187-$I187),1,0)))</f>
        <v/>
      </c>
      <c r="K187" s="2">
        <f>IF($J187="","",IF($J187=3,"Exact",IF($J187=1,"Correct","Miss")))</f>
        <v/>
      </c>
    </row>
    <row r="188">
      <c r="A188" t="n">
        <v>187</v>
      </c>
      <c r="D188" s="2">
        <f>IFERROR(VLOOKUP($C188,'Tabela de Jogos'!$A:$J,4,FALSE),"")</f>
        <v/>
      </c>
      <c r="E188" s="2">
        <f>IFERROR(VLOOKUP($C188,'Tabela de Jogos'!$A:$J,5,FALSE),"")</f>
        <v/>
      </c>
      <c r="F188" s="2" t="n"/>
      <c r="G188" s="2" t="n"/>
      <c r="H188">
        <f>IFERROR(VLOOKUP($C188,'Tabela de Jogos'!$A:$J,8,FALSE),"")</f>
        <v/>
      </c>
      <c r="I188">
        <f>IFERROR(VLOOKUP($C188,'Tabela de Jogos'!$A:$J,9,FALSE),"")</f>
        <v/>
      </c>
      <c r="J188" s="2">
        <f>IF(OR($F188="",$G188="",$H188="",$I188=""),"",IF(AND($F188=$H188,$G188=$I188),3,IF(SIGN($F188-$G188)=SIGN($H188-$I188),1,0)))</f>
        <v/>
      </c>
      <c r="K188" s="2">
        <f>IF($J188="","",IF($J188=3,"Exact",IF($J188=1,"Correct","Miss")))</f>
        <v/>
      </c>
    </row>
    <row r="189">
      <c r="A189" t="n">
        <v>188</v>
      </c>
      <c r="D189" s="2">
        <f>IFERROR(VLOOKUP($C189,'Tabela de Jogos'!$A:$J,4,FALSE),"")</f>
        <v/>
      </c>
      <c r="E189" s="2">
        <f>IFERROR(VLOOKUP($C189,'Tabela de Jogos'!$A:$J,5,FALSE),"")</f>
        <v/>
      </c>
      <c r="F189" s="2" t="n"/>
      <c r="G189" s="2" t="n"/>
      <c r="H189">
        <f>IFERROR(VLOOKUP($C189,'Tabela de Jogos'!$A:$J,8,FALSE),"")</f>
        <v/>
      </c>
      <c r="I189">
        <f>IFERROR(VLOOKUP($C189,'Tabela de Jogos'!$A:$J,9,FALSE),"")</f>
        <v/>
      </c>
      <c r="J189" s="2">
        <f>IF(OR($F189="",$G189="",$H189="",$I189=""),"",IF(AND($F189=$H189,$G189=$I189),3,IF(SIGN($F189-$G189)=SIGN($H189-$I189),1,0)))</f>
        <v/>
      </c>
      <c r="K189" s="2">
        <f>IF($J189="","",IF($J189=3,"Exact",IF($J189=1,"Correct","Miss")))</f>
        <v/>
      </c>
    </row>
    <row r="190">
      <c r="A190" t="n">
        <v>189</v>
      </c>
      <c r="D190" s="2">
        <f>IFERROR(VLOOKUP($C190,'Tabela de Jogos'!$A:$J,4,FALSE),"")</f>
        <v/>
      </c>
      <c r="E190" s="2">
        <f>IFERROR(VLOOKUP($C190,'Tabela de Jogos'!$A:$J,5,FALSE),"")</f>
        <v/>
      </c>
      <c r="F190" s="2" t="n"/>
      <c r="G190" s="2" t="n"/>
      <c r="H190">
        <f>IFERROR(VLOOKUP($C190,'Tabela de Jogos'!$A:$J,8,FALSE),"")</f>
        <v/>
      </c>
      <c r="I190">
        <f>IFERROR(VLOOKUP($C190,'Tabela de Jogos'!$A:$J,9,FALSE),"")</f>
        <v/>
      </c>
      <c r="J190" s="2">
        <f>IF(OR($F190="",$G190="",$H190="",$I190=""),"",IF(AND($F190=$H190,$G190=$I190),3,IF(SIGN($F190-$G190)=SIGN($H190-$I190),1,0)))</f>
        <v/>
      </c>
      <c r="K190" s="2">
        <f>IF($J190="","",IF($J190=3,"Exact",IF($J190=1,"Correct","Miss")))</f>
        <v/>
      </c>
    </row>
    <row r="191">
      <c r="A191" t="n">
        <v>190</v>
      </c>
      <c r="D191" s="2">
        <f>IFERROR(VLOOKUP($C191,'Tabela de Jogos'!$A:$J,4,FALSE),"")</f>
        <v/>
      </c>
      <c r="E191" s="2">
        <f>IFERROR(VLOOKUP($C191,'Tabela de Jogos'!$A:$J,5,FALSE),"")</f>
        <v/>
      </c>
      <c r="F191" s="2" t="n"/>
      <c r="G191" s="2" t="n"/>
      <c r="H191">
        <f>IFERROR(VLOOKUP($C191,'Tabela de Jogos'!$A:$J,8,FALSE),"")</f>
        <v/>
      </c>
      <c r="I191">
        <f>IFERROR(VLOOKUP($C191,'Tabela de Jogos'!$A:$J,9,FALSE),"")</f>
        <v/>
      </c>
      <c r="J191" s="2">
        <f>IF(OR($F191="",$G191="",$H191="",$I191=""),"",IF(AND($F191=$H191,$G191=$I191),3,IF(SIGN($F191-$G191)=SIGN($H191-$I191),1,0)))</f>
        <v/>
      </c>
      <c r="K191" s="2">
        <f>IF($J191="","",IF($J191=3,"Exact",IF($J191=1,"Correct","Miss")))</f>
        <v/>
      </c>
    </row>
    <row r="192">
      <c r="A192" t="n">
        <v>191</v>
      </c>
      <c r="D192" s="2">
        <f>IFERROR(VLOOKUP($C192,'Tabela de Jogos'!$A:$J,4,FALSE),"")</f>
        <v/>
      </c>
      <c r="E192" s="2">
        <f>IFERROR(VLOOKUP($C192,'Tabela de Jogos'!$A:$J,5,FALSE),"")</f>
        <v/>
      </c>
      <c r="F192" s="2" t="n"/>
      <c r="G192" s="2" t="n"/>
      <c r="H192">
        <f>IFERROR(VLOOKUP($C192,'Tabela de Jogos'!$A:$J,8,FALSE),"")</f>
        <v/>
      </c>
      <c r="I192">
        <f>IFERROR(VLOOKUP($C192,'Tabela de Jogos'!$A:$J,9,FALSE),"")</f>
        <v/>
      </c>
      <c r="J192" s="2">
        <f>IF(OR($F192="",$G192="",$H192="",$I192=""),"",IF(AND($F192=$H192,$G192=$I192),3,IF(SIGN($F192-$G192)=SIGN($H192-$I192),1,0)))</f>
        <v/>
      </c>
      <c r="K192" s="2">
        <f>IF($J192="","",IF($J192=3,"Exact",IF($J192=1,"Correct","Miss")))</f>
        <v/>
      </c>
    </row>
    <row r="193">
      <c r="A193" t="n">
        <v>192</v>
      </c>
      <c r="D193" s="2">
        <f>IFERROR(VLOOKUP($C193,'Tabela de Jogos'!$A:$J,4,FALSE),"")</f>
        <v/>
      </c>
      <c r="E193" s="2">
        <f>IFERROR(VLOOKUP($C193,'Tabela de Jogos'!$A:$J,5,FALSE),"")</f>
        <v/>
      </c>
      <c r="F193" s="2" t="n"/>
      <c r="G193" s="2" t="n"/>
      <c r="H193">
        <f>IFERROR(VLOOKUP($C193,'Tabela de Jogos'!$A:$J,8,FALSE),"")</f>
        <v/>
      </c>
      <c r="I193">
        <f>IFERROR(VLOOKUP($C193,'Tabela de Jogos'!$A:$J,9,FALSE),"")</f>
        <v/>
      </c>
      <c r="J193" s="2">
        <f>IF(OR($F193="",$G193="",$H193="",$I193=""),"",IF(AND($F193=$H193,$G193=$I193),3,IF(SIGN($F193-$G193)=SIGN($H193-$I193),1,0)))</f>
        <v/>
      </c>
      <c r="K193" s="2">
        <f>IF($J193="","",IF($J193=3,"Exact",IF($J193=1,"Correct","Miss")))</f>
        <v/>
      </c>
    </row>
    <row r="194">
      <c r="A194" t="n">
        <v>193</v>
      </c>
      <c r="D194" s="2">
        <f>IFERROR(VLOOKUP($C194,'Tabela de Jogos'!$A:$J,4,FALSE),"")</f>
        <v/>
      </c>
      <c r="E194" s="2">
        <f>IFERROR(VLOOKUP($C194,'Tabela de Jogos'!$A:$J,5,FALSE),"")</f>
        <v/>
      </c>
      <c r="F194" s="2" t="n"/>
      <c r="G194" s="2" t="n"/>
      <c r="H194">
        <f>IFERROR(VLOOKUP($C194,'Tabela de Jogos'!$A:$J,8,FALSE),"")</f>
        <v/>
      </c>
      <c r="I194">
        <f>IFERROR(VLOOKUP($C194,'Tabela de Jogos'!$A:$J,9,FALSE),"")</f>
        <v/>
      </c>
      <c r="J194" s="2">
        <f>IF(OR($F194="",$G194="",$H194="",$I194=""),"",IF(AND($F194=$H194,$G194=$I194),3,IF(SIGN($F194-$G194)=SIGN($H194-$I194),1,0)))</f>
        <v/>
      </c>
      <c r="K194" s="2">
        <f>IF($J194="","",IF($J194=3,"Exact",IF($J194=1,"Correct","Miss")))</f>
        <v/>
      </c>
    </row>
    <row r="195">
      <c r="A195" t="n">
        <v>194</v>
      </c>
      <c r="D195" s="2">
        <f>IFERROR(VLOOKUP($C195,'Tabela de Jogos'!$A:$J,4,FALSE),"")</f>
        <v/>
      </c>
      <c r="E195" s="2">
        <f>IFERROR(VLOOKUP($C195,'Tabela de Jogos'!$A:$J,5,FALSE),"")</f>
        <v/>
      </c>
      <c r="F195" s="2" t="n"/>
      <c r="G195" s="2" t="n"/>
      <c r="H195">
        <f>IFERROR(VLOOKUP($C195,'Tabela de Jogos'!$A:$J,8,FALSE),"")</f>
        <v/>
      </c>
      <c r="I195">
        <f>IFERROR(VLOOKUP($C195,'Tabela de Jogos'!$A:$J,9,FALSE),"")</f>
        <v/>
      </c>
      <c r="J195" s="2">
        <f>IF(OR($F195="",$G195="",$H195="",$I195=""),"",IF(AND($F195=$H195,$G195=$I195),3,IF(SIGN($F195-$G195)=SIGN($H195-$I195),1,0)))</f>
        <v/>
      </c>
      <c r="K195" s="2">
        <f>IF($J195="","",IF($J195=3,"Exact",IF($J195=1,"Correct","Miss")))</f>
        <v/>
      </c>
    </row>
    <row r="196">
      <c r="A196" t="n">
        <v>195</v>
      </c>
      <c r="D196" s="2">
        <f>IFERROR(VLOOKUP($C196,'Tabela de Jogos'!$A:$J,4,FALSE),"")</f>
        <v/>
      </c>
      <c r="E196" s="2">
        <f>IFERROR(VLOOKUP($C196,'Tabela de Jogos'!$A:$J,5,FALSE),"")</f>
        <v/>
      </c>
      <c r="F196" s="2" t="n"/>
      <c r="G196" s="2" t="n"/>
      <c r="H196">
        <f>IFERROR(VLOOKUP($C196,'Tabela de Jogos'!$A:$J,8,FALSE),"")</f>
        <v/>
      </c>
      <c r="I196">
        <f>IFERROR(VLOOKUP($C196,'Tabela de Jogos'!$A:$J,9,FALSE),"")</f>
        <v/>
      </c>
      <c r="J196" s="2">
        <f>IF(OR($F196="",$G196="",$H196="",$I196=""),"",IF(AND($F196=$H196,$G196=$I196),3,IF(SIGN($F196-$G196)=SIGN($H196-$I196),1,0)))</f>
        <v/>
      </c>
      <c r="K196" s="2">
        <f>IF($J196="","",IF($J196=3,"Exact",IF($J196=1,"Correct","Miss")))</f>
        <v/>
      </c>
    </row>
    <row r="197">
      <c r="A197" t="n">
        <v>196</v>
      </c>
      <c r="D197" s="2">
        <f>IFERROR(VLOOKUP($C197,'Tabela de Jogos'!$A:$J,4,FALSE),"")</f>
        <v/>
      </c>
      <c r="E197" s="2">
        <f>IFERROR(VLOOKUP($C197,'Tabela de Jogos'!$A:$J,5,FALSE),"")</f>
        <v/>
      </c>
      <c r="F197" s="2" t="n"/>
      <c r="G197" s="2" t="n"/>
      <c r="H197">
        <f>IFERROR(VLOOKUP($C197,'Tabela de Jogos'!$A:$J,8,FALSE),"")</f>
        <v/>
      </c>
      <c r="I197">
        <f>IFERROR(VLOOKUP($C197,'Tabela de Jogos'!$A:$J,9,FALSE),"")</f>
        <v/>
      </c>
      <c r="J197" s="2">
        <f>IF(OR($F197="",$G197="",$H197="",$I197=""),"",IF(AND($F197=$H197,$G197=$I197),3,IF(SIGN($F197-$G197)=SIGN($H197-$I197),1,0)))</f>
        <v/>
      </c>
      <c r="K197" s="2">
        <f>IF($J197="","",IF($J197=3,"Exact",IF($J197=1,"Correct","Miss")))</f>
        <v/>
      </c>
    </row>
    <row r="198">
      <c r="A198" t="n">
        <v>197</v>
      </c>
      <c r="D198" s="2">
        <f>IFERROR(VLOOKUP($C198,'Tabela de Jogos'!$A:$J,4,FALSE),"")</f>
        <v/>
      </c>
      <c r="E198" s="2">
        <f>IFERROR(VLOOKUP($C198,'Tabela de Jogos'!$A:$J,5,FALSE),"")</f>
        <v/>
      </c>
      <c r="F198" s="2" t="n"/>
      <c r="G198" s="2" t="n"/>
      <c r="H198">
        <f>IFERROR(VLOOKUP($C198,'Tabela de Jogos'!$A:$J,8,FALSE),"")</f>
        <v/>
      </c>
      <c r="I198">
        <f>IFERROR(VLOOKUP($C198,'Tabela de Jogos'!$A:$J,9,FALSE),"")</f>
        <v/>
      </c>
      <c r="J198" s="2">
        <f>IF(OR($F198="",$G198="",$H198="",$I198=""),"",IF(AND($F198=$H198,$G198=$I198),3,IF(SIGN($F198-$G198)=SIGN($H198-$I198),1,0)))</f>
        <v/>
      </c>
      <c r="K198" s="2">
        <f>IF($J198="","",IF($J198=3,"Exact",IF($J198=1,"Correct","Miss")))</f>
        <v/>
      </c>
    </row>
    <row r="199">
      <c r="A199" t="n">
        <v>198</v>
      </c>
      <c r="D199" s="2">
        <f>IFERROR(VLOOKUP($C199,'Tabela de Jogos'!$A:$J,4,FALSE),"")</f>
        <v/>
      </c>
      <c r="E199" s="2">
        <f>IFERROR(VLOOKUP($C199,'Tabela de Jogos'!$A:$J,5,FALSE),"")</f>
        <v/>
      </c>
      <c r="F199" s="2" t="n"/>
      <c r="G199" s="2" t="n"/>
      <c r="H199">
        <f>IFERROR(VLOOKUP($C199,'Tabela de Jogos'!$A:$J,8,FALSE),"")</f>
        <v/>
      </c>
      <c r="I199">
        <f>IFERROR(VLOOKUP($C199,'Tabela de Jogos'!$A:$J,9,FALSE),"")</f>
        <v/>
      </c>
      <c r="J199" s="2">
        <f>IF(OR($F199="",$G199="",$H199="",$I199=""),"",IF(AND($F199=$H199,$G199=$I199),3,IF(SIGN($F199-$G199)=SIGN($H199-$I199),1,0)))</f>
        <v/>
      </c>
      <c r="K199" s="2">
        <f>IF($J199="","",IF($J199=3,"Exact",IF($J199=1,"Correct","Miss")))</f>
        <v/>
      </c>
    </row>
    <row r="200">
      <c r="A200" t="n">
        <v>199</v>
      </c>
      <c r="D200" s="2">
        <f>IFERROR(VLOOKUP($C200,'Tabela de Jogos'!$A:$J,4,FALSE),"")</f>
        <v/>
      </c>
      <c r="E200" s="2">
        <f>IFERROR(VLOOKUP($C200,'Tabela de Jogos'!$A:$J,5,FALSE),"")</f>
        <v/>
      </c>
      <c r="F200" s="2" t="n"/>
      <c r="G200" s="2" t="n"/>
      <c r="H200">
        <f>IFERROR(VLOOKUP($C200,'Tabela de Jogos'!$A:$J,8,FALSE),"")</f>
        <v/>
      </c>
      <c r="I200">
        <f>IFERROR(VLOOKUP($C200,'Tabela de Jogos'!$A:$J,9,FALSE),"")</f>
        <v/>
      </c>
      <c r="J200" s="2">
        <f>IF(OR($F200="",$G200="",$H200="",$I200=""),"",IF(AND($F200=$H200,$G200=$I200),3,IF(SIGN($F200-$G200)=SIGN($H200-$I200),1,0)))</f>
        <v/>
      </c>
      <c r="K200" s="2">
        <f>IF($J200="","",IF($J200=3,"Exact",IF($J200=1,"Correct","Miss")))</f>
        <v/>
      </c>
    </row>
    <row r="201">
      <c r="A201" t="n">
        <v>200</v>
      </c>
      <c r="D201" s="2">
        <f>IFERROR(VLOOKUP($C201,'Tabela de Jogos'!$A:$J,4,FALSE),"")</f>
        <v/>
      </c>
      <c r="E201" s="2">
        <f>IFERROR(VLOOKUP($C201,'Tabela de Jogos'!$A:$J,5,FALSE),"")</f>
        <v/>
      </c>
      <c r="F201" s="2" t="n"/>
      <c r="G201" s="2" t="n"/>
      <c r="H201">
        <f>IFERROR(VLOOKUP($C201,'Tabela de Jogos'!$A:$J,8,FALSE),"")</f>
        <v/>
      </c>
      <c r="I201">
        <f>IFERROR(VLOOKUP($C201,'Tabela de Jogos'!$A:$J,9,FALSE),"")</f>
        <v/>
      </c>
      <c r="J201" s="2">
        <f>IF(OR($F201="",$G201="",$H201="",$I201=""),"",IF(AND($F201=$H201,$G201=$I201),3,IF(SIGN($F201-$G201)=SIGN($H201-$I201),1,0)))</f>
        <v/>
      </c>
      <c r="K201" s="2">
        <f>IF($J201="","",IF($J201=3,"Exact",IF($J201=1,"Correct","Miss")))</f>
        <v/>
      </c>
    </row>
  </sheetData>
  <dataValidations count="2">
    <dataValidation sqref="C2:C201" showDropDown="0" showInputMessage="0" showErrorMessage="0" allowBlank="1" type="list">
      <formula1>=Lists!$B$2:$B$105</formula1>
    </dataValidation>
    <dataValidation sqref="B2:B201" showDropDown="0" showInputMessage="0" showErrorMessage="0" allowBlank="1" type="list">
      <formula1>=Cadastro de Participantes!$A$2:$A$100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8" customWidth="1" min="7" max="7"/>
  </cols>
  <sheetData>
    <row r="1">
      <c r="A1" s="1" t="inlineStr">
        <is>
          <t>Participant</t>
        </is>
      </c>
      <c r="B1" s="1" t="inlineStr">
        <is>
          <t>Matches</t>
        </is>
      </c>
      <c r="C1" s="1" t="inlineStr">
        <is>
          <t>Exact Hits</t>
        </is>
      </c>
      <c r="D1" s="1" t="inlineStr">
        <is>
          <t>Correct Outcomes</t>
        </is>
      </c>
      <c r="E1" s="1" t="inlineStr">
        <is>
          <t>Total Points</t>
        </is>
      </c>
      <c r="F1" s="1" t="inlineStr">
        <is>
          <t>Avg Points</t>
        </is>
      </c>
      <c r="G1" s="1" t="inlineStr">
        <is>
          <t>Rank</t>
        </is>
      </c>
    </row>
    <row r="2">
      <c r="A2">
        <f>IFERROR(INDIRECT("Cadastro de Participantes!A" &amp; ROW()),"")</f>
        <v/>
      </c>
      <c r="B2">
        <f>IF($A2="","",COUNTIF('Controle de Palpites'!$B:$B,$A2))</f>
        <v/>
      </c>
      <c r="C2">
        <f>IF($A2="","",SUMIFS('Controle de Palpites'!$J:$J,'Controle de Palpites'!$B:$B,$A2,'Controle de Palpites'!$J:$J,3))</f>
        <v/>
      </c>
      <c r="D2">
        <f>IF($A2="","",COUNTIFS('Controle de Palpites'!$B:$B,$A2,'Controle de Palpites'!$J:$J,"&gt;=1"))</f>
        <v/>
      </c>
      <c r="E2">
        <f>IF($A2="","",SUMIFS('Controle de Palpites'!$J:$J,'Controle de Palpites'!$B:$B,$A2))</f>
        <v/>
      </c>
      <c r="F2">
        <f>IF($B2=0,"",ROUND($E2/$B2,2))</f>
        <v/>
      </c>
      <c r="G2">
        <f>IF($E2="","",RANK($E2,$E$2:$E$101,0)+COUNTIFS($E$2:$E$101,$E2,$C$2:$C$101,"&gt;"&amp;$C2))</f>
        <v/>
      </c>
    </row>
    <row r="3">
      <c r="A3">
        <f>IFERROR(INDIRECT("Cadastro de Participantes!A" &amp; ROW()),"")</f>
        <v/>
      </c>
      <c r="B3">
        <f>IF($A3="","",COUNTIF('Controle de Palpites'!$B:$B,$A3))</f>
        <v/>
      </c>
      <c r="C3">
        <f>IF($A3="","",SUMIFS('Controle de Palpites'!$J:$J,'Controle de Palpites'!$B:$B,$A3,'Controle de Palpites'!$J:$J,3))</f>
        <v/>
      </c>
      <c r="D3">
        <f>IF($A3="","",COUNTIFS('Controle de Palpites'!$B:$B,$A3,'Controle de Palpites'!$J:$J,"&gt;=1"))</f>
        <v/>
      </c>
      <c r="E3">
        <f>IF($A3="","",SUMIFS('Controle de Palpites'!$J:$J,'Controle de Palpites'!$B:$B,$A3))</f>
        <v/>
      </c>
      <c r="F3">
        <f>IF($B3=0,"",ROUND($E3/$B3,2))</f>
        <v/>
      </c>
      <c r="G3">
        <f>IF($E3="","",RANK($E3,$E$2:$E$101,0)+COUNTIFS($E$2:$E$101,$E3,$C$2:$C$101,"&gt;"&amp;$C3))</f>
        <v/>
      </c>
    </row>
    <row r="4">
      <c r="A4">
        <f>IFERROR(INDIRECT("Cadastro de Participantes!A" &amp; ROW()),"")</f>
        <v/>
      </c>
      <c r="B4">
        <f>IF($A4="","",COUNTIF('Controle de Palpites'!$B:$B,$A4))</f>
        <v/>
      </c>
      <c r="C4">
        <f>IF($A4="","",SUMIFS('Controle de Palpites'!$J:$J,'Controle de Palpites'!$B:$B,$A4,'Controle de Palpites'!$J:$J,3))</f>
        <v/>
      </c>
      <c r="D4">
        <f>IF($A4="","",COUNTIFS('Controle de Palpites'!$B:$B,$A4,'Controle de Palpites'!$J:$J,"&gt;=1"))</f>
        <v/>
      </c>
      <c r="E4">
        <f>IF($A4="","",SUMIFS('Controle de Palpites'!$J:$J,'Controle de Palpites'!$B:$B,$A4))</f>
        <v/>
      </c>
      <c r="F4">
        <f>IF($B4=0,"",ROUND($E4/$B4,2))</f>
        <v/>
      </c>
      <c r="G4">
        <f>IF($E4="","",RANK($E4,$E$2:$E$101,0)+COUNTIFS($E$2:$E$101,$E4,$C$2:$C$101,"&gt;"&amp;$C4))</f>
        <v/>
      </c>
    </row>
    <row r="5">
      <c r="A5">
        <f>IFERROR(INDIRECT("Cadastro de Participantes!A" &amp; ROW()),"")</f>
        <v/>
      </c>
      <c r="B5">
        <f>IF($A5="","",COUNTIF('Controle de Palpites'!$B:$B,$A5))</f>
        <v/>
      </c>
      <c r="C5">
        <f>IF($A5="","",SUMIFS('Controle de Palpites'!$J:$J,'Controle de Palpites'!$B:$B,$A5,'Controle de Palpites'!$J:$J,3))</f>
        <v/>
      </c>
      <c r="D5">
        <f>IF($A5="","",COUNTIFS('Controle de Palpites'!$B:$B,$A5,'Controle de Palpites'!$J:$J,"&gt;=1"))</f>
        <v/>
      </c>
      <c r="E5">
        <f>IF($A5="","",SUMIFS('Controle de Palpites'!$J:$J,'Controle de Palpites'!$B:$B,$A5))</f>
        <v/>
      </c>
      <c r="F5">
        <f>IF($B5=0,"",ROUND($E5/$B5,2))</f>
        <v/>
      </c>
      <c r="G5">
        <f>IF($E5="","",RANK($E5,$E$2:$E$101,0)+COUNTIFS($E$2:$E$101,$E5,$C$2:$C$101,"&gt;"&amp;$C5))</f>
        <v/>
      </c>
    </row>
    <row r="6">
      <c r="A6">
        <f>IFERROR(INDIRECT("Cadastro de Participantes!A" &amp; ROW()),"")</f>
        <v/>
      </c>
      <c r="B6">
        <f>IF($A6="","",COUNTIF('Controle de Palpites'!$B:$B,$A6))</f>
        <v/>
      </c>
      <c r="C6">
        <f>IF($A6="","",SUMIFS('Controle de Palpites'!$J:$J,'Controle de Palpites'!$B:$B,$A6,'Controle de Palpites'!$J:$J,3))</f>
        <v/>
      </c>
      <c r="D6">
        <f>IF($A6="","",COUNTIFS('Controle de Palpites'!$B:$B,$A6,'Controle de Palpites'!$J:$J,"&gt;=1"))</f>
        <v/>
      </c>
      <c r="E6">
        <f>IF($A6="","",SUMIFS('Controle de Palpites'!$J:$J,'Controle de Palpites'!$B:$B,$A6))</f>
        <v/>
      </c>
      <c r="F6">
        <f>IF($B6=0,"",ROUND($E6/$B6,2))</f>
        <v/>
      </c>
      <c r="G6">
        <f>IF($E6="","",RANK($E6,$E$2:$E$101,0)+COUNTIFS($E$2:$E$101,$E6,$C$2:$C$101,"&gt;"&amp;$C6))</f>
        <v/>
      </c>
    </row>
    <row r="7">
      <c r="A7">
        <f>IFERROR(INDIRECT("Cadastro de Participantes!A" &amp; ROW()),"")</f>
        <v/>
      </c>
      <c r="B7">
        <f>IF($A7="","",COUNTIF('Controle de Palpites'!$B:$B,$A7))</f>
        <v/>
      </c>
      <c r="C7">
        <f>IF($A7="","",SUMIFS('Controle de Palpites'!$J:$J,'Controle de Palpites'!$B:$B,$A7,'Controle de Palpites'!$J:$J,3))</f>
        <v/>
      </c>
      <c r="D7">
        <f>IF($A7="","",COUNTIFS('Controle de Palpites'!$B:$B,$A7,'Controle de Palpites'!$J:$J,"&gt;=1"))</f>
        <v/>
      </c>
      <c r="E7">
        <f>IF($A7="","",SUMIFS('Controle de Palpites'!$J:$J,'Controle de Palpites'!$B:$B,$A7))</f>
        <v/>
      </c>
      <c r="F7">
        <f>IF($B7=0,"",ROUND($E7/$B7,2))</f>
        <v/>
      </c>
      <c r="G7">
        <f>IF($E7="","",RANK($E7,$E$2:$E$101,0)+COUNTIFS($E$2:$E$101,$E7,$C$2:$C$101,"&gt;"&amp;$C7))</f>
        <v/>
      </c>
    </row>
    <row r="8">
      <c r="A8">
        <f>IFERROR(INDIRECT("Cadastro de Participantes!A" &amp; ROW()),"")</f>
        <v/>
      </c>
      <c r="B8">
        <f>IF($A8="","",COUNTIF('Controle de Palpites'!$B:$B,$A8))</f>
        <v/>
      </c>
      <c r="C8">
        <f>IF($A8="","",SUMIFS('Controle de Palpites'!$J:$J,'Controle de Palpites'!$B:$B,$A8,'Controle de Palpites'!$J:$J,3))</f>
        <v/>
      </c>
      <c r="D8">
        <f>IF($A8="","",COUNTIFS('Controle de Palpites'!$B:$B,$A8,'Controle de Palpites'!$J:$J,"&gt;=1"))</f>
        <v/>
      </c>
      <c r="E8">
        <f>IF($A8="","",SUMIFS('Controle de Palpites'!$J:$J,'Controle de Palpites'!$B:$B,$A8))</f>
        <v/>
      </c>
      <c r="F8">
        <f>IF($B8=0,"",ROUND($E8/$B8,2))</f>
        <v/>
      </c>
      <c r="G8">
        <f>IF($E8="","",RANK($E8,$E$2:$E$101,0)+COUNTIFS($E$2:$E$101,$E8,$C$2:$C$101,"&gt;"&amp;$C8))</f>
        <v/>
      </c>
    </row>
    <row r="9">
      <c r="A9">
        <f>IFERROR(INDIRECT("Cadastro de Participantes!A" &amp; ROW()),"")</f>
        <v/>
      </c>
      <c r="B9">
        <f>IF($A9="","",COUNTIF('Controle de Palpites'!$B:$B,$A9))</f>
        <v/>
      </c>
      <c r="C9">
        <f>IF($A9="","",SUMIFS('Controle de Palpites'!$J:$J,'Controle de Palpites'!$B:$B,$A9,'Controle de Palpites'!$J:$J,3))</f>
        <v/>
      </c>
      <c r="D9">
        <f>IF($A9="","",COUNTIFS('Controle de Palpites'!$B:$B,$A9,'Controle de Palpites'!$J:$J,"&gt;=1"))</f>
        <v/>
      </c>
      <c r="E9">
        <f>IF($A9="","",SUMIFS('Controle de Palpites'!$J:$J,'Controle de Palpites'!$B:$B,$A9))</f>
        <v/>
      </c>
      <c r="F9">
        <f>IF($B9=0,"",ROUND($E9/$B9,2))</f>
        <v/>
      </c>
      <c r="G9">
        <f>IF($E9="","",RANK($E9,$E$2:$E$101,0)+COUNTIFS($E$2:$E$101,$E9,$C$2:$C$101,"&gt;"&amp;$C9))</f>
        <v/>
      </c>
    </row>
    <row r="10">
      <c r="A10">
        <f>IFERROR(INDIRECT("Cadastro de Participantes!A" &amp; ROW()),"")</f>
        <v/>
      </c>
      <c r="B10">
        <f>IF($A10="","",COUNTIF('Controle de Palpites'!$B:$B,$A10))</f>
        <v/>
      </c>
      <c r="C10">
        <f>IF($A10="","",SUMIFS('Controle de Palpites'!$J:$J,'Controle de Palpites'!$B:$B,$A10,'Controle de Palpites'!$J:$J,3))</f>
        <v/>
      </c>
      <c r="D10">
        <f>IF($A10="","",COUNTIFS('Controle de Palpites'!$B:$B,$A10,'Controle de Palpites'!$J:$J,"&gt;=1"))</f>
        <v/>
      </c>
      <c r="E10">
        <f>IF($A10="","",SUMIFS('Controle de Palpites'!$J:$J,'Controle de Palpites'!$B:$B,$A10))</f>
        <v/>
      </c>
      <c r="F10">
        <f>IF($B10=0,"",ROUND($E10/$B10,2))</f>
        <v/>
      </c>
      <c r="G10">
        <f>IF($E10="","",RANK($E10,$E$2:$E$101,0)+COUNTIFS($E$2:$E$101,$E10,$C$2:$C$101,"&gt;"&amp;$C10))</f>
        <v/>
      </c>
    </row>
    <row r="11">
      <c r="A11">
        <f>IFERROR(INDIRECT("Cadastro de Participantes!A" &amp; ROW()),"")</f>
        <v/>
      </c>
      <c r="B11">
        <f>IF($A11="","",COUNTIF('Controle de Palpites'!$B:$B,$A11))</f>
        <v/>
      </c>
      <c r="C11">
        <f>IF($A11="","",SUMIFS('Controle de Palpites'!$J:$J,'Controle de Palpites'!$B:$B,$A11,'Controle de Palpites'!$J:$J,3))</f>
        <v/>
      </c>
      <c r="D11">
        <f>IF($A11="","",COUNTIFS('Controle de Palpites'!$B:$B,$A11,'Controle de Palpites'!$J:$J,"&gt;=1"))</f>
        <v/>
      </c>
      <c r="E11">
        <f>IF($A11="","",SUMIFS('Controle de Palpites'!$J:$J,'Controle de Palpites'!$B:$B,$A11))</f>
        <v/>
      </c>
      <c r="F11">
        <f>IF($B11=0,"",ROUND($E11/$B11,2))</f>
        <v/>
      </c>
      <c r="G11">
        <f>IF($E11="","",RANK($E11,$E$2:$E$101,0)+COUNTIFS($E$2:$E$101,$E11,$C$2:$C$101,"&gt;"&amp;$C11))</f>
        <v/>
      </c>
    </row>
    <row r="12">
      <c r="A12">
        <f>IFERROR(INDIRECT("Cadastro de Participantes!A" &amp; ROW()),"")</f>
        <v/>
      </c>
      <c r="B12">
        <f>IF($A12="","",COUNTIF('Controle de Palpites'!$B:$B,$A12))</f>
        <v/>
      </c>
      <c r="C12">
        <f>IF($A12="","",SUMIFS('Controle de Palpites'!$J:$J,'Controle de Palpites'!$B:$B,$A12,'Controle de Palpites'!$J:$J,3))</f>
        <v/>
      </c>
      <c r="D12">
        <f>IF($A12="","",COUNTIFS('Controle de Palpites'!$B:$B,$A12,'Controle de Palpites'!$J:$J,"&gt;=1"))</f>
        <v/>
      </c>
      <c r="E12">
        <f>IF($A12="","",SUMIFS('Controle de Palpites'!$J:$J,'Controle de Palpites'!$B:$B,$A12))</f>
        <v/>
      </c>
      <c r="F12">
        <f>IF($B12=0,"",ROUND($E12/$B12,2))</f>
        <v/>
      </c>
      <c r="G12">
        <f>IF($E12="","",RANK($E12,$E$2:$E$101,0)+COUNTIFS($E$2:$E$101,$E12,$C$2:$C$101,"&gt;"&amp;$C12))</f>
        <v/>
      </c>
    </row>
    <row r="13">
      <c r="A13">
        <f>IFERROR(INDIRECT("Cadastro de Participantes!A" &amp; ROW()),"")</f>
        <v/>
      </c>
      <c r="B13">
        <f>IF($A13="","",COUNTIF('Controle de Palpites'!$B:$B,$A13))</f>
        <v/>
      </c>
      <c r="C13">
        <f>IF($A13="","",SUMIFS('Controle de Palpites'!$J:$J,'Controle de Palpites'!$B:$B,$A13,'Controle de Palpites'!$J:$J,3))</f>
        <v/>
      </c>
      <c r="D13">
        <f>IF($A13="","",COUNTIFS('Controle de Palpites'!$B:$B,$A13,'Controle de Palpites'!$J:$J,"&gt;=1"))</f>
        <v/>
      </c>
      <c r="E13">
        <f>IF($A13="","",SUMIFS('Controle de Palpites'!$J:$J,'Controle de Palpites'!$B:$B,$A13))</f>
        <v/>
      </c>
      <c r="F13">
        <f>IF($B13=0,"",ROUND($E13/$B13,2))</f>
        <v/>
      </c>
      <c r="G13">
        <f>IF($E13="","",RANK($E13,$E$2:$E$101,0)+COUNTIFS($E$2:$E$101,$E13,$C$2:$C$101,"&gt;"&amp;$C13))</f>
        <v/>
      </c>
    </row>
    <row r="14">
      <c r="A14">
        <f>IFERROR(INDIRECT("Cadastro de Participantes!A" &amp; ROW()),"")</f>
        <v/>
      </c>
      <c r="B14">
        <f>IF($A14="","",COUNTIF('Controle de Palpites'!$B:$B,$A14))</f>
        <v/>
      </c>
      <c r="C14">
        <f>IF($A14="","",SUMIFS('Controle de Palpites'!$J:$J,'Controle de Palpites'!$B:$B,$A14,'Controle de Palpites'!$J:$J,3))</f>
        <v/>
      </c>
      <c r="D14">
        <f>IF($A14="","",COUNTIFS('Controle de Palpites'!$B:$B,$A14,'Controle de Palpites'!$J:$J,"&gt;=1"))</f>
        <v/>
      </c>
      <c r="E14">
        <f>IF($A14="","",SUMIFS('Controle de Palpites'!$J:$J,'Controle de Palpites'!$B:$B,$A14))</f>
        <v/>
      </c>
      <c r="F14">
        <f>IF($B14=0,"",ROUND($E14/$B14,2))</f>
        <v/>
      </c>
      <c r="G14">
        <f>IF($E14="","",RANK($E14,$E$2:$E$101,0)+COUNTIFS($E$2:$E$101,$E14,$C$2:$C$101,"&gt;"&amp;$C14))</f>
        <v/>
      </c>
    </row>
    <row r="15">
      <c r="A15">
        <f>IFERROR(INDIRECT("Cadastro de Participantes!A" &amp; ROW()),"")</f>
        <v/>
      </c>
      <c r="B15">
        <f>IF($A15="","",COUNTIF('Controle de Palpites'!$B:$B,$A15))</f>
        <v/>
      </c>
      <c r="C15">
        <f>IF($A15="","",SUMIFS('Controle de Palpites'!$J:$J,'Controle de Palpites'!$B:$B,$A15,'Controle de Palpites'!$J:$J,3))</f>
        <v/>
      </c>
      <c r="D15">
        <f>IF($A15="","",COUNTIFS('Controle de Palpites'!$B:$B,$A15,'Controle de Palpites'!$J:$J,"&gt;=1"))</f>
        <v/>
      </c>
      <c r="E15">
        <f>IF($A15="","",SUMIFS('Controle de Palpites'!$J:$J,'Controle de Palpites'!$B:$B,$A15))</f>
        <v/>
      </c>
      <c r="F15">
        <f>IF($B15=0,"",ROUND($E15/$B15,2))</f>
        <v/>
      </c>
      <c r="G15">
        <f>IF($E15="","",RANK($E15,$E$2:$E$101,0)+COUNTIFS($E$2:$E$101,$E15,$C$2:$C$101,"&gt;"&amp;$C15))</f>
        <v/>
      </c>
    </row>
    <row r="16">
      <c r="A16">
        <f>IFERROR(INDIRECT("Cadastro de Participantes!A" &amp; ROW()),"")</f>
        <v/>
      </c>
      <c r="B16">
        <f>IF($A16="","",COUNTIF('Controle de Palpites'!$B:$B,$A16))</f>
        <v/>
      </c>
      <c r="C16">
        <f>IF($A16="","",SUMIFS('Controle de Palpites'!$J:$J,'Controle de Palpites'!$B:$B,$A16,'Controle de Palpites'!$J:$J,3))</f>
        <v/>
      </c>
      <c r="D16">
        <f>IF($A16="","",COUNTIFS('Controle de Palpites'!$B:$B,$A16,'Controle de Palpites'!$J:$J,"&gt;=1"))</f>
        <v/>
      </c>
      <c r="E16">
        <f>IF($A16="","",SUMIFS('Controle de Palpites'!$J:$J,'Controle de Palpites'!$B:$B,$A16))</f>
        <v/>
      </c>
      <c r="F16">
        <f>IF($B16=0,"",ROUND($E16/$B16,2))</f>
        <v/>
      </c>
      <c r="G16">
        <f>IF($E16="","",RANK($E16,$E$2:$E$101,0)+COUNTIFS($E$2:$E$101,$E16,$C$2:$C$101,"&gt;"&amp;$C16))</f>
        <v/>
      </c>
    </row>
    <row r="17">
      <c r="A17">
        <f>IFERROR(INDIRECT("Cadastro de Participantes!A" &amp; ROW()),"")</f>
        <v/>
      </c>
      <c r="B17">
        <f>IF($A17="","",COUNTIF('Controle de Palpites'!$B:$B,$A17))</f>
        <v/>
      </c>
      <c r="C17">
        <f>IF($A17="","",SUMIFS('Controle de Palpites'!$J:$J,'Controle de Palpites'!$B:$B,$A17,'Controle de Palpites'!$J:$J,3))</f>
        <v/>
      </c>
      <c r="D17">
        <f>IF($A17="","",COUNTIFS('Controle de Palpites'!$B:$B,$A17,'Controle de Palpites'!$J:$J,"&gt;=1"))</f>
        <v/>
      </c>
      <c r="E17">
        <f>IF($A17="","",SUMIFS('Controle de Palpites'!$J:$J,'Controle de Palpites'!$B:$B,$A17))</f>
        <v/>
      </c>
      <c r="F17">
        <f>IF($B17=0,"",ROUND($E17/$B17,2))</f>
        <v/>
      </c>
      <c r="G17">
        <f>IF($E17="","",RANK($E17,$E$2:$E$101,0)+COUNTIFS($E$2:$E$101,$E17,$C$2:$C$101,"&gt;"&amp;$C17))</f>
        <v/>
      </c>
    </row>
    <row r="18">
      <c r="A18">
        <f>IFERROR(INDIRECT("Cadastro de Participantes!A" &amp; ROW()),"")</f>
        <v/>
      </c>
      <c r="B18">
        <f>IF($A18="","",COUNTIF('Controle de Palpites'!$B:$B,$A18))</f>
        <v/>
      </c>
      <c r="C18">
        <f>IF($A18="","",SUMIFS('Controle de Palpites'!$J:$J,'Controle de Palpites'!$B:$B,$A18,'Controle de Palpites'!$J:$J,3))</f>
        <v/>
      </c>
      <c r="D18">
        <f>IF($A18="","",COUNTIFS('Controle de Palpites'!$B:$B,$A18,'Controle de Palpites'!$J:$J,"&gt;=1"))</f>
        <v/>
      </c>
      <c r="E18">
        <f>IF($A18="","",SUMIFS('Controle de Palpites'!$J:$J,'Controle de Palpites'!$B:$B,$A18))</f>
        <v/>
      </c>
      <c r="F18">
        <f>IF($B18=0,"",ROUND($E18/$B18,2))</f>
        <v/>
      </c>
      <c r="G18">
        <f>IF($E18="","",RANK($E18,$E$2:$E$101,0)+COUNTIFS($E$2:$E$101,$E18,$C$2:$C$101,"&gt;"&amp;$C18))</f>
        <v/>
      </c>
    </row>
    <row r="19">
      <c r="A19">
        <f>IFERROR(INDIRECT("Cadastro de Participantes!A" &amp; ROW()),"")</f>
        <v/>
      </c>
      <c r="B19">
        <f>IF($A19="","",COUNTIF('Controle de Palpites'!$B:$B,$A19))</f>
        <v/>
      </c>
      <c r="C19">
        <f>IF($A19="","",SUMIFS('Controle de Palpites'!$J:$J,'Controle de Palpites'!$B:$B,$A19,'Controle de Palpites'!$J:$J,3))</f>
        <v/>
      </c>
      <c r="D19">
        <f>IF($A19="","",COUNTIFS('Controle de Palpites'!$B:$B,$A19,'Controle de Palpites'!$J:$J,"&gt;=1"))</f>
        <v/>
      </c>
      <c r="E19">
        <f>IF($A19="","",SUMIFS('Controle de Palpites'!$J:$J,'Controle de Palpites'!$B:$B,$A19))</f>
        <v/>
      </c>
      <c r="F19">
        <f>IF($B19=0,"",ROUND($E19/$B19,2))</f>
        <v/>
      </c>
      <c r="G19">
        <f>IF($E19="","",RANK($E19,$E$2:$E$101,0)+COUNTIFS($E$2:$E$101,$E19,$C$2:$C$101,"&gt;"&amp;$C19))</f>
        <v/>
      </c>
    </row>
    <row r="20">
      <c r="A20">
        <f>IFERROR(INDIRECT("Cadastro de Participantes!A" &amp; ROW()),"")</f>
        <v/>
      </c>
      <c r="B20">
        <f>IF($A20="","",COUNTIF('Controle de Palpites'!$B:$B,$A20))</f>
        <v/>
      </c>
      <c r="C20">
        <f>IF($A20="","",SUMIFS('Controle de Palpites'!$J:$J,'Controle de Palpites'!$B:$B,$A20,'Controle de Palpites'!$J:$J,3))</f>
        <v/>
      </c>
      <c r="D20">
        <f>IF($A20="","",COUNTIFS('Controle de Palpites'!$B:$B,$A20,'Controle de Palpites'!$J:$J,"&gt;=1"))</f>
        <v/>
      </c>
      <c r="E20">
        <f>IF($A20="","",SUMIFS('Controle de Palpites'!$J:$J,'Controle de Palpites'!$B:$B,$A20))</f>
        <v/>
      </c>
      <c r="F20">
        <f>IF($B20=0,"",ROUND($E20/$B20,2))</f>
        <v/>
      </c>
      <c r="G20">
        <f>IF($E20="","",RANK($E20,$E$2:$E$101,0)+COUNTIFS($E$2:$E$101,$E20,$C$2:$C$101,"&gt;"&amp;$C20))</f>
        <v/>
      </c>
    </row>
    <row r="21">
      <c r="A21">
        <f>IFERROR(INDIRECT("Cadastro de Participantes!A" &amp; ROW()),"")</f>
        <v/>
      </c>
      <c r="B21">
        <f>IF($A21="","",COUNTIF('Controle de Palpites'!$B:$B,$A21))</f>
        <v/>
      </c>
      <c r="C21">
        <f>IF($A21="","",SUMIFS('Controle de Palpites'!$J:$J,'Controle de Palpites'!$B:$B,$A21,'Controle de Palpites'!$J:$J,3))</f>
        <v/>
      </c>
      <c r="D21">
        <f>IF($A21="","",COUNTIFS('Controle de Palpites'!$B:$B,$A21,'Controle de Palpites'!$J:$J,"&gt;=1"))</f>
        <v/>
      </c>
      <c r="E21">
        <f>IF($A21="","",SUMIFS('Controle de Palpites'!$J:$J,'Controle de Palpites'!$B:$B,$A21))</f>
        <v/>
      </c>
      <c r="F21">
        <f>IF($B21=0,"",ROUND($E21/$B21,2))</f>
        <v/>
      </c>
      <c r="G21">
        <f>IF($E21="","",RANK($E21,$E$2:$E$101,0)+COUNTIFS($E$2:$E$101,$E21,$C$2:$C$101,"&gt;"&amp;$C21))</f>
        <v/>
      </c>
    </row>
    <row r="22">
      <c r="A22">
        <f>IFERROR(INDIRECT("Cadastro de Participantes!A" &amp; ROW()),"")</f>
        <v/>
      </c>
      <c r="B22">
        <f>IF($A22="","",COUNTIF('Controle de Palpites'!$B:$B,$A22))</f>
        <v/>
      </c>
      <c r="C22">
        <f>IF($A22="","",SUMIFS('Controle de Palpites'!$J:$J,'Controle de Palpites'!$B:$B,$A22,'Controle de Palpites'!$J:$J,3))</f>
        <v/>
      </c>
      <c r="D22">
        <f>IF($A22="","",COUNTIFS('Controle de Palpites'!$B:$B,$A22,'Controle de Palpites'!$J:$J,"&gt;=1"))</f>
        <v/>
      </c>
      <c r="E22">
        <f>IF($A22="","",SUMIFS('Controle de Palpites'!$J:$J,'Controle de Palpites'!$B:$B,$A22))</f>
        <v/>
      </c>
      <c r="F22">
        <f>IF($B22=0,"",ROUND($E22/$B22,2))</f>
        <v/>
      </c>
      <c r="G22">
        <f>IF($E22="","",RANK($E22,$E$2:$E$101,0)+COUNTIFS($E$2:$E$101,$E22,$C$2:$C$101,"&gt;"&amp;$C22))</f>
        <v/>
      </c>
    </row>
    <row r="23">
      <c r="A23">
        <f>IFERROR(INDIRECT("Cadastro de Participantes!A" &amp; ROW()),"")</f>
        <v/>
      </c>
      <c r="B23">
        <f>IF($A23="","",COUNTIF('Controle de Palpites'!$B:$B,$A23))</f>
        <v/>
      </c>
      <c r="C23">
        <f>IF($A23="","",SUMIFS('Controle de Palpites'!$J:$J,'Controle de Palpites'!$B:$B,$A23,'Controle de Palpites'!$J:$J,3))</f>
        <v/>
      </c>
      <c r="D23">
        <f>IF($A23="","",COUNTIFS('Controle de Palpites'!$B:$B,$A23,'Controle de Palpites'!$J:$J,"&gt;=1"))</f>
        <v/>
      </c>
      <c r="E23">
        <f>IF($A23="","",SUMIFS('Controle de Palpites'!$J:$J,'Controle de Palpites'!$B:$B,$A23))</f>
        <v/>
      </c>
      <c r="F23">
        <f>IF($B23=0,"",ROUND($E23/$B23,2))</f>
        <v/>
      </c>
      <c r="G23">
        <f>IF($E23="","",RANK($E23,$E$2:$E$101,0)+COUNTIFS($E$2:$E$101,$E23,$C$2:$C$101,"&gt;"&amp;$C23))</f>
        <v/>
      </c>
    </row>
    <row r="24">
      <c r="A24">
        <f>IFERROR(INDIRECT("Cadastro de Participantes!A" &amp; ROW()),"")</f>
        <v/>
      </c>
      <c r="B24">
        <f>IF($A24="","",COUNTIF('Controle de Palpites'!$B:$B,$A24))</f>
        <v/>
      </c>
      <c r="C24">
        <f>IF($A24="","",SUMIFS('Controle de Palpites'!$J:$J,'Controle de Palpites'!$B:$B,$A24,'Controle de Palpites'!$J:$J,3))</f>
        <v/>
      </c>
      <c r="D24">
        <f>IF($A24="","",COUNTIFS('Controle de Palpites'!$B:$B,$A24,'Controle de Palpites'!$J:$J,"&gt;=1"))</f>
        <v/>
      </c>
      <c r="E24">
        <f>IF($A24="","",SUMIFS('Controle de Palpites'!$J:$J,'Controle de Palpites'!$B:$B,$A24))</f>
        <v/>
      </c>
      <c r="F24">
        <f>IF($B24=0,"",ROUND($E24/$B24,2))</f>
        <v/>
      </c>
      <c r="G24">
        <f>IF($E24="","",RANK($E24,$E$2:$E$101,0)+COUNTIFS($E$2:$E$101,$E24,$C$2:$C$101,"&gt;"&amp;$C24))</f>
        <v/>
      </c>
    </row>
    <row r="25">
      <c r="A25">
        <f>IFERROR(INDIRECT("Cadastro de Participantes!A" &amp; ROW()),"")</f>
        <v/>
      </c>
      <c r="B25">
        <f>IF($A25="","",COUNTIF('Controle de Palpites'!$B:$B,$A25))</f>
        <v/>
      </c>
      <c r="C25">
        <f>IF($A25="","",SUMIFS('Controle de Palpites'!$J:$J,'Controle de Palpites'!$B:$B,$A25,'Controle de Palpites'!$J:$J,3))</f>
        <v/>
      </c>
      <c r="D25">
        <f>IF($A25="","",COUNTIFS('Controle de Palpites'!$B:$B,$A25,'Controle de Palpites'!$J:$J,"&gt;=1"))</f>
        <v/>
      </c>
      <c r="E25">
        <f>IF($A25="","",SUMIFS('Controle de Palpites'!$J:$J,'Controle de Palpites'!$B:$B,$A25))</f>
        <v/>
      </c>
      <c r="F25">
        <f>IF($B25=0,"",ROUND($E25/$B25,2))</f>
        <v/>
      </c>
      <c r="G25">
        <f>IF($E25="","",RANK($E25,$E$2:$E$101,0)+COUNTIFS($E$2:$E$101,$E25,$C$2:$C$101,"&gt;"&amp;$C25))</f>
        <v/>
      </c>
    </row>
    <row r="26">
      <c r="A26">
        <f>IFERROR(INDIRECT("Cadastro de Participantes!A" &amp; ROW()),"")</f>
        <v/>
      </c>
      <c r="B26">
        <f>IF($A26="","",COUNTIF('Controle de Palpites'!$B:$B,$A26))</f>
        <v/>
      </c>
      <c r="C26">
        <f>IF($A26="","",SUMIFS('Controle de Palpites'!$J:$J,'Controle de Palpites'!$B:$B,$A26,'Controle de Palpites'!$J:$J,3))</f>
        <v/>
      </c>
      <c r="D26">
        <f>IF($A26="","",COUNTIFS('Controle de Palpites'!$B:$B,$A26,'Controle de Palpites'!$J:$J,"&gt;=1"))</f>
        <v/>
      </c>
      <c r="E26">
        <f>IF($A26="","",SUMIFS('Controle de Palpites'!$J:$J,'Controle de Palpites'!$B:$B,$A26))</f>
        <v/>
      </c>
      <c r="F26">
        <f>IF($B26=0,"",ROUND($E26/$B26,2))</f>
        <v/>
      </c>
      <c r="G26">
        <f>IF($E26="","",RANK($E26,$E$2:$E$101,0)+COUNTIFS($E$2:$E$101,$E26,$C$2:$C$101,"&gt;"&amp;$C26))</f>
        <v/>
      </c>
    </row>
    <row r="27">
      <c r="A27">
        <f>IFERROR(INDIRECT("Cadastro de Participantes!A" &amp; ROW()),"")</f>
        <v/>
      </c>
      <c r="B27">
        <f>IF($A27="","",COUNTIF('Controle de Palpites'!$B:$B,$A27))</f>
        <v/>
      </c>
      <c r="C27">
        <f>IF($A27="","",SUMIFS('Controle de Palpites'!$J:$J,'Controle de Palpites'!$B:$B,$A27,'Controle de Palpites'!$J:$J,3))</f>
        <v/>
      </c>
      <c r="D27">
        <f>IF($A27="","",COUNTIFS('Controle de Palpites'!$B:$B,$A27,'Controle de Palpites'!$J:$J,"&gt;=1"))</f>
        <v/>
      </c>
      <c r="E27">
        <f>IF($A27="","",SUMIFS('Controle de Palpites'!$J:$J,'Controle de Palpites'!$B:$B,$A27))</f>
        <v/>
      </c>
      <c r="F27">
        <f>IF($B27=0,"",ROUND($E27/$B27,2))</f>
        <v/>
      </c>
      <c r="G27">
        <f>IF($E27="","",RANK($E27,$E$2:$E$101,0)+COUNTIFS($E$2:$E$101,$E27,$C$2:$C$101,"&gt;"&amp;$C27))</f>
        <v/>
      </c>
    </row>
    <row r="28">
      <c r="A28">
        <f>IFERROR(INDIRECT("Cadastro de Participantes!A" &amp; ROW()),"")</f>
        <v/>
      </c>
      <c r="B28">
        <f>IF($A28="","",COUNTIF('Controle de Palpites'!$B:$B,$A28))</f>
        <v/>
      </c>
      <c r="C28">
        <f>IF($A28="","",SUMIFS('Controle de Palpites'!$J:$J,'Controle de Palpites'!$B:$B,$A28,'Controle de Palpites'!$J:$J,3))</f>
        <v/>
      </c>
      <c r="D28">
        <f>IF($A28="","",COUNTIFS('Controle de Palpites'!$B:$B,$A28,'Controle de Palpites'!$J:$J,"&gt;=1"))</f>
        <v/>
      </c>
      <c r="E28">
        <f>IF($A28="","",SUMIFS('Controle de Palpites'!$J:$J,'Controle de Palpites'!$B:$B,$A28))</f>
        <v/>
      </c>
      <c r="F28">
        <f>IF($B28=0,"",ROUND($E28/$B28,2))</f>
        <v/>
      </c>
      <c r="G28">
        <f>IF($E28="","",RANK($E28,$E$2:$E$101,0)+COUNTIFS($E$2:$E$101,$E28,$C$2:$C$101,"&gt;"&amp;$C28))</f>
        <v/>
      </c>
    </row>
    <row r="29">
      <c r="A29">
        <f>IFERROR(INDIRECT("Cadastro de Participantes!A" &amp; ROW()),"")</f>
        <v/>
      </c>
      <c r="B29">
        <f>IF($A29="","",COUNTIF('Controle de Palpites'!$B:$B,$A29))</f>
        <v/>
      </c>
      <c r="C29">
        <f>IF($A29="","",SUMIFS('Controle de Palpites'!$J:$J,'Controle de Palpites'!$B:$B,$A29,'Controle de Palpites'!$J:$J,3))</f>
        <v/>
      </c>
      <c r="D29">
        <f>IF($A29="","",COUNTIFS('Controle de Palpites'!$B:$B,$A29,'Controle de Palpites'!$J:$J,"&gt;=1"))</f>
        <v/>
      </c>
      <c r="E29">
        <f>IF($A29="","",SUMIFS('Controle de Palpites'!$J:$J,'Controle de Palpites'!$B:$B,$A29))</f>
        <v/>
      </c>
      <c r="F29">
        <f>IF($B29=0,"",ROUND($E29/$B29,2))</f>
        <v/>
      </c>
      <c r="G29">
        <f>IF($E29="","",RANK($E29,$E$2:$E$101,0)+COUNTIFS($E$2:$E$101,$E29,$C$2:$C$101,"&gt;"&amp;$C29))</f>
        <v/>
      </c>
    </row>
    <row r="30">
      <c r="A30">
        <f>IFERROR(INDIRECT("Cadastro de Participantes!A" &amp; ROW()),"")</f>
        <v/>
      </c>
      <c r="B30">
        <f>IF($A30="","",COUNTIF('Controle de Palpites'!$B:$B,$A30))</f>
        <v/>
      </c>
      <c r="C30">
        <f>IF($A30="","",SUMIFS('Controle de Palpites'!$J:$J,'Controle de Palpites'!$B:$B,$A30,'Controle de Palpites'!$J:$J,3))</f>
        <v/>
      </c>
      <c r="D30">
        <f>IF($A30="","",COUNTIFS('Controle de Palpites'!$B:$B,$A30,'Controle de Palpites'!$J:$J,"&gt;=1"))</f>
        <v/>
      </c>
      <c r="E30">
        <f>IF($A30="","",SUMIFS('Controle de Palpites'!$J:$J,'Controle de Palpites'!$B:$B,$A30))</f>
        <v/>
      </c>
      <c r="F30">
        <f>IF($B30=0,"",ROUND($E30/$B30,2))</f>
        <v/>
      </c>
      <c r="G30">
        <f>IF($E30="","",RANK($E30,$E$2:$E$101,0)+COUNTIFS($E$2:$E$101,$E30,$C$2:$C$101,"&gt;"&amp;$C30))</f>
        <v/>
      </c>
    </row>
    <row r="31">
      <c r="A31">
        <f>IFERROR(INDIRECT("Cadastro de Participantes!A" &amp; ROW()),"")</f>
        <v/>
      </c>
      <c r="B31">
        <f>IF($A31="","",COUNTIF('Controle de Palpites'!$B:$B,$A31))</f>
        <v/>
      </c>
      <c r="C31">
        <f>IF($A31="","",SUMIFS('Controle de Palpites'!$J:$J,'Controle de Palpites'!$B:$B,$A31,'Controle de Palpites'!$J:$J,3))</f>
        <v/>
      </c>
      <c r="D31">
        <f>IF($A31="","",COUNTIFS('Controle de Palpites'!$B:$B,$A31,'Controle de Palpites'!$J:$J,"&gt;=1"))</f>
        <v/>
      </c>
      <c r="E31">
        <f>IF($A31="","",SUMIFS('Controle de Palpites'!$J:$J,'Controle de Palpites'!$B:$B,$A31))</f>
        <v/>
      </c>
      <c r="F31">
        <f>IF($B31=0,"",ROUND($E31/$B31,2))</f>
        <v/>
      </c>
      <c r="G31">
        <f>IF($E31="","",RANK($E31,$E$2:$E$101,0)+COUNTIFS($E$2:$E$101,$E31,$C$2:$C$101,"&gt;"&amp;$C31))</f>
        <v/>
      </c>
    </row>
    <row r="32">
      <c r="A32">
        <f>IFERROR(INDIRECT("Cadastro de Participantes!A" &amp; ROW()),"")</f>
        <v/>
      </c>
      <c r="B32">
        <f>IF($A32="","",COUNTIF('Controle de Palpites'!$B:$B,$A32))</f>
        <v/>
      </c>
      <c r="C32">
        <f>IF($A32="","",SUMIFS('Controle de Palpites'!$J:$J,'Controle de Palpites'!$B:$B,$A32,'Controle de Palpites'!$J:$J,3))</f>
        <v/>
      </c>
      <c r="D32">
        <f>IF($A32="","",COUNTIFS('Controle de Palpites'!$B:$B,$A32,'Controle de Palpites'!$J:$J,"&gt;=1"))</f>
        <v/>
      </c>
      <c r="E32">
        <f>IF($A32="","",SUMIFS('Controle de Palpites'!$J:$J,'Controle de Palpites'!$B:$B,$A32))</f>
        <v/>
      </c>
      <c r="F32">
        <f>IF($B32=0,"",ROUND($E32/$B32,2))</f>
        <v/>
      </c>
      <c r="G32">
        <f>IF($E32="","",RANK($E32,$E$2:$E$101,0)+COUNTIFS($E$2:$E$101,$E32,$C$2:$C$101,"&gt;"&amp;$C32))</f>
        <v/>
      </c>
    </row>
    <row r="33">
      <c r="A33">
        <f>IFERROR(INDIRECT("Cadastro de Participantes!A" &amp; ROW()),"")</f>
        <v/>
      </c>
      <c r="B33">
        <f>IF($A33="","",COUNTIF('Controle de Palpites'!$B:$B,$A33))</f>
        <v/>
      </c>
      <c r="C33">
        <f>IF($A33="","",SUMIFS('Controle de Palpites'!$J:$J,'Controle de Palpites'!$B:$B,$A33,'Controle de Palpites'!$J:$J,3))</f>
        <v/>
      </c>
      <c r="D33">
        <f>IF($A33="","",COUNTIFS('Controle de Palpites'!$B:$B,$A33,'Controle de Palpites'!$J:$J,"&gt;=1"))</f>
        <v/>
      </c>
      <c r="E33">
        <f>IF($A33="","",SUMIFS('Controle de Palpites'!$J:$J,'Controle de Palpites'!$B:$B,$A33))</f>
        <v/>
      </c>
      <c r="F33">
        <f>IF($B33=0,"",ROUND($E33/$B33,2))</f>
        <v/>
      </c>
      <c r="G33">
        <f>IF($E33="","",RANK($E33,$E$2:$E$101,0)+COUNTIFS($E$2:$E$101,$E33,$C$2:$C$101,"&gt;"&amp;$C33))</f>
        <v/>
      </c>
    </row>
    <row r="34">
      <c r="A34">
        <f>IFERROR(INDIRECT("Cadastro de Participantes!A" &amp; ROW()),"")</f>
        <v/>
      </c>
      <c r="B34">
        <f>IF($A34="","",COUNTIF('Controle de Palpites'!$B:$B,$A34))</f>
        <v/>
      </c>
      <c r="C34">
        <f>IF($A34="","",SUMIFS('Controle de Palpites'!$J:$J,'Controle de Palpites'!$B:$B,$A34,'Controle de Palpites'!$J:$J,3))</f>
        <v/>
      </c>
      <c r="D34">
        <f>IF($A34="","",COUNTIFS('Controle de Palpites'!$B:$B,$A34,'Controle de Palpites'!$J:$J,"&gt;=1"))</f>
        <v/>
      </c>
      <c r="E34">
        <f>IF($A34="","",SUMIFS('Controle de Palpites'!$J:$J,'Controle de Palpites'!$B:$B,$A34))</f>
        <v/>
      </c>
      <c r="F34">
        <f>IF($B34=0,"",ROUND($E34/$B34,2))</f>
        <v/>
      </c>
      <c r="G34">
        <f>IF($E34="","",RANK($E34,$E$2:$E$101,0)+COUNTIFS($E$2:$E$101,$E34,$C$2:$C$101,"&gt;"&amp;$C34))</f>
        <v/>
      </c>
    </row>
    <row r="35">
      <c r="A35">
        <f>IFERROR(INDIRECT("Cadastro de Participantes!A" &amp; ROW()),"")</f>
        <v/>
      </c>
      <c r="B35">
        <f>IF($A35="","",COUNTIF('Controle de Palpites'!$B:$B,$A35))</f>
        <v/>
      </c>
      <c r="C35">
        <f>IF($A35="","",SUMIFS('Controle de Palpites'!$J:$J,'Controle de Palpites'!$B:$B,$A35,'Controle de Palpites'!$J:$J,3))</f>
        <v/>
      </c>
      <c r="D35">
        <f>IF($A35="","",COUNTIFS('Controle de Palpites'!$B:$B,$A35,'Controle de Palpites'!$J:$J,"&gt;=1"))</f>
        <v/>
      </c>
      <c r="E35">
        <f>IF($A35="","",SUMIFS('Controle de Palpites'!$J:$J,'Controle de Palpites'!$B:$B,$A35))</f>
        <v/>
      </c>
      <c r="F35">
        <f>IF($B35=0,"",ROUND($E35/$B35,2))</f>
        <v/>
      </c>
      <c r="G35">
        <f>IF($E35="","",RANK($E35,$E$2:$E$101,0)+COUNTIFS($E$2:$E$101,$E35,$C$2:$C$101,"&gt;"&amp;$C35))</f>
        <v/>
      </c>
    </row>
    <row r="36">
      <c r="A36">
        <f>IFERROR(INDIRECT("Cadastro de Participantes!A" &amp; ROW()),"")</f>
        <v/>
      </c>
      <c r="B36">
        <f>IF($A36="","",COUNTIF('Controle de Palpites'!$B:$B,$A36))</f>
        <v/>
      </c>
      <c r="C36">
        <f>IF($A36="","",SUMIFS('Controle de Palpites'!$J:$J,'Controle de Palpites'!$B:$B,$A36,'Controle de Palpites'!$J:$J,3))</f>
        <v/>
      </c>
      <c r="D36">
        <f>IF($A36="","",COUNTIFS('Controle de Palpites'!$B:$B,$A36,'Controle de Palpites'!$J:$J,"&gt;=1"))</f>
        <v/>
      </c>
      <c r="E36">
        <f>IF($A36="","",SUMIFS('Controle de Palpites'!$J:$J,'Controle de Palpites'!$B:$B,$A36))</f>
        <v/>
      </c>
      <c r="F36">
        <f>IF($B36=0,"",ROUND($E36/$B36,2))</f>
        <v/>
      </c>
      <c r="G36">
        <f>IF($E36="","",RANK($E36,$E$2:$E$101,0)+COUNTIFS($E$2:$E$101,$E36,$C$2:$C$101,"&gt;"&amp;$C36))</f>
        <v/>
      </c>
    </row>
    <row r="37">
      <c r="A37">
        <f>IFERROR(INDIRECT("Cadastro de Participantes!A" &amp; ROW()),"")</f>
        <v/>
      </c>
      <c r="B37">
        <f>IF($A37="","",COUNTIF('Controle de Palpites'!$B:$B,$A37))</f>
        <v/>
      </c>
      <c r="C37">
        <f>IF($A37="","",SUMIFS('Controle de Palpites'!$J:$J,'Controle de Palpites'!$B:$B,$A37,'Controle de Palpites'!$J:$J,3))</f>
        <v/>
      </c>
      <c r="D37">
        <f>IF($A37="","",COUNTIFS('Controle de Palpites'!$B:$B,$A37,'Controle de Palpites'!$J:$J,"&gt;=1"))</f>
        <v/>
      </c>
      <c r="E37">
        <f>IF($A37="","",SUMIFS('Controle de Palpites'!$J:$J,'Controle de Palpites'!$B:$B,$A37))</f>
        <v/>
      </c>
      <c r="F37">
        <f>IF($B37=0,"",ROUND($E37/$B37,2))</f>
        <v/>
      </c>
      <c r="G37">
        <f>IF($E37="","",RANK($E37,$E$2:$E$101,0)+COUNTIFS($E$2:$E$101,$E37,$C$2:$C$101,"&gt;"&amp;$C37))</f>
        <v/>
      </c>
    </row>
    <row r="38">
      <c r="A38">
        <f>IFERROR(INDIRECT("Cadastro de Participantes!A" &amp; ROW()),"")</f>
        <v/>
      </c>
      <c r="B38">
        <f>IF($A38="","",COUNTIF('Controle de Palpites'!$B:$B,$A38))</f>
        <v/>
      </c>
      <c r="C38">
        <f>IF($A38="","",SUMIFS('Controle de Palpites'!$J:$J,'Controle de Palpites'!$B:$B,$A38,'Controle de Palpites'!$J:$J,3))</f>
        <v/>
      </c>
      <c r="D38">
        <f>IF($A38="","",COUNTIFS('Controle de Palpites'!$B:$B,$A38,'Controle de Palpites'!$J:$J,"&gt;=1"))</f>
        <v/>
      </c>
      <c r="E38">
        <f>IF($A38="","",SUMIFS('Controle de Palpites'!$J:$J,'Controle de Palpites'!$B:$B,$A38))</f>
        <v/>
      </c>
      <c r="F38">
        <f>IF($B38=0,"",ROUND($E38/$B38,2))</f>
        <v/>
      </c>
      <c r="G38">
        <f>IF($E38="","",RANK($E38,$E$2:$E$101,0)+COUNTIFS($E$2:$E$101,$E38,$C$2:$C$101,"&gt;"&amp;$C38))</f>
        <v/>
      </c>
    </row>
    <row r="39">
      <c r="A39">
        <f>IFERROR(INDIRECT("Cadastro de Participantes!A" &amp; ROW()),"")</f>
        <v/>
      </c>
      <c r="B39">
        <f>IF($A39="","",COUNTIF('Controle de Palpites'!$B:$B,$A39))</f>
        <v/>
      </c>
      <c r="C39">
        <f>IF($A39="","",SUMIFS('Controle de Palpites'!$J:$J,'Controle de Palpites'!$B:$B,$A39,'Controle de Palpites'!$J:$J,3))</f>
        <v/>
      </c>
      <c r="D39">
        <f>IF($A39="","",COUNTIFS('Controle de Palpites'!$B:$B,$A39,'Controle de Palpites'!$J:$J,"&gt;=1"))</f>
        <v/>
      </c>
      <c r="E39">
        <f>IF($A39="","",SUMIFS('Controle de Palpites'!$J:$J,'Controle de Palpites'!$B:$B,$A39))</f>
        <v/>
      </c>
      <c r="F39">
        <f>IF($B39=0,"",ROUND($E39/$B39,2))</f>
        <v/>
      </c>
      <c r="G39">
        <f>IF($E39="","",RANK($E39,$E$2:$E$101,0)+COUNTIFS($E$2:$E$101,$E39,$C$2:$C$101,"&gt;"&amp;$C39))</f>
        <v/>
      </c>
    </row>
    <row r="40">
      <c r="A40">
        <f>IFERROR(INDIRECT("Cadastro de Participantes!A" &amp; ROW()),"")</f>
        <v/>
      </c>
      <c r="B40">
        <f>IF($A40="","",COUNTIF('Controle de Palpites'!$B:$B,$A40))</f>
        <v/>
      </c>
      <c r="C40">
        <f>IF($A40="","",SUMIFS('Controle de Palpites'!$J:$J,'Controle de Palpites'!$B:$B,$A40,'Controle de Palpites'!$J:$J,3))</f>
        <v/>
      </c>
      <c r="D40">
        <f>IF($A40="","",COUNTIFS('Controle de Palpites'!$B:$B,$A40,'Controle de Palpites'!$J:$J,"&gt;=1"))</f>
        <v/>
      </c>
      <c r="E40">
        <f>IF($A40="","",SUMIFS('Controle de Palpites'!$J:$J,'Controle de Palpites'!$B:$B,$A40))</f>
        <v/>
      </c>
      <c r="F40">
        <f>IF($B40=0,"",ROUND($E40/$B40,2))</f>
        <v/>
      </c>
      <c r="G40">
        <f>IF($E40="","",RANK($E40,$E$2:$E$101,0)+COUNTIFS($E$2:$E$101,$E40,$C$2:$C$101,"&gt;"&amp;$C40))</f>
        <v/>
      </c>
    </row>
    <row r="41">
      <c r="A41">
        <f>IFERROR(INDIRECT("Cadastro de Participantes!A" &amp; ROW()),"")</f>
        <v/>
      </c>
      <c r="B41">
        <f>IF($A41="","",COUNTIF('Controle de Palpites'!$B:$B,$A41))</f>
        <v/>
      </c>
      <c r="C41">
        <f>IF($A41="","",SUMIFS('Controle de Palpites'!$J:$J,'Controle de Palpites'!$B:$B,$A41,'Controle de Palpites'!$J:$J,3))</f>
        <v/>
      </c>
      <c r="D41">
        <f>IF($A41="","",COUNTIFS('Controle de Palpites'!$B:$B,$A41,'Controle de Palpites'!$J:$J,"&gt;=1"))</f>
        <v/>
      </c>
      <c r="E41">
        <f>IF($A41="","",SUMIFS('Controle de Palpites'!$J:$J,'Controle de Palpites'!$B:$B,$A41))</f>
        <v/>
      </c>
      <c r="F41">
        <f>IF($B41=0,"",ROUND($E41/$B41,2))</f>
        <v/>
      </c>
      <c r="G41">
        <f>IF($E41="","",RANK($E41,$E$2:$E$101,0)+COUNTIFS($E$2:$E$101,$E41,$C$2:$C$101,"&gt;"&amp;$C41))</f>
        <v/>
      </c>
    </row>
    <row r="42">
      <c r="A42">
        <f>IFERROR(INDIRECT("Cadastro de Participantes!A" &amp; ROW()),"")</f>
        <v/>
      </c>
      <c r="B42">
        <f>IF($A42="","",COUNTIF('Controle de Palpites'!$B:$B,$A42))</f>
        <v/>
      </c>
      <c r="C42">
        <f>IF($A42="","",SUMIFS('Controle de Palpites'!$J:$J,'Controle de Palpites'!$B:$B,$A42,'Controle de Palpites'!$J:$J,3))</f>
        <v/>
      </c>
      <c r="D42">
        <f>IF($A42="","",COUNTIFS('Controle de Palpites'!$B:$B,$A42,'Controle de Palpites'!$J:$J,"&gt;=1"))</f>
        <v/>
      </c>
      <c r="E42">
        <f>IF($A42="","",SUMIFS('Controle de Palpites'!$J:$J,'Controle de Palpites'!$B:$B,$A42))</f>
        <v/>
      </c>
      <c r="F42">
        <f>IF($B42=0,"",ROUND($E42/$B42,2))</f>
        <v/>
      </c>
      <c r="G42">
        <f>IF($E42="","",RANK($E42,$E$2:$E$101,0)+COUNTIFS($E$2:$E$101,$E42,$C$2:$C$101,"&gt;"&amp;$C42))</f>
        <v/>
      </c>
    </row>
    <row r="43">
      <c r="A43">
        <f>IFERROR(INDIRECT("Cadastro de Participantes!A" &amp; ROW()),"")</f>
        <v/>
      </c>
      <c r="B43">
        <f>IF($A43="","",COUNTIF('Controle de Palpites'!$B:$B,$A43))</f>
        <v/>
      </c>
      <c r="C43">
        <f>IF($A43="","",SUMIFS('Controle de Palpites'!$J:$J,'Controle de Palpites'!$B:$B,$A43,'Controle de Palpites'!$J:$J,3))</f>
        <v/>
      </c>
      <c r="D43">
        <f>IF($A43="","",COUNTIFS('Controle de Palpites'!$B:$B,$A43,'Controle de Palpites'!$J:$J,"&gt;=1"))</f>
        <v/>
      </c>
      <c r="E43">
        <f>IF($A43="","",SUMIFS('Controle de Palpites'!$J:$J,'Controle de Palpites'!$B:$B,$A43))</f>
        <v/>
      </c>
      <c r="F43">
        <f>IF($B43=0,"",ROUND($E43/$B43,2))</f>
        <v/>
      </c>
      <c r="G43">
        <f>IF($E43="","",RANK($E43,$E$2:$E$101,0)+COUNTIFS($E$2:$E$101,$E43,$C$2:$C$101,"&gt;"&amp;$C43))</f>
        <v/>
      </c>
    </row>
    <row r="44">
      <c r="A44">
        <f>IFERROR(INDIRECT("Cadastro de Participantes!A" &amp; ROW()),"")</f>
        <v/>
      </c>
      <c r="B44">
        <f>IF($A44="","",COUNTIF('Controle de Palpites'!$B:$B,$A44))</f>
        <v/>
      </c>
      <c r="C44">
        <f>IF($A44="","",SUMIFS('Controle de Palpites'!$J:$J,'Controle de Palpites'!$B:$B,$A44,'Controle de Palpites'!$J:$J,3))</f>
        <v/>
      </c>
      <c r="D44">
        <f>IF($A44="","",COUNTIFS('Controle de Palpites'!$B:$B,$A44,'Controle de Palpites'!$J:$J,"&gt;=1"))</f>
        <v/>
      </c>
      <c r="E44">
        <f>IF($A44="","",SUMIFS('Controle de Palpites'!$J:$J,'Controle de Palpites'!$B:$B,$A44))</f>
        <v/>
      </c>
      <c r="F44">
        <f>IF($B44=0,"",ROUND($E44/$B44,2))</f>
        <v/>
      </c>
      <c r="G44">
        <f>IF($E44="","",RANK($E44,$E$2:$E$101,0)+COUNTIFS($E$2:$E$101,$E44,$C$2:$C$101,"&gt;"&amp;$C44))</f>
        <v/>
      </c>
    </row>
    <row r="45">
      <c r="A45">
        <f>IFERROR(INDIRECT("Cadastro de Participantes!A" &amp; ROW()),"")</f>
        <v/>
      </c>
      <c r="B45">
        <f>IF($A45="","",COUNTIF('Controle de Palpites'!$B:$B,$A45))</f>
        <v/>
      </c>
      <c r="C45">
        <f>IF($A45="","",SUMIFS('Controle de Palpites'!$J:$J,'Controle de Palpites'!$B:$B,$A45,'Controle de Palpites'!$J:$J,3))</f>
        <v/>
      </c>
      <c r="D45">
        <f>IF($A45="","",COUNTIFS('Controle de Palpites'!$B:$B,$A45,'Controle de Palpites'!$J:$J,"&gt;=1"))</f>
        <v/>
      </c>
      <c r="E45">
        <f>IF($A45="","",SUMIFS('Controle de Palpites'!$J:$J,'Controle de Palpites'!$B:$B,$A45))</f>
        <v/>
      </c>
      <c r="F45">
        <f>IF($B45=0,"",ROUND($E45/$B45,2))</f>
        <v/>
      </c>
      <c r="G45">
        <f>IF($E45="","",RANK($E45,$E$2:$E$101,0)+COUNTIFS($E$2:$E$101,$E45,$C$2:$C$101,"&gt;"&amp;$C45))</f>
        <v/>
      </c>
    </row>
    <row r="46">
      <c r="A46">
        <f>IFERROR(INDIRECT("Cadastro de Participantes!A" &amp; ROW()),"")</f>
        <v/>
      </c>
      <c r="B46">
        <f>IF($A46="","",COUNTIF('Controle de Palpites'!$B:$B,$A46))</f>
        <v/>
      </c>
      <c r="C46">
        <f>IF($A46="","",SUMIFS('Controle de Palpites'!$J:$J,'Controle de Palpites'!$B:$B,$A46,'Controle de Palpites'!$J:$J,3))</f>
        <v/>
      </c>
      <c r="D46">
        <f>IF($A46="","",COUNTIFS('Controle de Palpites'!$B:$B,$A46,'Controle de Palpites'!$J:$J,"&gt;=1"))</f>
        <v/>
      </c>
      <c r="E46">
        <f>IF($A46="","",SUMIFS('Controle de Palpites'!$J:$J,'Controle de Palpites'!$B:$B,$A46))</f>
        <v/>
      </c>
      <c r="F46">
        <f>IF($B46=0,"",ROUND($E46/$B46,2))</f>
        <v/>
      </c>
      <c r="G46">
        <f>IF($E46="","",RANK($E46,$E$2:$E$101,0)+COUNTIFS($E$2:$E$101,$E46,$C$2:$C$101,"&gt;"&amp;$C46))</f>
        <v/>
      </c>
    </row>
    <row r="47">
      <c r="A47">
        <f>IFERROR(INDIRECT("Cadastro de Participantes!A" &amp; ROW()),"")</f>
        <v/>
      </c>
      <c r="B47">
        <f>IF($A47="","",COUNTIF('Controle de Palpites'!$B:$B,$A47))</f>
        <v/>
      </c>
      <c r="C47">
        <f>IF($A47="","",SUMIFS('Controle de Palpites'!$J:$J,'Controle de Palpites'!$B:$B,$A47,'Controle de Palpites'!$J:$J,3))</f>
        <v/>
      </c>
      <c r="D47">
        <f>IF($A47="","",COUNTIFS('Controle de Palpites'!$B:$B,$A47,'Controle de Palpites'!$J:$J,"&gt;=1"))</f>
        <v/>
      </c>
      <c r="E47">
        <f>IF($A47="","",SUMIFS('Controle de Palpites'!$J:$J,'Controle de Palpites'!$B:$B,$A47))</f>
        <v/>
      </c>
      <c r="F47">
        <f>IF($B47=0,"",ROUND($E47/$B47,2))</f>
        <v/>
      </c>
      <c r="G47">
        <f>IF($E47="","",RANK($E47,$E$2:$E$101,0)+COUNTIFS($E$2:$E$101,$E47,$C$2:$C$101,"&gt;"&amp;$C47))</f>
        <v/>
      </c>
    </row>
    <row r="48">
      <c r="A48">
        <f>IFERROR(INDIRECT("Cadastro de Participantes!A" &amp; ROW()),"")</f>
        <v/>
      </c>
      <c r="B48">
        <f>IF($A48="","",COUNTIF('Controle de Palpites'!$B:$B,$A48))</f>
        <v/>
      </c>
      <c r="C48">
        <f>IF($A48="","",SUMIFS('Controle de Palpites'!$J:$J,'Controle de Palpites'!$B:$B,$A48,'Controle de Palpites'!$J:$J,3))</f>
        <v/>
      </c>
      <c r="D48">
        <f>IF($A48="","",COUNTIFS('Controle de Palpites'!$B:$B,$A48,'Controle de Palpites'!$J:$J,"&gt;=1"))</f>
        <v/>
      </c>
      <c r="E48">
        <f>IF($A48="","",SUMIFS('Controle de Palpites'!$J:$J,'Controle de Palpites'!$B:$B,$A48))</f>
        <v/>
      </c>
      <c r="F48">
        <f>IF($B48=0,"",ROUND($E48/$B48,2))</f>
        <v/>
      </c>
      <c r="G48">
        <f>IF($E48="","",RANK($E48,$E$2:$E$101,0)+COUNTIFS($E$2:$E$101,$E48,$C$2:$C$101,"&gt;"&amp;$C48))</f>
        <v/>
      </c>
    </row>
    <row r="49">
      <c r="A49">
        <f>IFERROR(INDIRECT("Cadastro de Participantes!A" &amp; ROW()),"")</f>
        <v/>
      </c>
      <c r="B49">
        <f>IF($A49="","",COUNTIF('Controle de Palpites'!$B:$B,$A49))</f>
        <v/>
      </c>
      <c r="C49">
        <f>IF($A49="","",SUMIFS('Controle de Palpites'!$J:$J,'Controle de Palpites'!$B:$B,$A49,'Controle de Palpites'!$J:$J,3))</f>
        <v/>
      </c>
      <c r="D49">
        <f>IF($A49="","",COUNTIFS('Controle de Palpites'!$B:$B,$A49,'Controle de Palpites'!$J:$J,"&gt;=1"))</f>
        <v/>
      </c>
      <c r="E49">
        <f>IF($A49="","",SUMIFS('Controle de Palpites'!$J:$J,'Controle de Palpites'!$B:$B,$A49))</f>
        <v/>
      </c>
      <c r="F49">
        <f>IF($B49=0,"",ROUND($E49/$B49,2))</f>
        <v/>
      </c>
      <c r="G49">
        <f>IF($E49="","",RANK($E49,$E$2:$E$101,0)+COUNTIFS($E$2:$E$101,$E49,$C$2:$C$101,"&gt;"&amp;$C49))</f>
        <v/>
      </c>
    </row>
    <row r="50">
      <c r="A50">
        <f>IFERROR(INDIRECT("Cadastro de Participantes!A" &amp; ROW()),"")</f>
        <v/>
      </c>
      <c r="B50">
        <f>IF($A50="","",COUNTIF('Controle de Palpites'!$B:$B,$A50))</f>
        <v/>
      </c>
      <c r="C50">
        <f>IF($A50="","",SUMIFS('Controle de Palpites'!$J:$J,'Controle de Palpites'!$B:$B,$A50,'Controle de Palpites'!$J:$J,3))</f>
        <v/>
      </c>
      <c r="D50">
        <f>IF($A50="","",COUNTIFS('Controle de Palpites'!$B:$B,$A50,'Controle de Palpites'!$J:$J,"&gt;=1"))</f>
        <v/>
      </c>
      <c r="E50">
        <f>IF($A50="","",SUMIFS('Controle de Palpites'!$J:$J,'Controle de Palpites'!$B:$B,$A50))</f>
        <v/>
      </c>
      <c r="F50">
        <f>IF($B50=0,"",ROUND($E50/$B50,2))</f>
        <v/>
      </c>
      <c r="G50">
        <f>IF($E50="","",RANK($E50,$E$2:$E$101,0)+COUNTIFS($E$2:$E$101,$E50,$C$2:$C$101,"&gt;"&amp;$C50))</f>
        <v/>
      </c>
    </row>
    <row r="51">
      <c r="A51">
        <f>IFERROR(INDIRECT("Cadastro de Participantes!A" &amp; ROW()),"")</f>
        <v/>
      </c>
      <c r="B51">
        <f>IF($A51="","",COUNTIF('Controle de Palpites'!$B:$B,$A51))</f>
        <v/>
      </c>
      <c r="C51">
        <f>IF($A51="","",SUMIFS('Controle de Palpites'!$J:$J,'Controle de Palpites'!$B:$B,$A51,'Controle de Palpites'!$J:$J,3))</f>
        <v/>
      </c>
      <c r="D51">
        <f>IF($A51="","",COUNTIFS('Controle de Palpites'!$B:$B,$A51,'Controle de Palpites'!$J:$J,"&gt;=1"))</f>
        <v/>
      </c>
      <c r="E51">
        <f>IF($A51="","",SUMIFS('Controle de Palpites'!$J:$J,'Controle de Palpites'!$B:$B,$A51))</f>
        <v/>
      </c>
      <c r="F51">
        <f>IF($B51=0,"",ROUND($E51/$B51,2))</f>
        <v/>
      </c>
      <c r="G51">
        <f>IF($E51="","",RANK($E51,$E$2:$E$101,0)+COUNTIFS($E$2:$E$101,$E51,$C$2:$C$101,"&gt;"&amp;$C51))</f>
        <v/>
      </c>
    </row>
    <row r="52">
      <c r="A52">
        <f>IFERROR(INDIRECT("Cadastro de Participantes!A" &amp; ROW()),"")</f>
        <v/>
      </c>
      <c r="B52">
        <f>IF($A52="","",COUNTIF('Controle de Palpites'!$B:$B,$A52))</f>
        <v/>
      </c>
      <c r="C52">
        <f>IF($A52="","",SUMIFS('Controle de Palpites'!$J:$J,'Controle de Palpites'!$B:$B,$A52,'Controle de Palpites'!$J:$J,3))</f>
        <v/>
      </c>
      <c r="D52">
        <f>IF($A52="","",COUNTIFS('Controle de Palpites'!$B:$B,$A52,'Controle de Palpites'!$J:$J,"&gt;=1"))</f>
        <v/>
      </c>
      <c r="E52">
        <f>IF($A52="","",SUMIFS('Controle de Palpites'!$J:$J,'Controle de Palpites'!$B:$B,$A52))</f>
        <v/>
      </c>
      <c r="F52">
        <f>IF($B52=0,"",ROUND($E52/$B52,2))</f>
        <v/>
      </c>
      <c r="G52">
        <f>IF($E52="","",RANK($E52,$E$2:$E$101,0)+COUNTIFS($E$2:$E$101,$E52,$C$2:$C$101,"&gt;"&amp;$C52))</f>
        <v/>
      </c>
    </row>
    <row r="53">
      <c r="A53">
        <f>IFERROR(INDIRECT("Cadastro de Participantes!A" &amp; ROW()),"")</f>
        <v/>
      </c>
      <c r="B53">
        <f>IF($A53="","",COUNTIF('Controle de Palpites'!$B:$B,$A53))</f>
        <v/>
      </c>
      <c r="C53">
        <f>IF($A53="","",SUMIFS('Controle de Palpites'!$J:$J,'Controle de Palpites'!$B:$B,$A53,'Controle de Palpites'!$J:$J,3))</f>
        <v/>
      </c>
      <c r="D53">
        <f>IF($A53="","",COUNTIFS('Controle de Palpites'!$B:$B,$A53,'Controle de Palpites'!$J:$J,"&gt;=1"))</f>
        <v/>
      </c>
      <c r="E53">
        <f>IF($A53="","",SUMIFS('Controle de Palpites'!$J:$J,'Controle de Palpites'!$B:$B,$A53))</f>
        <v/>
      </c>
      <c r="F53">
        <f>IF($B53=0,"",ROUND($E53/$B53,2))</f>
        <v/>
      </c>
      <c r="G53">
        <f>IF($E53="","",RANK($E53,$E$2:$E$101,0)+COUNTIFS($E$2:$E$101,$E53,$C$2:$C$101,"&gt;"&amp;$C53))</f>
        <v/>
      </c>
    </row>
    <row r="54">
      <c r="A54">
        <f>IFERROR(INDIRECT("Cadastro de Participantes!A" &amp; ROW()),"")</f>
        <v/>
      </c>
      <c r="B54">
        <f>IF($A54="","",COUNTIF('Controle de Palpites'!$B:$B,$A54))</f>
        <v/>
      </c>
      <c r="C54">
        <f>IF($A54="","",SUMIFS('Controle de Palpites'!$J:$J,'Controle de Palpites'!$B:$B,$A54,'Controle de Palpites'!$J:$J,3))</f>
        <v/>
      </c>
      <c r="D54">
        <f>IF($A54="","",COUNTIFS('Controle de Palpites'!$B:$B,$A54,'Controle de Palpites'!$J:$J,"&gt;=1"))</f>
        <v/>
      </c>
      <c r="E54">
        <f>IF($A54="","",SUMIFS('Controle de Palpites'!$J:$J,'Controle de Palpites'!$B:$B,$A54))</f>
        <v/>
      </c>
      <c r="F54">
        <f>IF($B54=0,"",ROUND($E54/$B54,2))</f>
        <v/>
      </c>
      <c r="G54">
        <f>IF($E54="","",RANK($E54,$E$2:$E$101,0)+COUNTIFS($E$2:$E$101,$E54,$C$2:$C$101,"&gt;"&amp;$C54))</f>
        <v/>
      </c>
    </row>
    <row r="55">
      <c r="A55">
        <f>IFERROR(INDIRECT("Cadastro de Participantes!A" &amp; ROW()),"")</f>
        <v/>
      </c>
      <c r="B55">
        <f>IF($A55="","",COUNTIF('Controle de Palpites'!$B:$B,$A55))</f>
        <v/>
      </c>
      <c r="C55">
        <f>IF($A55="","",SUMIFS('Controle de Palpites'!$J:$J,'Controle de Palpites'!$B:$B,$A55,'Controle de Palpites'!$J:$J,3))</f>
        <v/>
      </c>
      <c r="D55">
        <f>IF($A55="","",COUNTIFS('Controle de Palpites'!$B:$B,$A55,'Controle de Palpites'!$J:$J,"&gt;=1"))</f>
        <v/>
      </c>
      <c r="E55">
        <f>IF($A55="","",SUMIFS('Controle de Palpites'!$J:$J,'Controle de Palpites'!$B:$B,$A55))</f>
        <v/>
      </c>
      <c r="F55">
        <f>IF($B55=0,"",ROUND($E55/$B55,2))</f>
        <v/>
      </c>
      <c r="G55">
        <f>IF($E55="","",RANK($E55,$E$2:$E$101,0)+COUNTIFS($E$2:$E$101,$E55,$C$2:$C$101,"&gt;"&amp;$C55))</f>
        <v/>
      </c>
    </row>
    <row r="56">
      <c r="A56">
        <f>IFERROR(INDIRECT("Cadastro de Participantes!A" &amp; ROW()),"")</f>
        <v/>
      </c>
      <c r="B56">
        <f>IF($A56="","",COUNTIF('Controle de Palpites'!$B:$B,$A56))</f>
        <v/>
      </c>
      <c r="C56">
        <f>IF($A56="","",SUMIFS('Controle de Palpites'!$J:$J,'Controle de Palpites'!$B:$B,$A56,'Controle de Palpites'!$J:$J,3))</f>
        <v/>
      </c>
      <c r="D56">
        <f>IF($A56="","",COUNTIFS('Controle de Palpites'!$B:$B,$A56,'Controle de Palpites'!$J:$J,"&gt;=1"))</f>
        <v/>
      </c>
      <c r="E56">
        <f>IF($A56="","",SUMIFS('Controle de Palpites'!$J:$J,'Controle de Palpites'!$B:$B,$A56))</f>
        <v/>
      </c>
      <c r="F56">
        <f>IF($B56=0,"",ROUND($E56/$B56,2))</f>
        <v/>
      </c>
      <c r="G56">
        <f>IF($E56="","",RANK($E56,$E$2:$E$101,0)+COUNTIFS($E$2:$E$101,$E56,$C$2:$C$101,"&gt;"&amp;$C56))</f>
        <v/>
      </c>
    </row>
    <row r="57">
      <c r="A57">
        <f>IFERROR(INDIRECT("Cadastro de Participantes!A" &amp; ROW()),"")</f>
        <v/>
      </c>
      <c r="B57">
        <f>IF($A57="","",COUNTIF('Controle de Palpites'!$B:$B,$A57))</f>
        <v/>
      </c>
      <c r="C57">
        <f>IF($A57="","",SUMIFS('Controle de Palpites'!$J:$J,'Controle de Palpites'!$B:$B,$A57,'Controle de Palpites'!$J:$J,3))</f>
        <v/>
      </c>
      <c r="D57">
        <f>IF($A57="","",COUNTIFS('Controle de Palpites'!$B:$B,$A57,'Controle de Palpites'!$J:$J,"&gt;=1"))</f>
        <v/>
      </c>
      <c r="E57">
        <f>IF($A57="","",SUMIFS('Controle de Palpites'!$J:$J,'Controle de Palpites'!$B:$B,$A57))</f>
        <v/>
      </c>
      <c r="F57">
        <f>IF($B57=0,"",ROUND($E57/$B57,2))</f>
        <v/>
      </c>
      <c r="G57">
        <f>IF($E57="","",RANK($E57,$E$2:$E$101,0)+COUNTIFS($E$2:$E$101,$E57,$C$2:$C$101,"&gt;"&amp;$C57))</f>
        <v/>
      </c>
    </row>
    <row r="58">
      <c r="A58">
        <f>IFERROR(INDIRECT("Cadastro de Participantes!A" &amp; ROW()),"")</f>
        <v/>
      </c>
      <c r="B58">
        <f>IF($A58="","",COUNTIF('Controle de Palpites'!$B:$B,$A58))</f>
        <v/>
      </c>
      <c r="C58">
        <f>IF($A58="","",SUMIFS('Controle de Palpites'!$J:$J,'Controle de Palpites'!$B:$B,$A58,'Controle de Palpites'!$J:$J,3))</f>
        <v/>
      </c>
      <c r="D58">
        <f>IF($A58="","",COUNTIFS('Controle de Palpites'!$B:$B,$A58,'Controle de Palpites'!$J:$J,"&gt;=1"))</f>
        <v/>
      </c>
      <c r="E58">
        <f>IF($A58="","",SUMIFS('Controle de Palpites'!$J:$J,'Controle de Palpites'!$B:$B,$A58))</f>
        <v/>
      </c>
      <c r="F58">
        <f>IF($B58=0,"",ROUND($E58/$B58,2))</f>
        <v/>
      </c>
      <c r="G58">
        <f>IF($E58="","",RANK($E58,$E$2:$E$101,0)+COUNTIFS($E$2:$E$101,$E58,$C$2:$C$101,"&gt;"&amp;$C58))</f>
        <v/>
      </c>
    </row>
    <row r="59">
      <c r="A59">
        <f>IFERROR(INDIRECT("Cadastro de Participantes!A" &amp; ROW()),"")</f>
        <v/>
      </c>
      <c r="B59">
        <f>IF($A59="","",COUNTIF('Controle de Palpites'!$B:$B,$A59))</f>
        <v/>
      </c>
      <c r="C59">
        <f>IF($A59="","",SUMIFS('Controle de Palpites'!$J:$J,'Controle de Palpites'!$B:$B,$A59,'Controle de Palpites'!$J:$J,3))</f>
        <v/>
      </c>
      <c r="D59">
        <f>IF($A59="","",COUNTIFS('Controle de Palpites'!$B:$B,$A59,'Controle de Palpites'!$J:$J,"&gt;=1"))</f>
        <v/>
      </c>
      <c r="E59">
        <f>IF($A59="","",SUMIFS('Controle de Palpites'!$J:$J,'Controle de Palpites'!$B:$B,$A59))</f>
        <v/>
      </c>
      <c r="F59">
        <f>IF($B59=0,"",ROUND($E59/$B59,2))</f>
        <v/>
      </c>
      <c r="G59">
        <f>IF($E59="","",RANK($E59,$E$2:$E$101,0)+COUNTIFS($E$2:$E$101,$E59,$C$2:$C$101,"&gt;"&amp;$C59))</f>
        <v/>
      </c>
    </row>
    <row r="60">
      <c r="A60">
        <f>IFERROR(INDIRECT("Cadastro de Participantes!A" &amp; ROW()),"")</f>
        <v/>
      </c>
      <c r="B60">
        <f>IF($A60="","",COUNTIF('Controle de Palpites'!$B:$B,$A60))</f>
        <v/>
      </c>
      <c r="C60">
        <f>IF($A60="","",SUMIFS('Controle de Palpites'!$J:$J,'Controle de Palpites'!$B:$B,$A60,'Controle de Palpites'!$J:$J,3))</f>
        <v/>
      </c>
      <c r="D60">
        <f>IF($A60="","",COUNTIFS('Controle de Palpites'!$B:$B,$A60,'Controle de Palpites'!$J:$J,"&gt;=1"))</f>
        <v/>
      </c>
      <c r="E60">
        <f>IF($A60="","",SUMIFS('Controle de Palpites'!$J:$J,'Controle de Palpites'!$B:$B,$A60))</f>
        <v/>
      </c>
      <c r="F60">
        <f>IF($B60=0,"",ROUND($E60/$B60,2))</f>
        <v/>
      </c>
      <c r="G60">
        <f>IF($E60="","",RANK($E60,$E$2:$E$101,0)+COUNTIFS($E$2:$E$101,$E60,$C$2:$C$101,"&gt;"&amp;$C60))</f>
        <v/>
      </c>
    </row>
    <row r="61">
      <c r="A61">
        <f>IFERROR(INDIRECT("Cadastro de Participantes!A" &amp; ROW()),"")</f>
        <v/>
      </c>
      <c r="B61">
        <f>IF($A61="","",COUNTIF('Controle de Palpites'!$B:$B,$A61))</f>
        <v/>
      </c>
      <c r="C61">
        <f>IF($A61="","",SUMIFS('Controle de Palpites'!$J:$J,'Controle de Palpites'!$B:$B,$A61,'Controle de Palpites'!$J:$J,3))</f>
        <v/>
      </c>
      <c r="D61">
        <f>IF($A61="","",COUNTIFS('Controle de Palpites'!$B:$B,$A61,'Controle de Palpites'!$J:$J,"&gt;=1"))</f>
        <v/>
      </c>
      <c r="E61">
        <f>IF($A61="","",SUMIFS('Controle de Palpites'!$J:$J,'Controle de Palpites'!$B:$B,$A61))</f>
        <v/>
      </c>
      <c r="F61">
        <f>IF($B61=0,"",ROUND($E61/$B61,2))</f>
        <v/>
      </c>
      <c r="G61">
        <f>IF($E61="","",RANK($E61,$E$2:$E$101,0)+COUNTIFS($E$2:$E$101,$E61,$C$2:$C$101,"&gt;"&amp;$C61))</f>
        <v/>
      </c>
    </row>
    <row r="62">
      <c r="A62">
        <f>IFERROR(INDIRECT("Cadastro de Participantes!A" &amp; ROW()),"")</f>
        <v/>
      </c>
      <c r="B62">
        <f>IF($A62="","",COUNTIF('Controle de Palpites'!$B:$B,$A62))</f>
        <v/>
      </c>
      <c r="C62">
        <f>IF($A62="","",SUMIFS('Controle de Palpites'!$J:$J,'Controle de Palpites'!$B:$B,$A62,'Controle de Palpites'!$J:$J,3))</f>
        <v/>
      </c>
      <c r="D62">
        <f>IF($A62="","",COUNTIFS('Controle de Palpites'!$B:$B,$A62,'Controle de Palpites'!$J:$J,"&gt;=1"))</f>
        <v/>
      </c>
      <c r="E62">
        <f>IF($A62="","",SUMIFS('Controle de Palpites'!$J:$J,'Controle de Palpites'!$B:$B,$A62))</f>
        <v/>
      </c>
      <c r="F62">
        <f>IF($B62=0,"",ROUND($E62/$B62,2))</f>
        <v/>
      </c>
      <c r="G62">
        <f>IF($E62="","",RANK($E62,$E$2:$E$101,0)+COUNTIFS($E$2:$E$101,$E62,$C$2:$C$101,"&gt;"&amp;$C62))</f>
        <v/>
      </c>
    </row>
    <row r="63">
      <c r="A63">
        <f>IFERROR(INDIRECT("Cadastro de Participantes!A" &amp; ROW()),"")</f>
        <v/>
      </c>
      <c r="B63">
        <f>IF($A63="","",COUNTIF('Controle de Palpites'!$B:$B,$A63))</f>
        <v/>
      </c>
      <c r="C63">
        <f>IF($A63="","",SUMIFS('Controle de Palpites'!$J:$J,'Controle de Palpites'!$B:$B,$A63,'Controle de Palpites'!$J:$J,3))</f>
        <v/>
      </c>
      <c r="D63">
        <f>IF($A63="","",COUNTIFS('Controle de Palpites'!$B:$B,$A63,'Controle de Palpites'!$J:$J,"&gt;=1"))</f>
        <v/>
      </c>
      <c r="E63">
        <f>IF($A63="","",SUMIFS('Controle de Palpites'!$J:$J,'Controle de Palpites'!$B:$B,$A63))</f>
        <v/>
      </c>
      <c r="F63">
        <f>IF($B63=0,"",ROUND($E63/$B63,2))</f>
        <v/>
      </c>
      <c r="G63">
        <f>IF($E63="","",RANK($E63,$E$2:$E$101,0)+COUNTIFS($E$2:$E$101,$E63,$C$2:$C$101,"&gt;"&amp;$C63))</f>
        <v/>
      </c>
    </row>
    <row r="64">
      <c r="A64">
        <f>IFERROR(INDIRECT("Cadastro de Participantes!A" &amp; ROW()),"")</f>
        <v/>
      </c>
      <c r="B64">
        <f>IF($A64="","",COUNTIF('Controle de Palpites'!$B:$B,$A64))</f>
        <v/>
      </c>
      <c r="C64">
        <f>IF($A64="","",SUMIFS('Controle de Palpites'!$J:$J,'Controle de Palpites'!$B:$B,$A64,'Controle de Palpites'!$J:$J,3))</f>
        <v/>
      </c>
      <c r="D64">
        <f>IF($A64="","",COUNTIFS('Controle de Palpites'!$B:$B,$A64,'Controle de Palpites'!$J:$J,"&gt;=1"))</f>
        <v/>
      </c>
      <c r="E64">
        <f>IF($A64="","",SUMIFS('Controle de Palpites'!$J:$J,'Controle de Palpites'!$B:$B,$A64))</f>
        <v/>
      </c>
      <c r="F64">
        <f>IF($B64=0,"",ROUND($E64/$B64,2))</f>
        <v/>
      </c>
      <c r="G64">
        <f>IF($E64="","",RANK($E64,$E$2:$E$101,0)+COUNTIFS($E$2:$E$101,$E64,$C$2:$C$101,"&gt;"&amp;$C64))</f>
        <v/>
      </c>
    </row>
    <row r="65">
      <c r="A65">
        <f>IFERROR(INDIRECT("Cadastro de Participantes!A" &amp; ROW()),"")</f>
        <v/>
      </c>
      <c r="B65">
        <f>IF($A65="","",COUNTIF('Controle de Palpites'!$B:$B,$A65))</f>
        <v/>
      </c>
      <c r="C65">
        <f>IF($A65="","",SUMIFS('Controle de Palpites'!$J:$J,'Controle de Palpites'!$B:$B,$A65,'Controle de Palpites'!$J:$J,3))</f>
        <v/>
      </c>
      <c r="D65">
        <f>IF($A65="","",COUNTIFS('Controle de Palpites'!$B:$B,$A65,'Controle de Palpites'!$J:$J,"&gt;=1"))</f>
        <v/>
      </c>
      <c r="E65">
        <f>IF($A65="","",SUMIFS('Controle de Palpites'!$J:$J,'Controle de Palpites'!$B:$B,$A65))</f>
        <v/>
      </c>
      <c r="F65">
        <f>IF($B65=0,"",ROUND($E65/$B65,2))</f>
        <v/>
      </c>
      <c r="G65">
        <f>IF($E65="","",RANK($E65,$E$2:$E$101,0)+COUNTIFS($E$2:$E$101,$E65,$C$2:$C$101,"&gt;"&amp;$C65))</f>
        <v/>
      </c>
    </row>
    <row r="66">
      <c r="A66">
        <f>IFERROR(INDIRECT("Cadastro de Participantes!A" &amp; ROW()),"")</f>
        <v/>
      </c>
      <c r="B66">
        <f>IF($A66="","",COUNTIF('Controle de Palpites'!$B:$B,$A66))</f>
        <v/>
      </c>
      <c r="C66">
        <f>IF($A66="","",SUMIFS('Controle de Palpites'!$J:$J,'Controle de Palpites'!$B:$B,$A66,'Controle de Palpites'!$J:$J,3))</f>
        <v/>
      </c>
      <c r="D66">
        <f>IF($A66="","",COUNTIFS('Controle de Palpites'!$B:$B,$A66,'Controle de Palpites'!$J:$J,"&gt;=1"))</f>
        <v/>
      </c>
      <c r="E66">
        <f>IF($A66="","",SUMIFS('Controle de Palpites'!$J:$J,'Controle de Palpites'!$B:$B,$A66))</f>
        <v/>
      </c>
      <c r="F66">
        <f>IF($B66=0,"",ROUND($E66/$B66,2))</f>
        <v/>
      </c>
      <c r="G66">
        <f>IF($E66="","",RANK($E66,$E$2:$E$101,0)+COUNTIFS($E$2:$E$101,$E66,$C$2:$C$101,"&gt;"&amp;$C66))</f>
        <v/>
      </c>
    </row>
    <row r="67">
      <c r="A67">
        <f>IFERROR(INDIRECT("Cadastro de Participantes!A" &amp; ROW()),"")</f>
        <v/>
      </c>
      <c r="B67">
        <f>IF($A67="","",COUNTIF('Controle de Palpites'!$B:$B,$A67))</f>
        <v/>
      </c>
      <c r="C67">
        <f>IF($A67="","",SUMIFS('Controle de Palpites'!$J:$J,'Controle de Palpites'!$B:$B,$A67,'Controle de Palpites'!$J:$J,3))</f>
        <v/>
      </c>
      <c r="D67">
        <f>IF($A67="","",COUNTIFS('Controle de Palpites'!$B:$B,$A67,'Controle de Palpites'!$J:$J,"&gt;=1"))</f>
        <v/>
      </c>
      <c r="E67">
        <f>IF($A67="","",SUMIFS('Controle de Palpites'!$J:$J,'Controle de Palpites'!$B:$B,$A67))</f>
        <v/>
      </c>
      <c r="F67">
        <f>IF($B67=0,"",ROUND($E67/$B67,2))</f>
        <v/>
      </c>
      <c r="G67">
        <f>IF($E67="","",RANK($E67,$E$2:$E$101,0)+COUNTIFS($E$2:$E$101,$E67,$C$2:$C$101,"&gt;"&amp;$C67))</f>
        <v/>
      </c>
    </row>
    <row r="68">
      <c r="A68">
        <f>IFERROR(INDIRECT("Cadastro de Participantes!A" &amp; ROW()),"")</f>
        <v/>
      </c>
      <c r="B68">
        <f>IF($A68="","",COUNTIF('Controle de Palpites'!$B:$B,$A68))</f>
        <v/>
      </c>
      <c r="C68">
        <f>IF($A68="","",SUMIFS('Controle de Palpites'!$J:$J,'Controle de Palpites'!$B:$B,$A68,'Controle de Palpites'!$J:$J,3))</f>
        <v/>
      </c>
      <c r="D68">
        <f>IF($A68="","",COUNTIFS('Controle de Palpites'!$B:$B,$A68,'Controle de Palpites'!$J:$J,"&gt;=1"))</f>
        <v/>
      </c>
      <c r="E68">
        <f>IF($A68="","",SUMIFS('Controle de Palpites'!$J:$J,'Controle de Palpites'!$B:$B,$A68))</f>
        <v/>
      </c>
      <c r="F68">
        <f>IF($B68=0,"",ROUND($E68/$B68,2))</f>
        <v/>
      </c>
      <c r="G68">
        <f>IF($E68="","",RANK($E68,$E$2:$E$101,0)+COUNTIFS($E$2:$E$101,$E68,$C$2:$C$101,"&gt;"&amp;$C68))</f>
        <v/>
      </c>
    </row>
    <row r="69">
      <c r="A69">
        <f>IFERROR(INDIRECT("Cadastro de Participantes!A" &amp; ROW()),"")</f>
        <v/>
      </c>
      <c r="B69">
        <f>IF($A69="","",COUNTIF('Controle de Palpites'!$B:$B,$A69))</f>
        <v/>
      </c>
      <c r="C69">
        <f>IF($A69="","",SUMIFS('Controle de Palpites'!$J:$J,'Controle de Palpites'!$B:$B,$A69,'Controle de Palpites'!$J:$J,3))</f>
        <v/>
      </c>
      <c r="D69">
        <f>IF($A69="","",COUNTIFS('Controle de Palpites'!$B:$B,$A69,'Controle de Palpites'!$J:$J,"&gt;=1"))</f>
        <v/>
      </c>
      <c r="E69">
        <f>IF($A69="","",SUMIFS('Controle de Palpites'!$J:$J,'Controle de Palpites'!$B:$B,$A69))</f>
        <v/>
      </c>
      <c r="F69">
        <f>IF($B69=0,"",ROUND($E69/$B69,2))</f>
        <v/>
      </c>
      <c r="G69">
        <f>IF($E69="","",RANK($E69,$E$2:$E$101,0)+COUNTIFS($E$2:$E$101,$E69,$C$2:$C$101,"&gt;"&amp;$C69))</f>
        <v/>
      </c>
    </row>
    <row r="70">
      <c r="A70">
        <f>IFERROR(INDIRECT("Cadastro de Participantes!A" &amp; ROW()),"")</f>
        <v/>
      </c>
      <c r="B70">
        <f>IF($A70="","",COUNTIF('Controle de Palpites'!$B:$B,$A70))</f>
        <v/>
      </c>
      <c r="C70">
        <f>IF($A70="","",SUMIFS('Controle de Palpites'!$J:$J,'Controle de Palpites'!$B:$B,$A70,'Controle de Palpites'!$J:$J,3))</f>
        <v/>
      </c>
      <c r="D70">
        <f>IF($A70="","",COUNTIFS('Controle de Palpites'!$B:$B,$A70,'Controle de Palpites'!$J:$J,"&gt;=1"))</f>
        <v/>
      </c>
      <c r="E70">
        <f>IF($A70="","",SUMIFS('Controle de Palpites'!$J:$J,'Controle de Palpites'!$B:$B,$A70))</f>
        <v/>
      </c>
      <c r="F70">
        <f>IF($B70=0,"",ROUND($E70/$B70,2))</f>
        <v/>
      </c>
      <c r="G70">
        <f>IF($E70="","",RANK($E70,$E$2:$E$101,0)+COUNTIFS($E$2:$E$101,$E70,$C$2:$C$101,"&gt;"&amp;$C70))</f>
        <v/>
      </c>
    </row>
    <row r="71">
      <c r="A71">
        <f>IFERROR(INDIRECT("Cadastro de Participantes!A" &amp; ROW()),"")</f>
        <v/>
      </c>
      <c r="B71">
        <f>IF($A71="","",COUNTIF('Controle de Palpites'!$B:$B,$A71))</f>
        <v/>
      </c>
      <c r="C71">
        <f>IF($A71="","",SUMIFS('Controle de Palpites'!$J:$J,'Controle de Palpites'!$B:$B,$A71,'Controle de Palpites'!$J:$J,3))</f>
        <v/>
      </c>
      <c r="D71">
        <f>IF($A71="","",COUNTIFS('Controle de Palpites'!$B:$B,$A71,'Controle de Palpites'!$J:$J,"&gt;=1"))</f>
        <v/>
      </c>
      <c r="E71">
        <f>IF($A71="","",SUMIFS('Controle de Palpites'!$J:$J,'Controle de Palpites'!$B:$B,$A71))</f>
        <v/>
      </c>
      <c r="F71">
        <f>IF($B71=0,"",ROUND($E71/$B71,2))</f>
        <v/>
      </c>
      <c r="G71">
        <f>IF($E71="","",RANK($E71,$E$2:$E$101,0)+COUNTIFS($E$2:$E$101,$E71,$C$2:$C$101,"&gt;"&amp;$C71))</f>
        <v/>
      </c>
    </row>
    <row r="72">
      <c r="A72">
        <f>IFERROR(INDIRECT("Cadastro de Participantes!A" &amp; ROW()),"")</f>
        <v/>
      </c>
      <c r="B72">
        <f>IF($A72="","",COUNTIF('Controle de Palpites'!$B:$B,$A72))</f>
        <v/>
      </c>
      <c r="C72">
        <f>IF($A72="","",SUMIFS('Controle de Palpites'!$J:$J,'Controle de Palpites'!$B:$B,$A72,'Controle de Palpites'!$J:$J,3))</f>
        <v/>
      </c>
      <c r="D72">
        <f>IF($A72="","",COUNTIFS('Controle de Palpites'!$B:$B,$A72,'Controle de Palpites'!$J:$J,"&gt;=1"))</f>
        <v/>
      </c>
      <c r="E72">
        <f>IF($A72="","",SUMIFS('Controle de Palpites'!$J:$J,'Controle de Palpites'!$B:$B,$A72))</f>
        <v/>
      </c>
      <c r="F72">
        <f>IF($B72=0,"",ROUND($E72/$B72,2))</f>
        <v/>
      </c>
      <c r="G72">
        <f>IF($E72="","",RANK($E72,$E$2:$E$101,0)+COUNTIFS($E$2:$E$101,$E72,$C$2:$C$101,"&gt;"&amp;$C72))</f>
        <v/>
      </c>
    </row>
    <row r="73">
      <c r="A73">
        <f>IFERROR(INDIRECT("Cadastro de Participantes!A" &amp; ROW()),"")</f>
        <v/>
      </c>
      <c r="B73">
        <f>IF($A73="","",COUNTIF('Controle de Palpites'!$B:$B,$A73))</f>
        <v/>
      </c>
      <c r="C73">
        <f>IF($A73="","",SUMIFS('Controle de Palpites'!$J:$J,'Controle de Palpites'!$B:$B,$A73,'Controle de Palpites'!$J:$J,3))</f>
        <v/>
      </c>
      <c r="D73">
        <f>IF($A73="","",COUNTIFS('Controle de Palpites'!$B:$B,$A73,'Controle de Palpites'!$J:$J,"&gt;=1"))</f>
        <v/>
      </c>
      <c r="E73">
        <f>IF($A73="","",SUMIFS('Controle de Palpites'!$J:$J,'Controle de Palpites'!$B:$B,$A73))</f>
        <v/>
      </c>
      <c r="F73">
        <f>IF($B73=0,"",ROUND($E73/$B73,2))</f>
        <v/>
      </c>
      <c r="G73">
        <f>IF($E73="","",RANK($E73,$E$2:$E$101,0)+COUNTIFS($E$2:$E$101,$E73,$C$2:$C$101,"&gt;"&amp;$C73))</f>
        <v/>
      </c>
    </row>
    <row r="74">
      <c r="A74">
        <f>IFERROR(INDIRECT("Cadastro de Participantes!A" &amp; ROW()),"")</f>
        <v/>
      </c>
      <c r="B74">
        <f>IF($A74="","",COUNTIF('Controle de Palpites'!$B:$B,$A74))</f>
        <v/>
      </c>
      <c r="C74">
        <f>IF($A74="","",SUMIFS('Controle de Palpites'!$J:$J,'Controle de Palpites'!$B:$B,$A74,'Controle de Palpites'!$J:$J,3))</f>
        <v/>
      </c>
      <c r="D74">
        <f>IF($A74="","",COUNTIFS('Controle de Palpites'!$B:$B,$A74,'Controle de Palpites'!$J:$J,"&gt;=1"))</f>
        <v/>
      </c>
      <c r="E74">
        <f>IF($A74="","",SUMIFS('Controle de Palpites'!$J:$J,'Controle de Palpites'!$B:$B,$A74))</f>
        <v/>
      </c>
      <c r="F74">
        <f>IF($B74=0,"",ROUND($E74/$B74,2))</f>
        <v/>
      </c>
      <c r="G74">
        <f>IF($E74="","",RANK($E74,$E$2:$E$101,0)+COUNTIFS($E$2:$E$101,$E74,$C$2:$C$101,"&gt;"&amp;$C74))</f>
        <v/>
      </c>
    </row>
    <row r="75">
      <c r="A75">
        <f>IFERROR(INDIRECT("Cadastro de Participantes!A" &amp; ROW()),"")</f>
        <v/>
      </c>
      <c r="B75">
        <f>IF($A75="","",COUNTIF('Controle de Palpites'!$B:$B,$A75))</f>
        <v/>
      </c>
      <c r="C75">
        <f>IF($A75="","",SUMIFS('Controle de Palpites'!$J:$J,'Controle de Palpites'!$B:$B,$A75,'Controle de Palpites'!$J:$J,3))</f>
        <v/>
      </c>
      <c r="D75">
        <f>IF($A75="","",COUNTIFS('Controle de Palpites'!$B:$B,$A75,'Controle de Palpites'!$J:$J,"&gt;=1"))</f>
        <v/>
      </c>
      <c r="E75">
        <f>IF($A75="","",SUMIFS('Controle de Palpites'!$J:$J,'Controle de Palpites'!$B:$B,$A75))</f>
        <v/>
      </c>
      <c r="F75">
        <f>IF($B75=0,"",ROUND($E75/$B75,2))</f>
        <v/>
      </c>
      <c r="G75">
        <f>IF($E75="","",RANK($E75,$E$2:$E$101,0)+COUNTIFS($E$2:$E$101,$E75,$C$2:$C$101,"&gt;"&amp;$C75))</f>
        <v/>
      </c>
    </row>
    <row r="76">
      <c r="A76">
        <f>IFERROR(INDIRECT("Cadastro de Participantes!A" &amp; ROW()),"")</f>
        <v/>
      </c>
      <c r="B76">
        <f>IF($A76="","",COUNTIF('Controle de Palpites'!$B:$B,$A76))</f>
        <v/>
      </c>
      <c r="C76">
        <f>IF($A76="","",SUMIFS('Controle de Palpites'!$J:$J,'Controle de Palpites'!$B:$B,$A76,'Controle de Palpites'!$J:$J,3))</f>
        <v/>
      </c>
      <c r="D76">
        <f>IF($A76="","",COUNTIFS('Controle de Palpites'!$B:$B,$A76,'Controle de Palpites'!$J:$J,"&gt;=1"))</f>
        <v/>
      </c>
      <c r="E76">
        <f>IF($A76="","",SUMIFS('Controle de Palpites'!$J:$J,'Controle de Palpites'!$B:$B,$A76))</f>
        <v/>
      </c>
      <c r="F76">
        <f>IF($B76=0,"",ROUND($E76/$B76,2))</f>
        <v/>
      </c>
      <c r="G76">
        <f>IF($E76="","",RANK($E76,$E$2:$E$101,0)+COUNTIFS($E$2:$E$101,$E76,$C$2:$C$101,"&gt;"&amp;$C76))</f>
        <v/>
      </c>
    </row>
    <row r="77">
      <c r="A77">
        <f>IFERROR(INDIRECT("Cadastro de Participantes!A" &amp; ROW()),"")</f>
        <v/>
      </c>
      <c r="B77">
        <f>IF($A77="","",COUNTIF('Controle de Palpites'!$B:$B,$A77))</f>
        <v/>
      </c>
      <c r="C77">
        <f>IF($A77="","",SUMIFS('Controle de Palpites'!$J:$J,'Controle de Palpites'!$B:$B,$A77,'Controle de Palpites'!$J:$J,3))</f>
        <v/>
      </c>
      <c r="D77">
        <f>IF($A77="","",COUNTIFS('Controle de Palpites'!$B:$B,$A77,'Controle de Palpites'!$J:$J,"&gt;=1"))</f>
        <v/>
      </c>
      <c r="E77">
        <f>IF($A77="","",SUMIFS('Controle de Palpites'!$J:$J,'Controle de Palpites'!$B:$B,$A77))</f>
        <v/>
      </c>
      <c r="F77">
        <f>IF($B77=0,"",ROUND($E77/$B77,2))</f>
        <v/>
      </c>
      <c r="G77">
        <f>IF($E77="","",RANK($E77,$E$2:$E$101,0)+COUNTIFS($E$2:$E$101,$E77,$C$2:$C$101,"&gt;"&amp;$C77))</f>
        <v/>
      </c>
    </row>
    <row r="78">
      <c r="A78">
        <f>IFERROR(INDIRECT("Cadastro de Participantes!A" &amp; ROW()),"")</f>
        <v/>
      </c>
      <c r="B78">
        <f>IF($A78="","",COUNTIF('Controle de Palpites'!$B:$B,$A78))</f>
        <v/>
      </c>
      <c r="C78">
        <f>IF($A78="","",SUMIFS('Controle de Palpites'!$J:$J,'Controle de Palpites'!$B:$B,$A78,'Controle de Palpites'!$J:$J,3))</f>
        <v/>
      </c>
      <c r="D78">
        <f>IF($A78="","",COUNTIFS('Controle de Palpites'!$B:$B,$A78,'Controle de Palpites'!$J:$J,"&gt;=1"))</f>
        <v/>
      </c>
      <c r="E78">
        <f>IF($A78="","",SUMIFS('Controle de Palpites'!$J:$J,'Controle de Palpites'!$B:$B,$A78))</f>
        <v/>
      </c>
      <c r="F78">
        <f>IF($B78=0,"",ROUND($E78/$B78,2))</f>
        <v/>
      </c>
      <c r="G78">
        <f>IF($E78="","",RANK($E78,$E$2:$E$101,0)+COUNTIFS($E$2:$E$101,$E78,$C$2:$C$101,"&gt;"&amp;$C78))</f>
        <v/>
      </c>
    </row>
    <row r="79">
      <c r="A79">
        <f>IFERROR(INDIRECT("Cadastro de Participantes!A" &amp; ROW()),"")</f>
        <v/>
      </c>
      <c r="B79">
        <f>IF($A79="","",COUNTIF('Controle de Palpites'!$B:$B,$A79))</f>
        <v/>
      </c>
      <c r="C79">
        <f>IF($A79="","",SUMIFS('Controle de Palpites'!$J:$J,'Controle de Palpites'!$B:$B,$A79,'Controle de Palpites'!$J:$J,3))</f>
        <v/>
      </c>
      <c r="D79">
        <f>IF($A79="","",COUNTIFS('Controle de Palpites'!$B:$B,$A79,'Controle de Palpites'!$J:$J,"&gt;=1"))</f>
        <v/>
      </c>
      <c r="E79">
        <f>IF($A79="","",SUMIFS('Controle de Palpites'!$J:$J,'Controle de Palpites'!$B:$B,$A79))</f>
        <v/>
      </c>
      <c r="F79">
        <f>IF($B79=0,"",ROUND($E79/$B79,2))</f>
        <v/>
      </c>
      <c r="G79">
        <f>IF($E79="","",RANK($E79,$E$2:$E$101,0)+COUNTIFS($E$2:$E$101,$E79,$C$2:$C$101,"&gt;"&amp;$C79))</f>
        <v/>
      </c>
    </row>
    <row r="80">
      <c r="A80">
        <f>IFERROR(INDIRECT("Cadastro de Participantes!A" &amp; ROW()),"")</f>
        <v/>
      </c>
      <c r="B80">
        <f>IF($A80="","",COUNTIF('Controle de Palpites'!$B:$B,$A80))</f>
        <v/>
      </c>
      <c r="C80">
        <f>IF($A80="","",SUMIFS('Controle de Palpites'!$J:$J,'Controle de Palpites'!$B:$B,$A80,'Controle de Palpites'!$J:$J,3))</f>
        <v/>
      </c>
      <c r="D80">
        <f>IF($A80="","",COUNTIFS('Controle de Palpites'!$B:$B,$A80,'Controle de Palpites'!$J:$J,"&gt;=1"))</f>
        <v/>
      </c>
      <c r="E80">
        <f>IF($A80="","",SUMIFS('Controle de Palpites'!$J:$J,'Controle de Palpites'!$B:$B,$A80))</f>
        <v/>
      </c>
      <c r="F80">
        <f>IF($B80=0,"",ROUND($E80/$B80,2))</f>
        <v/>
      </c>
      <c r="G80">
        <f>IF($E80="","",RANK($E80,$E$2:$E$101,0)+COUNTIFS($E$2:$E$101,$E80,$C$2:$C$101,"&gt;"&amp;$C80))</f>
        <v/>
      </c>
    </row>
    <row r="81">
      <c r="A81">
        <f>IFERROR(INDIRECT("Cadastro de Participantes!A" &amp; ROW()),"")</f>
        <v/>
      </c>
      <c r="B81">
        <f>IF($A81="","",COUNTIF('Controle de Palpites'!$B:$B,$A81))</f>
        <v/>
      </c>
      <c r="C81">
        <f>IF($A81="","",SUMIFS('Controle de Palpites'!$J:$J,'Controle de Palpites'!$B:$B,$A81,'Controle de Palpites'!$J:$J,3))</f>
        <v/>
      </c>
      <c r="D81">
        <f>IF($A81="","",COUNTIFS('Controle de Palpites'!$B:$B,$A81,'Controle de Palpites'!$J:$J,"&gt;=1"))</f>
        <v/>
      </c>
      <c r="E81">
        <f>IF($A81="","",SUMIFS('Controle de Palpites'!$J:$J,'Controle de Palpites'!$B:$B,$A81))</f>
        <v/>
      </c>
      <c r="F81">
        <f>IF($B81=0,"",ROUND($E81/$B81,2))</f>
        <v/>
      </c>
      <c r="G81">
        <f>IF($E81="","",RANK($E81,$E$2:$E$101,0)+COUNTIFS($E$2:$E$101,$E81,$C$2:$C$101,"&gt;"&amp;$C81))</f>
        <v/>
      </c>
    </row>
    <row r="82">
      <c r="A82">
        <f>IFERROR(INDIRECT("Cadastro de Participantes!A" &amp; ROW()),"")</f>
        <v/>
      </c>
      <c r="B82">
        <f>IF($A82="","",COUNTIF('Controle de Palpites'!$B:$B,$A82))</f>
        <v/>
      </c>
      <c r="C82">
        <f>IF($A82="","",SUMIFS('Controle de Palpites'!$J:$J,'Controle de Palpites'!$B:$B,$A82,'Controle de Palpites'!$J:$J,3))</f>
        <v/>
      </c>
      <c r="D82">
        <f>IF($A82="","",COUNTIFS('Controle de Palpites'!$B:$B,$A82,'Controle de Palpites'!$J:$J,"&gt;=1"))</f>
        <v/>
      </c>
      <c r="E82">
        <f>IF($A82="","",SUMIFS('Controle de Palpites'!$J:$J,'Controle de Palpites'!$B:$B,$A82))</f>
        <v/>
      </c>
      <c r="F82">
        <f>IF($B82=0,"",ROUND($E82/$B82,2))</f>
        <v/>
      </c>
      <c r="G82">
        <f>IF($E82="","",RANK($E82,$E$2:$E$101,0)+COUNTIFS($E$2:$E$101,$E82,$C$2:$C$101,"&gt;"&amp;$C82))</f>
        <v/>
      </c>
    </row>
    <row r="83">
      <c r="A83">
        <f>IFERROR(INDIRECT("Cadastro de Participantes!A" &amp; ROW()),"")</f>
        <v/>
      </c>
      <c r="B83">
        <f>IF($A83="","",COUNTIF('Controle de Palpites'!$B:$B,$A83))</f>
        <v/>
      </c>
      <c r="C83">
        <f>IF($A83="","",SUMIFS('Controle de Palpites'!$J:$J,'Controle de Palpites'!$B:$B,$A83,'Controle de Palpites'!$J:$J,3))</f>
        <v/>
      </c>
      <c r="D83">
        <f>IF($A83="","",COUNTIFS('Controle de Palpites'!$B:$B,$A83,'Controle de Palpites'!$J:$J,"&gt;=1"))</f>
        <v/>
      </c>
      <c r="E83">
        <f>IF($A83="","",SUMIFS('Controle de Palpites'!$J:$J,'Controle de Palpites'!$B:$B,$A83))</f>
        <v/>
      </c>
      <c r="F83">
        <f>IF($B83=0,"",ROUND($E83/$B83,2))</f>
        <v/>
      </c>
      <c r="G83">
        <f>IF($E83="","",RANK($E83,$E$2:$E$101,0)+COUNTIFS($E$2:$E$101,$E83,$C$2:$C$101,"&gt;"&amp;$C83))</f>
        <v/>
      </c>
    </row>
    <row r="84">
      <c r="A84">
        <f>IFERROR(INDIRECT("Cadastro de Participantes!A" &amp; ROW()),"")</f>
        <v/>
      </c>
      <c r="B84">
        <f>IF($A84="","",COUNTIF('Controle de Palpites'!$B:$B,$A84))</f>
        <v/>
      </c>
      <c r="C84">
        <f>IF($A84="","",SUMIFS('Controle de Palpites'!$J:$J,'Controle de Palpites'!$B:$B,$A84,'Controle de Palpites'!$J:$J,3))</f>
        <v/>
      </c>
      <c r="D84">
        <f>IF($A84="","",COUNTIFS('Controle de Palpites'!$B:$B,$A84,'Controle de Palpites'!$J:$J,"&gt;=1"))</f>
        <v/>
      </c>
      <c r="E84">
        <f>IF($A84="","",SUMIFS('Controle de Palpites'!$J:$J,'Controle de Palpites'!$B:$B,$A84))</f>
        <v/>
      </c>
      <c r="F84">
        <f>IF($B84=0,"",ROUND($E84/$B84,2))</f>
        <v/>
      </c>
      <c r="G84">
        <f>IF($E84="","",RANK($E84,$E$2:$E$101,0)+COUNTIFS($E$2:$E$101,$E84,$C$2:$C$101,"&gt;"&amp;$C84))</f>
        <v/>
      </c>
    </row>
    <row r="85">
      <c r="A85">
        <f>IFERROR(INDIRECT("Cadastro de Participantes!A" &amp; ROW()),"")</f>
        <v/>
      </c>
      <c r="B85">
        <f>IF($A85="","",COUNTIF('Controle de Palpites'!$B:$B,$A85))</f>
        <v/>
      </c>
      <c r="C85">
        <f>IF($A85="","",SUMIFS('Controle de Palpites'!$J:$J,'Controle de Palpites'!$B:$B,$A85,'Controle de Palpites'!$J:$J,3))</f>
        <v/>
      </c>
      <c r="D85">
        <f>IF($A85="","",COUNTIFS('Controle de Palpites'!$B:$B,$A85,'Controle de Palpites'!$J:$J,"&gt;=1"))</f>
        <v/>
      </c>
      <c r="E85">
        <f>IF($A85="","",SUMIFS('Controle de Palpites'!$J:$J,'Controle de Palpites'!$B:$B,$A85))</f>
        <v/>
      </c>
      <c r="F85">
        <f>IF($B85=0,"",ROUND($E85/$B85,2))</f>
        <v/>
      </c>
      <c r="G85">
        <f>IF($E85="","",RANK($E85,$E$2:$E$101,0)+COUNTIFS($E$2:$E$101,$E85,$C$2:$C$101,"&gt;"&amp;$C85))</f>
        <v/>
      </c>
    </row>
    <row r="86">
      <c r="A86">
        <f>IFERROR(INDIRECT("Cadastro de Participantes!A" &amp; ROW()),"")</f>
        <v/>
      </c>
      <c r="B86">
        <f>IF($A86="","",COUNTIF('Controle de Palpites'!$B:$B,$A86))</f>
        <v/>
      </c>
      <c r="C86">
        <f>IF($A86="","",SUMIFS('Controle de Palpites'!$J:$J,'Controle de Palpites'!$B:$B,$A86,'Controle de Palpites'!$J:$J,3))</f>
        <v/>
      </c>
      <c r="D86">
        <f>IF($A86="","",COUNTIFS('Controle de Palpites'!$B:$B,$A86,'Controle de Palpites'!$J:$J,"&gt;=1"))</f>
        <v/>
      </c>
      <c r="E86">
        <f>IF($A86="","",SUMIFS('Controle de Palpites'!$J:$J,'Controle de Palpites'!$B:$B,$A86))</f>
        <v/>
      </c>
      <c r="F86">
        <f>IF($B86=0,"",ROUND($E86/$B86,2))</f>
        <v/>
      </c>
      <c r="G86">
        <f>IF($E86="","",RANK($E86,$E$2:$E$101,0)+COUNTIFS($E$2:$E$101,$E86,$C$2:$C$101,"&gt;"&amp;$C86))</f>
        <v/>
      </c>
    </row>
    <row r="87">
      <c r="A87">
        <f>IFERROR(INDIRECT("Cadastro de Participantes!A" &amp; ROW()),"")</f>
        <v/>
      </c>
      <c r="B87">
        <f>IF($A87="","",COUNTIF('Controle de Palpites'!$B:$B,$A87))</f>
        <v/>
      </c>
      <c r="C87">
        <f>IF($A87="","",SUMIFS('Controle de Palpites'!$J:$J,'Controle de Palpites'!$B:$B,$A87,'Controle de Palpites'!$J:$J,3))</f>
        <v/>
      </c>
      <c r="D87">
        <f>IF($A87="","",COUNTIFS('Controle de Palpites'!$B:$B,$A87,'Controle de Palpites'!$J:$J,"&gt;=1"))</f>
        <v/>
      </c>
      <c r="E87">
        <f>IF($A87="","",SUMIFS('Controle de Palpites'!$J:$J,'Controle de Palpites'!$B:$B,$A87))</f>
        <v/>
      </c>
      <c r="F87">
        <f>IF($B87=0,"",ROUND($E87/$B87,2))</f>
        <v/>
      </c>
      <c r="G87">
        <f>IF($E87="","",RANK($E87,$E$2:$E$101,0)+COUNTIFS($E$2:$E$101,$E87,$C$2:$C$101,"&gt;"&amp;$C87))</f>
        <v/>
      </c>
    </row>
    <row r="88">
      <c r="A88">
        <f>IFERROR(INDIRECT("Cadastro de Participantes!A" &amp; ROW()),"")</f>
        <v/>
      </c>
      <c r="B88">
        <f>IF($A88="","",COUNTIF('Controle de Palpites'!$B:$B,$A88))</f>
        <v/>
      </c>
      <c r="C88">
        <f>IF($A88="","",SUMIFS('Controle de Palpites'!$J:$J,'Controle de Palpites'!$B:$B,$A88,'Controle de Palpites'!$J:$J,3))</f>
        <v/>
      </c>
      <c r="D88">
        <f>IF($A88="","",COUNTIFS('Controle de Palpites'!$B:$B,$A88,'Controle de Palpites'!$J:$J,"&gt;=1"))</f>
        <v/>
      </c>
      <c r="E88">
        <f>IF($A88="","",SUMIFS('Controle de Palpites'!$J:$J,'Controle de Palpites'!$B:$B,$A88))</f>
        <v/>
      </c>
      <c r="F88">
        <f>IF($B88=0,"",ROUND($E88/$B88,2))</f>
        <v/>
      </c>
      <c r="G88">
        <f>IF($E88="","",RANK($E88,$E$2:$E$101,0)+COUNTIFS($E$2:$E$101,$E88,$C$2:$C$101,"&gt;"&amp;$C88))</f>
        <v/>
      </c>
    </row>
    <row r="89">
      <c r="A89">
        <f>IFERROR(INDIRECT("Cadastro de Participantes!A" &amp; ROW()),"")</f>
        <v/>
      </c>
      <c r="B89">
        <f>IF($A89="","",COUNTIF('Controle de Palpites'!$B:$B,$A89))</f>
        <v/>
      </c>
      <c r="C89">
        <f>IF($A89="","",SUMIFS('Controle de Palpites'!$J:$J,'Controle de Palpites'!$B:$B,$A89,'Controle de Palpites'!$J:$J,3))</f>
        <v/>
      </c>
      <c r="D89">
        <f>IF($A89="","",COUNTIFS('Controle de Palpites'!$B:$B,$A89,'Controle de Palpites'!$J:$J,"&gt;=1"))</f>
        <v/>
      </c>
      <c r="E89">
        <f>IF($A89="","",SUMIFS('Controle de Palpites'!$J:$J,'Controle de Palpites'!$B:$B,$A89))</f>
        <v/>
      </c>
      <c r="F89">
        <f>IF($B89=0,"",ROUND($E89/$B89,2))</f>
        <v/>
      </c>
      <c r="G89">
        <f>IF($E89="","",RANK($E89,$E$2:$E$101,0)+COUNTIFS($E$2:$E$101,$E89,$C$2:$C$101,"&gt;"&amp;$C89))</f>
        <v/>
      </c>
    </row>
    <row r="90">
      <c r="A90">
        <f>IFERROR(INDIRECT("Cadastro de Participantes!A" &amp; ROW()),"")</f>
        <v/>
      </c>
      <c r="B90">
        <f>IF($A90="","",COUNTIF('Controle de Palpites'!$B:$B,$A90))</f>
        <v/>
      </c>
      <c r="C90">
        <f>IF($A90="","",SUMIFS('Controle de Palpites'!$J:$J,'Controle de Palpites'!$B:$B,$A90,'Controle de Palpites'!$J:$J,3))</f>
        <v/>
      </c>
      <c r="D90">
        <f>IF($A90="","",COUNTIFS('Controle de Palpites'!$B:$B,$A90,'Controle de Palpites'!$J:$J,"&gt;=1"))</f>
        <v/>
      </c>
      <c r="E90">
        <f>IF($A90="","",SUMIFS('Controle de Palpites'!$J:$J,'Controle de Palpites'!$B:$B,$A90))</f>
        <v/>
      </c>
      <c r="F90">
        <f>IF($B90=0,"",ROUND($E90/$B90,2))</f>
        <v/>
      </c>
      <c r="G90">
        <f>IF($E90="","",RANK($E90,$E$2:$E$101,0)+COUNTIFS($E$2:$E$101,$E90,$C$2:$C$101,"&gt;"&amp;$C90))</f>
        <v/>
      </c>
    </row>
    <row r="91">
      <c r="A91">
        <f>IFERROR(INDIRECT("Cadastro de Participantes!A" &amp; ROW()),"")</f>
        <v/>
      </c>
      <c r="B91">
        <f>IF($A91="","",COUNTIF('Controle de Palpites'!$B:$B,$A91))</f>
        <v/>
      </c>
      <c r="C91">
        <f>IF($A91="","",SUMIFS('Controle de Palpites'!$J:$J,'Controle de Palpites'!$B:$B,$A91,'Controle de Palpites'!$J:$J,3))</f>
        <v/>
      </c>
      <c r="D91">
        <f>IF($A91="","",COUNTIFS('Controle de Palpites'!$B:$B,$A91,'Controle de Palpites'!$J:$J,"&gt;=1"))</f>
        <v/>
      </c>
      <c r="E91">
        <f>IF($A91="","",SUMIFS('Controle de Palpites'!$J:$J,'Controle de Palpites'!$B:$B,$A91))</f>
        <v/>
      </c>
      <c r="F91">
        <f>IF($B91=0,"",ROUND($E91/$B91,2))</f>
        <v/>
      </c>
      <c r="G91">
        <f>IF($E91="","",RANK($E91,$E$2:$E$101,0)+COUNTIFS($E$2:$E$101,$E91,$C$2:$C$101,"&gt;"&amp;$C91))</f>
        <v/>
      </c>
    </row>
    <row r="92">
      <c r="A92">
        <f>IFERROR(INDIRECT("Cadastro de Participantes!A" &amp; ROW()),"")</f>
        <v/>
      </c>
      <c r="B92">
        <f>IF($A92="","",COUNTIF('Controle de Palpites'!$B:$B,$A92))</f>
        <v/>
      </c>
      <c r="C92">
        <f>IF($A92="","",SUMIFS('Controle de Palpites'!$J:$J,'Controle de Palpites'!$B:$B,$A92,'Controle de Palpites'!$J:$J,3))</f>
        <v/>
      </c>
      <c r="D92">
        <f>IF($A92="","",COUNTIFS('Controle de Palpites'!$B:$B,$A92,'Controle de Palpites'!$J:$J,"&gt;=1"))</f>
        <v/>
      </c>
      <c r="E92">
        <f>IF($A92="","",SUMIFS('Controle de Palpites'!$J:$J,'Controle de Palpites'!$B:$B,$A92))</f>
        <v/>
      </c>
      <c r="F92">
        <f>IF($B92=0,"",ROUND($E92/$B92,2))</f>
        <v/>
      </c>
      <c r="G92">
        <f>IF($E92="","",RANK($E92,$E$2:$E$101,0)+COUNTIFS($E$2:$E$101,$E92,$C$2:$C$101,"&gt;"&amp;$C92))</f>
        <v/>
      </c>
    </row>
    <row r="93">
      <c r="A93">
        <f>IFERROR(INDIRECT("Cadastro de Participantes!A" &amp; ROW()),"")</f>
        <v/>
      </c>
      <c r="B93">
        <f>IF($A93="","",COUNTIF('Controle de Palpites'!$B:$B,$A93))</f>
        <v/>
      </c>
      <c r="C93">
        <f>IF($A93="","",SUMIFS('Controle de Palpites'!$J:$J,'Controle de Palpites'!$B:$B,$A93,'Controle de Palpites'!$J:$J,3))</f>
        <v/>
      </c>
      <c r="D93">
        <f>IF($A93="","",COUNTIFS('Controle de Palpites'!$B:$B,$A93,'Controle de Palpites'!$J:$J,"&gt;=1"))</f>
        <v/>
      </c>
      <c r="E93">
        <f>IF($A93="","",SUMIFS('Controle de Palpites'!$J:$J,'Controle de Palpites'!$B:$B,$A93))</f>
        <v/>
      </c>
      <c r="F93">
        <f>IF($B93=0,"",ROUND($E93/$B93,2))</f>
        <v/>
      </c>
      <c r="G93">
        <f>IF($E93="","",RANK($E93,$E$2:$E$101,0)+COUNTIFS($E$2:$E$101,$E93,$C$2:$C$101,"&gt;"&amp;$C93))</f>
        <v/>
      </c>
    </row>
    <row r="94">
      <c r="A94">
        <f>IFERROR(INDIRECT("Cadastro de Participantes!A" &amp; ROW()),"")</f>
        <v/>
      </c>
      <c r="B94">
        <f>IF($A94="","",COUNTIF('Controle de Palpites'!$B:$B,$A94))</f>
        <v/>
      </c>
      <c r="C94">
        <f>IF($A94="","",SUMIFS('Controle de Palpites'!$J:$J,'Controle de Palpites'!$B:$B,$A94,'Controle de Palpites'!$J:$J,3))</f>
        <v/>
      </c>
      <c r="D94">
        <f>IF($A94="","",COUNTIFS('Controle de Palpites'!$B:$B,$A94,'Controle de Palpites'!$J:$J,"&gt;=1"))</f>
        <v/>
      </c>
      <c r="E94">
        <f>IF($A94="","",SUMIFS('Controle de Palpites'!$J:$J,'Controle de Palpites'!$B:$B,$A94))</f>
        <v/>
      </c>
      <c r="F94">
        <f>IF($B94=0,"",ROUND($E94/$B94,2))</f>
        <v/>
      </c>
      <c r="G94">
        <f>IF($E94="","",RANK($E94,$E$2:$E$101,0)+COUNTIFS($E$2:$E$101,$E94,$C$2:$C$101,"&gt;"&amp;$C94))</f>
        <v/>
      </c>
    </row>
    <row r="95">
      <c r="A95">
        <f>IFERROR(INDIRECT("Cadastro de Participantes!A" &amp; ROW()),"")</f>
        <v/>
      </c>
      <c r="B95">
        <f>IF($A95="","",COUNTIF('Controle de Palpites'!$B:$B,$A95))</f>
        <v/>
      </c>
      <c r="C95">
        <f>IF($A95="","",SUMIFS('Controle de Palpites'!$J:$J,'Controle de Palpites'!$B:$B,$A95,'Controle de Palpites'!$J:$J,3))</f>
        <v/>
      </c>
      <c r="D95">
        <f>IF($A95="","",COUNTIFS('Controle de Palpites'!$B:$B,$A95,'Controle de Palpites'!$J:$J,"&gt;=1"))</f>
        <v/>
      </c>
      <c r="E95">
        <f>IF($A95="","",SUMIFS('Controle de Palpites'!$J:$J,'Controle de Palpites'!$B:$B,$A95))</f>
        <v/>
      </c>
      <c r="F95">
        <f>IF($B95=0,"",ROUND($E95/$B95,2))</f>
        <v/>
      </c>
      <c r="G95">
        <f>IF($E95="","",RANK($E95,$E$2:$E$101,0)+COUNTIFS($E$2:$E$101,$E95,$C$2:$C$101,"&gt;"&amp;$C95))</f>
        <v/>
      </c>
    </row>
    <row r="96">
      <c r="A96">
        <f>IFERROR(INDIRECT("Cadastro de Participantes!A" &amp; ROW()),"")</f>
        <v/>
      </c>
      <c r="B96">
        <f>IF($A96="","",COUNTIF('Controle de Palpites'!$B:$B,$A96))</f>
        <v/>
      </c>
      <c r="C96">
        <f>IF($A96="","",SUMIFS('Controle de Palpites'!$J:$J,'Controle de Palpites'!$B:$B,$A96,'Controle de Palpites'!$J:$J,3))</f>
        <v/>
      </c>
      <c r="D96">
        <f>IF($A96="","",COUNTIFS('Controle de Palpites'!$B:$B,$A96,'Controle de Palpites'!$J:$J,"&gt;=1"))</f>
        <v/>
      </c>
      <c r="E96">
        <f>IF($A96="","",SUMIFS('Controle de Palpites'!$J:$J,'Controle de Palpites'!$B:$B,$A96))</f>
        <v/>
      </c>
      <c r="F96">
        <f>IF($B96=0,"",ROUND($E96/$B96,2))</f>
        <v/>
      </c>
      <c r="G96">
        <f>IF($E96="","",RANK($E96,$E$2:$E$101,0)+COUNTIFS($E$2:$E$101,$E96,$C$2:$C$101,"&gt;"&amp;$C96))</f>
        <v/>
      </c>
    </row>
    <row r="97">
      <c r="A97">
        <f>IFERROR(INDIRECT("Cadastro de Participantes!A" &amp; ROW()),"")</f>
        <v/>
      </c>
      <c r="B97">
        <f>IF($A97="","",COUNTIF('Controle de Palpites'!$B:$B,$A97))</f>
        <v/>
      </c>
      <c r="C97">
        <f>IF($A97="","",SUMIFS('Controle de Palpites'!$J:$J,'Controle de Palpites'!$B:$B,$A97,'Controle de Palpites'!$J:$J,3))</f>
        <v/>
      </c>
      <c r="D97">
        <f>IF($A97="","",COUNTIFS('Controle de Palpites'!$B:$B,$A97,'Controle de Palpites'!$J:$J,"&gt;=1"))</f>
        <v/>
      </c>
      <c r="E97">
        <f>IF($A97="","",SUMIFS('Controle de Palpites'!$J:$J,'Controle de Palpites'!$B:$B,$A97))</f>
        <v/>
      </c>
      <c r="F97">
        <f>IF($B97=0,"",ROUND($E97/$B97,2))</f>
        <v/>
      </c>
      <c r="G97">
        <f>IF($E97="","",RANK($E97,$E$2:$E$101,0)+COUNTIFS($E$2:$E$101,$E97,$C$2:$C$101,"&gt;"&amp;$C97))</f>
        <v/>
      </c>
    </row>
    <row r="98">
      <c r="A98">
        <f>IFERROR(INDIRECT("Cadastro de Participantes!A" &amp; ROW()),"")</f>
        <v/>
      </c>
      <c r="B98">
        <f>IF($A98="","",COUNTIF('Controle de Palpites'!$B:$B,$A98))</f>
        <v/>
      </c>
      <c r="C98">
        <f>IF($A98="","",SUMIFS('Controle de Palpites'!$J:$J,'Controle de Palpites'!$B:$B,$A98,'Controle de Palpites'!$J:$J,3))</f>
        <v/>
      </c>
      <c r="D98">
        <f>IF($A98="","",COUNTIFS('Controle de Palpites'!$B:$B,$A98,'Controle de Palpites'!$J:$J,"&gt;=1"))</f>
        <v/>
      </c>
      <c r="E98">
        <f>IF($A98="","",SUMIFS('Controle de Palpites'!$J:$J,'Controle de Palpites'!$B:$B,$A98))</f>
        <v/>
      </c>
      <c r="F98">
        <f>IF($B98=0,"",ROUND($E98/$B98,2))</f>
        <v/>
      </c>
      <c r="G98">
        <f>IF($E98="","",RANK($E98,$E$2:$E$101,0)+COUNTIFS($E$2:$E$101,$E98,$C$2:$C$101,"&gt;"&amp;$C98))</f>
        <v/>
      </c>
    </row>
    <row r="99">
      <c r="A99">
        <f>IFERROR(INDIRECT("Cadastro de Participantes!A" &amp; ROW()),"")</f>
        <v/>
      </c>
      <c r="B99">
        <f>IF($A99="","",COUNTIF('Controle de Palpites'!$B:$B,$A99))</f>
        <v/>
      </c>
      <c r="C99">
        <f>IF($A99="","",SUMIFS('Controle de Palpites'!$J:$J,'Controle de Palpites'!$B:$B,$A99,'Controle de Palpites'!$J:$J,3))</f>
        <v/>
      </c>
      <c r="D99">
        <f>IF($A99="","",COUNTIFS('Controle de Palpites'!$B:$B,$A99,'Controle de Palpites'!$J:$J,"&gt;=1"))</f>
        <v/>
      </c>
      <c r="E99">
        <f>IF($A99="","",SUMIFS('Controle de Palpites'!$J:$J,'Controle de Palpites'!$B:$B,$A99))</f>
        <v/>
      </c>
      <c r="F99">
        <f>IF($B99=0,"",ROUND($E99/$B99,2))</f>
        <v/>
      </c>
      <c r="G99">
        <f>IF($E99="","",RANK($E99,$E$2:$E$101,0)+COUNTIFS($E$2:$E$101,$E99,$C$2:$C$101,"&gt;"&amp;$C99))</f>
        <v/>
      </c>
    </row>
    <row r="100">
      <c r="A100">
        <f>IFERROR(INDIRECT("Cadastro de Participantes!A" &amp; ROW()),"")</f>
        <v/>
      </c>
      <c r="B100">
        <f>IF($A100="","",COUNTIF('Controle de Palpites'!$B:$B,$A100))</f>
        <v/>
      </c>
      <c r="C100">
        <f>IF($A100="","",SUMIFS('Controle de Palpites'!$J:$J,'Controle de Palpites'!$B:$B,$A100,'Controle de Palpites'!$J:$J,3))</f>
        <v/>
      </c>
      <c r="D100">
        <f>IF($A100="","",COUNTIFS('Controle de Palpites'!$B:$B,$A100,'Controle de Palpites'!$J:$J,"&gt;=1"))</f>
        <v/>
      </c>
      <c r="E100">
        <f>IF($A100="","",SUMIFS('Controle de Palpites'!$J:$J,'Controle de Palpites'!$B:$B,$A100))</f>
        <v/>
      </c>
      <c r="F100">
        <f>IF($B100=0,"",ROUND($E100/$B100,2))</f>
        <v/>
      </c>
      <c r="G100">
        <f>IF($E100="","",RANK($E100,$E$2:$E$101,0)+COUNTIFS($E$2:$E$101,$E100,$C$2:$C$101,"&gt;"&amp;$C100))</f>
        <v/>
      </c>
    </row>
    <row r="101">
      <c r="A101">
        <f>IFERROR(INDIRECT("Cadastro de Participantes!A" &amp; ROW()),"")</f>
        <v/>
      </c>
      <c r="B101">
        <f>IF($A101="","",COUNTIF('Controle de Palpites'!$B:$B,$A101))</f>
        <v/>
      </c>
      <c r="C101">
        <f>IF($A101="","",SUMIFS('Controle de Palpites'!$J:$J,'Controle de Palpites'!$B:$B,$A101,'Controle de Palpites'!$J:$J,3))</f>
        <v/>
      </c>
      <c r="D101">
        <f>IF($A101="","",COUNTIFS('Controle de Palpites'!$B:$B,$A101,'Controle de Palpites'!$J:$J,"&gt;=1"))</f>
        <v/>
      </c>
      <c r="E101">
        <f>IF($A101="","",SUMIFS('Controle de Palpites'!$J:$J,'Controle de Palpites'!$B:$B,$A101))</f>
        <v/>
      </c>
      <c r="F101">
        <f>IF($B101=0,"",ROUND($E101/$B101,2))</f>
        <v/>
      </c>
      <c r="G101">
        <f>IF($E101="","",RANK($E101,$E$2:$E$101,0)+COUNTIFS($E$2:$E$101,$E101,$C$2:$C$101,"&gt;"&amp;$C101))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</cols>
  <sheetData>
    <row r="1">
      <c r="A1" s="3" t="inlineStr">
        <is>
          <t>Painel Geral do Bolão</t>
        </is>
      </c>
    </row>
    <row r="2">
      <c r="A2" s="3" t="inlineStr">
        <is>
          <t>Última atualização: preencha resultados em Tabela de Jogos e palpites em Controle de Palpites.</t>
        </is>
      </c>
    </row>
    <row r="3">
      <c r="A3" s="3" t="inlineStr">
        <is>
          <t>Prêmio: sorvete pago pelo perdedor, local a critério do vencedor.</t>
        </is>
      </c>
    </row>
    <row r="5">
      <c r="A5" s="3" t="inlineStr">
        <is>
          <t>Top 5 Participantes</t>
        </is>
      </c>
    </row>
    <row r="6">
      <c r="A6" s="3" t="inlineStr">
        <is>
          <t>1º</t>
        </is>
      </c>
      <c r="B6" s="3">
        <f>IFERROR(INDEX('Classificação e Ranking Geral'!$A:$A, MATCH(1, 'Classificação e Ranking Geral'!$G:$G, 0)), "")</f>
        <v/>
      </c>
      <c r="C6" s="3">
        <f>IFERROR(INDEX('Classificação e Ranking Geral'!$E:$E, MATCH(1, 'Classificação e Ranking Geral'!$G:$G, 0)), "")</f>
        <v/>
      </c>
    </row>
    <row r="7">
      <c r="A7" s="3" t="inlineStr">
        <is>
          <t>2º</t>
        </is>
      </c>
      <c r="B7" s="3">
        <f>IFERROR(INDEX('Classificação e Ranking Geral'!$A:$A, MATCH(2, 'Classificação e Ranking Geral'!$G:$G, 0)), "")</f>
        <v/>
      </c>
      <c r="C7" s="3">
        <f>IFERROR(INDEX('Classificação e Ranking Geral'!$E:$E, MATCH(2, 'Classificação e Ranking Geral'!$G:$G, 0)), "")</f>
        <v/>
      </c>
    </row>
    <row r="8">
      <c r="A8" s="3" t="inlineStr">
        <is>
          <t>3º</t>
        </is>
      </c>
      <c r="B8" s="3">
        <f>IFERROR(INDEX('Classificação e Ranking Geral'!$A:$A, MATCH(3, 'Classificação e Ranking Geral'!$G:$G, 0)), "")</f>
        <v/>
      </c>
      <c r="C8" s="3">
        <f>IFERROR(INDEX('Classificação e Ranking Geral'!$E:$E, MATCH(3, 'Classificação e Ranking Geral'!$G:$G, 0)), "")</f>
        <v/>
      </c>
    </row>
    <row r="9">
      <c r="A9" s="3" t="inlineStr">
        <is>
          <t>4º</t>
        </is>
      </c>
      <c r="B9" s="3">
        <f>IFERROR(INDEX('Classificação e Ranking Geral'!$A:$A, MATCH(4, 'Classificação e Ranking Geral'!$G:$G, 0)), "")</f>
        <v/>
      </c>
      <c r="C9" s="3">
        <f>IFERROR(INDEX('Classificação e Ranking Geral'!$E:$E, MATCH(4, 'Classificação e Ranking Geral'!$G:$G, 0)), "")</f>
        <v/>
      </c>
    </row>
    <row r="10">
      <c r="A10" s="3" t="inlineStr">
        <is>
          <t>5º</t>
        </is>
      </c>
      <c r="B10" s="3">
        <f>IFERROR(INDEX('Classificação e Ranking Geral'!$A:$A, MATCH(5, 'Classificação e Ranking Geral'!$G:$G, 0)), "")</f>
        <v/>
      </c>
      <c r="C10" s="3">
        <f>IFERROR(INDEX('Classificação e Ranking Geral'!$E:$E, MATCH(5, 'Classificação e Ranking Geral'!$G:$G, 0)),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2026-05-25T14:50:39Z</dcterms:created>
  <dcterms:modified xsi:type="dcterms:W3CDTF">2026-05-25T14:52:19Z</dcterms:modified>
</cp:coreProperties>
</file>